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010" codeName="{C5BBEA04-B48B-DB03-FC8F-E18A6752861A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/Users/melchiorrabie/Library/Containers/com.apple.mail/Data/Library/Mail Downloads/8B8F1F39-8359-4579-B271-8DFFA79E3F73/"/>
    </mc:Choice>
  </mc:AlternateContent>
  <xr:revisionPtr revIDLastSave="0" documentId="8_{C49FC14F-0353-1B41-A59F-D6E6AF8A008A}" xr6:coauthVersionLast="47" xr6:coauthVersionMax="47" xr10:uidLastSave="{00000000-0000-0000-0000-000000000000}"/>
  <workbookProtection workbookAlgorithmName="SHA-512" workbookHashValue="wOO6Wsa5rnQOOhMKtYckm/okiMSBTsP6MtyJ8U0Vjx8tFBmbof0kVfn4BcYOhGeoxwhZ5aMpjKOTFIF63SrE5A==" workbookSaltValue="VGmN9RGddCkAW1nWevDvfQ==" workbookSpinCount="100000" lockStructure="1"/>
  <bookViews>
    <workbookView xWindow="3220" yWindow="460" windowWidth="29040" windowHeight="23580" tabRatio="733" activeTab="2" xr2:uid="{00000000-000D-0000-FFFF-FFFF00000000}"/>
  </bookViews>
  <sheets>
    <sheet name="Maintenance Schedule" sheetId="1" state="hidden" r:id="rId1"/>
    <sheet name="Description Sheet" sheetId="2" state="hidden" r:id="rId2"/>
    <sheet name="Maintenance Schedule View" sheetId="13" r:id="rId3"/>
    <sheet name="Year (2021-2022)" sheetId="3" r:id="rId4"/>
    <sheet name="Year (2022-2023)" sheetId="4" r:id="rId5"/>
    <sheet name="Year (2023-2024)" sheetId="5" r:id="rId6"/>
    <sheet name="Year (2024-2025)" sheetId="6" r:id="rId7"/>
    <sheet name="Year (2025-2026)" sheetId="7" r:id="rId8"/>
    <sheet name="Year (2026-2027)" sheetId="8" r:id="rId9"/>
    <sheet name="Year (2027-2028)" sheetId="9" r:id="rId10"/>
    <sheet name="Year (2028-2029)" sheetId="10" r:id="rId11"/>
    <sheet name="Year (2029-2030)" sheetId="11" r:id="rId12"/>
    <sheet name="Year (2030-2031)" sheetId="12" r:id="rId13"/>
  </sheets>
  <definedNames>
    <definedName name="_xlnm._FilterDatabase" localSheetId="0" hidden="1">'Maintenance Schedule'!$D$19:$F$23</definedName>
    <definedName name="_xlnm._FilterDatabase" localSheetId="2" hidden="1">'Maintenance Schedule View'!$D$19:$F$23</definedName>
    <definedName name="Indication" localSheetId="3">'Year (2021-2022)'!$E$9:$E$11,'Year (2021-2022)'!$E$18:$E$21,'Year (2021-2022)'!$E$28:$E$29,'Year (2021-2022)'!$E$36,'Year (2021-2022)'!$E$43,'Year (2021-2022)'!$E$50:$E$63,'Year (2021-2022)'!$E$70:$E$88,'Year (2021-2022)'!$E$95:$E$99,'Year (2021-2022)'!$E$106,'Year (2021-2022)'!$E$113,'Year (2021-2022)'!$E$120:$E$123,'Year (2021-2022)'!$E$130,'Year (2021-2022)'!$E$137:$E$141</definedName>
    <definedName name="Item_Number" localSheetId="2">'Maintenance Schedule View'!$D$7:$D$184</definedName>
    <definedName name="Item_Number">'Maintenance Schedule'!$D$7:$D$184</definedName>
    <definedName name="Measure" localSheetId="3">'Year (2021-2022)'!$G$9:$G$11,'Year (2021-2022)'!$G$18:$G$21,'Year (2021-2022)'!$G$28:$G$29,'Year (2021-2022)'!$G$36,'Year (2021-2022)'!$G$43,'Year (2021-2022)'!$G$50:$G$63,'Year (2021-2022)'!$G$70:$G$88,'Year (2021-2022)'!$G$95:$G$99,'Year (2021-2022)'!$G$106,'Year (2021-2022)'!$G$113,'Year (2021-2022)'!$G$120:$G$123,'Year (2021-2022)'!$G$130,'Year (2021-2022)'!$G$137:$G$141</definedName>
    <definedName name="_xlnm.Print_Area" localSheetId="0">'Maintenance Schedule'!$A$1:$Y$196</definedName>
    <definedName name="_xlnm.Print_Area" localSheetId="2">'Maintenance Schedule View'!$A$1:$AC$204</definedName>
    <definedName name="_xlnm.Print_Area" localSheetId="3">'Year (2021-2022)'!$A$1:$J$151</definedName>
    <definedName name="_xlnm.Print_Area" localSheetId="4">'Year (2022-2023)'!$A$1:$J$151</definedName>
    <definedName name="_xlnm.Print_Area" localSheetId="5">'Year (2023-2024)'!$A$1:$J$151</definedName>
    <definedName name="_xlnm.Print_Area" localSheetId="6">'Year (2024-2025)'!$A$1:$J$151</definedName>
    <definedName name="_xlnm.Print_Area" localSheetId="7">'Year (2025-2026)'!$A$1:$J$151</definedName>
    <definedName name="_xlnm.Print_Area" localSheetId="8">'Year (2026-2027)'!$A$1:$J$151</definedName>
    <definedName name="_xlnm.Print_Area" localSheetId="9">'Year (2027-2028)'!$A$1:$J$151</definedName>
    <definedName name="_xlnm.Print_Area" localSheetId="10">'Year (2028-2029)'!$A$1:$J$151</definedName>
    <definedName name="_xlnm.Print_Area" localSheetId="11">'Year (2029-2030)'!$A$1:$J$151</definedName>
    <definedName name="_xlnm.Print_Area" localSheetId="12">'Year (2030-2031)'!$A$1:$J$151</definedName>
    <definedName name="Rate" localSheetId="3">'Year (2021-2022)'!$H$9:$H$11,'Year (2021-2022)'!$H$18:$H$21,'Year (2021-2022)'!$H$28:$H$29,'Year (2021-2022)'!$H$36,'Year (2021-2022)'!$H$43,'Year (2021-2022)'!$H$50:$H$63,'Year (2021-2022)'!$H$70:$H$88,'Year (2021-2022)'!$H$95:$H$99,'Year (2021-2022)'!$H$106,'Year (2021-2022)'!$H$113,'Year (2021-2022)'!$H$120:$H$123,'Year (2021-2022)'!$H$130,'Year (2021-2022)'!$H$137:$H$141</definedName>
    <definedName name="Total" localSheetId="3">'Year (2021-2022)'!$I$9:$I$11,'Year (2021-2022)'!$I$18:$I$21,'Year (2021-2022)'!$I$28:$I$29,'Year (2021-2022)'!$I$36,'Year (2021-2022)'!$I$43,'Year (2021-2022)'!$I$50:$I$63,'Year (2021-2022)'!$I$70:$I$88,'Year (2021-2022)'!$I$95:$I$99,'Year (2021-2022)'!$I$106,'Year (2021-2022)'!$I$113,'Year (2021-2022)'!$I$120:$I$123,'Year (2021-2022)'!$I$130,'Year (2021-2022)'!$I$137:$I$141</definedName>
    <definedName name="Works_Required" localSheetId="2">'Maintenance Schedule View'!$E$7:$E$184</definedName>
    <definedName name="Works_Required">'Maintenance Schedule'!$E$7:$E$184</definedName>
    <definedName name="Year_2017" localSheetId="2">'Maintenance Schedule View'!$F$8:$F$10,'Maintenance Schedule View'!$F$20:$F$23,'Maintenance Schedule View'!$F$33:$F$34,'Maintenance Schedule View'!$F$44,'Maintenance Schedule View'!$F$54,'Maintenance Schedule View'!$F$64:$F$77,'Maintenance Schedule View'!$F$87:$F$105,'Maintenance Schedule View'!$F$115:$F$119,'Maintenance Schedule View'!$F$129,'Maintenance Schedule View'!$F$139,'Maintenance Schedule View'!$F$149:$F$152,'Maintenance Schedule View'!$F$162,'Maintenance Schedule View'!$F$172:$F$176</definedName>
    <definedName name="Year_2017">'Maintenance Schedule'!$F$8:$F$10,'Maintenance Schedule'!$F$20:$F$23,'Maintenance Schedule'!$F$33:$F$34,'Maintenance Schedule'!$F$44,'Maintenance Schedule'!$F$54,'Maintenance Schedule'!$F$64:$F$77,'Maintenance Schedule'!$F$87:$F$105,'Maintenance Schedule'!$F$115:$F$119,'Maintenance Schedule'!$F$129,'Maintenance Schedule'!$F$139,'Maintenance Schedule'!$F$149:$F$152,'Maintenance Schedule'!$F$162,'Maintenance Schedule'!$F$172:$F$176</definedName>
    <definedName name="Year_2018" localSheetId="2">'Maintenance Schedule View'!$H$8:$H$10,'Maintenance Schedule View'!$H$20:$H$23,'Maintenance Schedule View'!$H$33:$H$34,'Maintenance Schedule View'!$H$44,'Maintenance Schedule View'!$H$54,'Maintenance Schedule View'!$H$64:$H$77,'Maintenance Schedule View'!$H$87:$H$105,'Maintenance Schedule View'!$H$115:$H$119,'Maintenance Schedule View'!$H$129,'Maintenance Schedule View'!$H$139,'Maintenance Schedule View'!$H$149:$H$152,'Maintenance Schedule View'!$H$162,'Maintenance Schedule View'!$H$172:$H$176</definedName>
    <definedName name="Year_2018">'Maintenance Schedule'!$H$8:$H$10,'Maintenance Schedule'!$H$20:$H$23,'Maintenance Schedule'!$H$33:$H$34,'Maintenance Schedule'!$H$44,'Maintenance Schedule'!$H$54,'Maintenance Schedule'!$H$64:$H$77,'Maintenance Schedule'!$H$87:$H$105,'Maintenance Schedule'!$H$115:$H$119,'Maintenance Schedule'!$H$129,'Maintenance Schedule'!$H$139,'Maintenance Schedule'!$H$149:$H$152,'Maintenance Schedule'!$H$162,'Maintenance Schedule'!$H$172:$H$176</definedName>
    <definedName name="Year_2019" localSheetId="2">'Maintenance Schedule View'!$J$7:$J$186</definedName>
    <definedName name="Year_2019">'Maintenance Schedule'!$J$7:$J$186</definedName>
    <definedName name="Year_2020" localSheetId="2">'Maintenance Schedule View'!$L$7:$L$186</definedName>
    <definedName name="Year_2020">'Maintenance Schedule'!$L$7:$L$186</definedName>
    <definedName name="Year_2021" localSheetId="2">'Maintenance Schedule View'!$N$7:$N$186</definedName>
    <definedName name="Year_2021">'Maintenance Schedule'!$N$7:$N$186</definedName>
    <definedName name="Year_2022" localSheetId="2">'Maintenance Schedule View'!$P$7:$P$186</definedName>
    <definedName name="Year_2022">'Maintenance Schedule'!$P$7:$P$186</definedName>
    <definedName name="Year_2023" localSheetId="2">'Maintenance Schedule View'!$R$7:$R$186</definedName>
    <definedName name="Year_2023">'Maintenance Schedule'!$R$7:$R$186</definedName>
    <definedName name="Year_2024" localSheetId="2">'Maintenance Schedule View'!$T$7:$T$186</definedName>
    <definedName name="Year_2024">'Maintenance Schedule'!$T$7:$T$186</definedName>
    <definedName name="Year_2025" localSheetId="2">'Maintenance Schedule View'!$V$7:$V$186</definedName>
    <definedName name="Year_2025">'Maintenance Schedule'!$V$7:$V$186</definedName>
    <definedName name="Year_2026" localSheetId="2">'Maintenance Schedule View'!$X$7:$X$186</definedName>
    <definedName name="Year_2026">'Maintenance Schedule'!$X$7:$X$186</definedName>
    <definedName name="Z_E2296085_7FDE_4BEA_8625_6ABB2E9DD4F5_.wvu.PrintArea" localSheetId="5" hidden="1">'Year (2023-2024)'!$A$1:$J$90</definedName>
    <definedName name="Z_E2296085_7FDE_4BEA_8625_6ABB2E9DD4F5_.wvu.PrintArea" localSheetId="6" hidden="1">'Year (2024-2025)'!$A$1:$J$90</definedName>
    <definedName name="Z_E2296085_7FDE_4BEA_8625_6ABB2E9DD4F5_.wvu.PrintArea" localSheetId="7" hidden="1">'Year (2025-2026)'!$A$1:$J$90</definedName>
    <definedName name="Z_E2296085_7FDE_4BEA_8625_6ABB2E9DD4F5_.wvu.PrintArea" localSheetId="8" hidden="1">'Year (2026-2027)'!$A$1:$J$90</definedName>
    <definedName name="Z_E2296085_7FDE_4BEA_8625_6ABB2E9DD4F5_.wvu.PrintArea" localSheetId="9" hidden="1">'Year (2027-2028)'!$A$1:$J$90</definedName>
    <definedName name="Z_E2296085_7FDE_4BEA_8625_6ABB2E9DD4F5_.wvu.PrintArea" localSheetId="10" hidden="1">'Year (2028-2029)'!$A$1:$J$90</definedName>
    <definedName name="Z_E2296085_7FDE_4BEA_8625_6ABB2E9DD4F5_.wvu.PrintArea" localSheetId="11" hidden="1">'Year (2029-2030)'!$A$1:$J$90</definedName>
    <definedName name="Z_E2296085_7FDE_4BEA_8625_6ABB2E9DD4F5_.wvu.PrintArea" localSheetId="12" hidden="1">'Year (2030-2031)'!$A$1:$J$90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" i="13" l="1"/>
  <c r="E130" i="1"/>
  <c r="F188" i="1" l="1"/>
  <c r="Z173" i="13"/>
  <c r="Z174" i="13"/>
  <c r="Z175" i="13"/>
  <c r="Z176" i="13"/>
  <c r="Z177" i="13"/>
  <c r="Z178" i="13"/>
  <c r="Z179" i="13"/>
  <c r="Z172" i="13"/>
  <c r="Z163" i="13"/>
  <c r="Z164" i="13"/>
  <c r="Z165" i="13"/>
  <c r="Z162" i="13"/>
  <c r="Z150" i="13"/>
  <c r="Z151" i="13"/>
  <c r="Z152" i="13"/>
  <c r="Z153" i="13"/>
  <c r="Z154" i="13"/>
  <c r="Z155" i="13"/>
  <c r="Z149" i="13"/>
  <c r="Z140" i="13"/>
  <c r="Z141" i="13"/>
  <c r="Z142" i="13"/>
  <c r="Z139" i="13"/>
  <c r="Z130" i="13"/>
  <c r="Z131" i="13"/>
  <c r="Z132" i="13"/>
  <c r="Z129" i="13"/>
  <c r="Z116" i="13"/>
  <c r="Z117" i="13"/>
  <c r="Z118" i="13"/>
  <c r="Z119" i="13"/>
  <c r="Z120" i="13"/>
  <c r="Z121" i="13"/>
  <c r="Z122" i="13"/>
  <c r="Z115" i="13"/>
  <c r="Z88" i="13"/>
  <c r="Z89" i="13"/>
  <c r="Z90" i="13"/>
  <c r="Z91" i="13"/>
  <c r="Z92" i="13"/>
  <c r="Z93" i="13"/>
  <c r="Z94" i="13"/>
  <c r="Z95" i="13"/>
  <c r="Z96" i="13"/>
  <c r="Z97" i="13"/>
  <c r="Z98" i="13"/>
  <c r="Z99" i="13"/>
  <c r="Z100" i="13"/>
  <c r="Z101" i="13"/>
  <c r="Z102" i="13"/>
  <c r="Z103" i="13"/>
  <c r="Z104" i="13"/>
  <c r="Z105" i="13"/>
  <c r="Z106" i="13"/>
  <c r="Z107" i="13"/>
  <c r="Z108" i="13"/>
  <c r="Z87" i="13"/>
  <c r="Z65" i="13"/>
  <c r="Z66" i="13"/>
  <c r="Z67" i="13"/>
  <c r="Z68" i="13"/>
  <c r="Z69" i="13"/>
  <c r="Z70" i="13"/>
  <c r="Z71" i="13"/>
  <c r="Z72" i="13"/>
  <c r="Z73" i="13"/>
  <c r="Z74" i="13"/>
  <c r="Z75" i="13"/>
  <c r="Z76" i="13"/>
  <c r="Z77" i="13"/>
  <c r="Z78" i="13"/>
  <c r="Z79" i="13"/>
  <c r="Z80" i="13"/>
  <c r="Z64" i="13"/>
  <c r="Z55" i="13"/>
  <c r="Z56" i="13"/>
  <c r="Z57" i="13"/>
  <c r="Z54" i="13"/>
  <c r="Z45" i="13"/>
  <c r="Z46" i="13"/>
  <c r="Z47" i="13"/>
  <c r="Z44" i="13"/>
  <c r="Z34" i="13"/>
  <c r="Z35" i="13"/>
  <c r="Z36" i="13"/>
  <c r="Z37" i="13"/>
  <c r="Z33" i="13"/>
  <c r="Z21" i="13"/>
  <c r="Z22" i="13"/>
  <c r="Z23" i="13"/>
  <c r="Z24" i="13"/>
  <c r="Z25" i="13"/>
  <c r="Z26" i="13"/>
  <c r="Z20" i="13"/>
  <c r="Z9" i="13"/>
  <c r="Z10" i="13"/>
  <c r="Z11" i="13"/>
  <c r="Z12" i="13"/>
  <c r="Z13" i="13"/>
  <c r="Z8" i="13"/>
  <c r="C5" i="12" l="1"/>
  <c r="C5" i="11"/>
  <c r="C5" i="10"/>
  <c r="C5" i="9"/>
  <c r="C5" i="8"/>
  <c r="C5" i="7"/>
  <c r="C5" i="6"/>
  <c r="C5" i="4"/>
  <c r="C5" i="3"/>
  <c r="C5" i="5"/>
  <c r="F5" i="13"/>
  <c r="E4" i="13"/>
  <c r="X4" i="13"/>
  <c r="V4" i="13"/>
  <c r="T4" i="13"/>
  <c r="R4" i="13"/>
  <c r="P4" i="13"/>
  <c r="N4" i="13"/>
  <c r="L4" i="13"/>
  <c r="J4" i="13"/>
  <c r="H4" i="13"/>
  <c r="F4" i="13"/>
  <c r="E24" i="1"/>
  <c r="D19" i="1" l="1"/>
  <c r="E19" i="1"/>
  <c r="M4" i="2" l="1"/>
  <c r="F204" i="13"/>
  <c r="F189" i="13"/>
  <c r="X187" i="13"/>
  <c r="X191" i="13" s="1"/>
  <c r="X192" i="13" s="1"/>
  <c r="V187" i="13"/>
  <c r="V191" i="13" s="1"/>
  <c r="V192" i="13" s="1"/>
  <c r="T187" i="13"/>
  <c r="T191" i="13" s="1"/>
  <c r="T192" i="13" s="1"/>
  <c r="R187" i="13"/>
  <c r="R191" i="13" s="1"/>
  <c r="R192" i="13" s="1"/>
  <c r="P187" i="13"/>
  <c r="P191" i="13" s="1"/>
  <c r="P192" i="13" s="1"/>
  <c r="N187" i="13"/>
  <c r="N191" i="13" s="1"/>
  <c r="N192" i="13" s="1"/>
  <c r="L187" i="13"/>
  <c r="L191" i="13" s="1"/>
  <c r="L192" i="13" s="1"/>
  <c r="J187" i="13"/>
  <c r="J191" i="13" s="1"/>
  <c r="J192" i="13" s="1"/>
  <c r="H187" i="13"/>
  <c r="H191" i="13" s="1"/>
  <c r="H192" i="13" s="1"/>
  <c r="F187" i="13"/>
  <c r="E179" i="13"/>
  <c r="D179" i="13"/>
  <c r="E178" i="13"/>
  <c r="D178" i="13"/>
  <c r="E177" i="13"/>
  <c r="D177" i="13"/>
  <c r="E176" i="13"/>
  <c r="D176" i="13"/>
  <c r="E175" i="13"/>
  <c r="D175" i="13"/>
  <c r="E174" i="13"/>
  <c r="D174" i="13"/>
  <c r="E173" i="13"/>
  <c r="D173" i="13"/>
  <c r="E172" i="13"/>
  <c r="D172" i="13"/>
  <c r="E171" i="13"/>
  <c r="D171" i="13"/>
  <c r="E165" i="13"/>
  <c r="D165" i="13"/>
  <c r="E164" i="13"/>
  <c r="D164" i="13"/>
  <c r="E163" i="13"/>
  <c r="D163" i="13"/>
  <c r="E162" i="13"/>
  <c r="D162" i="13"/>
  <c r="E161" i="13"/>
  <c r="D161" i="13"/>
  <c r="E155" i="13"/>
  <c r="D155" i="13"/>
  <c r="E154" i="13"/>
  <c r="D154" i="13"/>
  <c r="E153" i="13"/>
  <c r="D153" i="13"/>
  <c r="E152" i="13"/>
  <c r="D152" i="13"/>
  <c r="E151" i="13"/>
  <c r="D151" i="13"/>
  <c r="E150" i="13"/>
  <c r="D150" i="13"/>
  <c r="E149" i="13"/>
  <c r="D149" i="13"/>
  <c r="E148" i="13"/>
  <c r="D148" i="13"/>
  <c r="E142" i="13"/>
  <c r="D142" i="13"/>
  <c r="E141" i="13"/>
  <c r="D141" i="13"/>
  <c r="E140" i="13"/>
  <c r="D140" i="13"/>
  <c r="E139" i="13"/>
  <c r="D139" i="13"/>
  <c r="E138" i="13"/>
  <c r="D138" i="13"/>
  <c r="E132" i="13"/>
  <c r="D132" i="13"/>
  <c r="E131" i="13"/>
  <c r="D131" i="13"/>
  <c r="E130" i="13"/>
  <c r="D130" i="13"/>
  <c r="E129" i="13"/>
  <c r="D129" i="13"/>
  <c r="E128" i="13"/>
  <c r="D128" i="13"/>
  <c r="E122" i="13"/>
  <c r="D122" i="13"/>
  <c r="E121" i="13"/>
  <c r="D121" i="13"/>
  <c r="E120" i="13"/>
  <c r="D120" i="13"/>
  <c r="E119" i="13"/>
  <c r="D119" i="13"/>
  <c r="E118" i="13"/>
  <c r="D118" i="13"/>
  <c r="E117" i="13"/>
  <c r="D117" i="13"/>
  <c r="E116" i="13"/>
  <c r="D116" i="13"/>
  <c r="E115" i="13"/>
  <c r="D115" i="13"/>
  <c r="E114" i="13"/>
  <c r="E108" i="13"/>
  <c r="D108" i="13"/>
  <c r="E107" i="13"/>
  <c r="D107" i="13"/>
  <c r="E106" i="13"/>
  <c r="D106" i="13"/>
  <c r="E105" i="13"/>
  <c r="D105" i="13"/>
  <c r="E104" i="13"/>
  <c r="D104" i="13"/>
  <c r="E103" i="13"/>
  <c r="D103" i="13"/>
  <c r="E102" i="13"/>
  <c r="D102" i="13"/>
  <c r="E101" i="13"/>
  <c r="D101" i="13"/>
  <c r="E100" i="13"/>
  <c r="D100" i="13"/>
  <c r="E99" i="13"/>
  <c r="D99" i="13"/>
  <c r="E98" i="13"/>
  <c r="D98" i="13"/>
  <c r="E97" i="13"/>
  <c r="D97" i="13"/>
  <c r="E96" i="13"/>
  <c r="D96" i="13"/>
  <c r="E95" i="13"/>
  <c r="D95" i="13"/>
  <c r="E94" i="13"/>
  <c r="D94" i="13"/>
  <c r="E93" i="13"/>
  <c r="D93" i="13"/>
  <c r="E92" i="13"/>
  <c r="D92" i="13"/>
  <c r="E91" i="13"/>
  <c r="D91" i="13"/>
  <c r="E90" i="13"/>
  <c r="D90" i="13"/>
  <c r="E89" i="13"/>
  <c r="D89" i="13"/>
  <c r="E88" i="13"/>
  <c r="D88" i="13"/>
  <c r="E87" i="13"/>
  <c r="D87" i="13"/>
  <c r="E86" i="13"/>
  <c r="D86" i="13"/>
  <c r="E80" i="13"/>
  <c r="D80" i="13"/>
  <c r="E79" i="13"/>
  <c r="D79" i="13"/>
  <c r="E78" i="13"/>
  <c r="D78" i="13"/>
  <c r="E77" i="13"/>
  <c r="D77" i="13"/>
  <c r="E76" i="13"/>
  <c r="D76" i="13"/>
  <c r="E75" i="13"/>
  <c r="D75" i="13"/>
  <c r="E74" i="13"/>
  <c r="D74" i="13"/>
  <c r="E73" i="13"/>
  <c r="D73" i="13"/>
  <c r="E72" i="13"/>
  <c r="D72" i="13"/>
  <c r="E71" i="13"/>
  <c r="D71" i="13"/>
  <c r="E70" i="13"/>
  <c r="D70" i="13"/>
  <c r="E69" i="13"/>
  <c r="D69" i="13"/>
  <c r="E68" i="13"/>
  <c r="D68" i="13"/>
  <c r="E67" i="13"/>
  <c r="D67" i="13"/>
  <c r="E66" i="13"/>
  <c r="D66" i="13"/>
  <c r="E65" i="13"/>
  <c r="D65" i="13"/>
  <c r="E64" i="13"/>
  <c r="D64" i="13"/>
  <c r="E63" i="13"/>
  <c r="D63" i="13"/>
  <c r="E57" i="13"/>
  <c r="D57" i="13"/>
  <c r="E56" i="13"/>
  <c r="D56" i="13"/>
  <c r="E55" i="13"/>
  <c r="D55" i="13"/>
  <c r="E54" i="13"/>
  <c r="D54" i="13"/>
  <c r="E53" i="13"/>
  <c r="D53" i="13"/>
  <c r="E47" i="13"/>
  <c r="D47" i="13"/>
  <c r="E46" i="13"/>
  <c r="D46" i="13"/>
  <c r="E45" i="13"/>
  <c r="D45" i="13"/>
  <c r="E44" i="13"/>
  <c r="D44" i="13"/>
  <c r="E43" i="13"/>
  <c r="D43" i="13"/>
  <c r="E37" i="13"/>
  <c r="D37" i="13"/>
  <c r="E36" i="13"/>
  <c r="D36" i="13"/>
  <c r="E35" i="13"/>
  <c r="D35" i="13"/>
  <c r="E34" i="13"/>
  <c r="D34" i="13"/>
  <c r="E33" i="13"/>
  <c r="D33" i="13"/>
  <c r="E32" i="13"/>
  <c r="D32" i="13"/>
  <c r="E26" i="13"/>
  <c r="D26" i="13"/>
  <c r="E25" i="13"/>
  <c r="D25" i="13"/>
  <c r="E24" i="13"/>
  <c r="D24" i="13"/>
  <c r="E23" i="13"/>
  <c r="D23" i="13"/>
  <c r="E22" i="13"/>
  <c r="D22" i="13"/>
  <c r="E21" i="13"/>
  <c r="D21" i="13"/>
  <c r="E20" i="13"/>
  <c r="D20" i="13"/>
  <c r="E19" i="13"/>
  <c r="D19" i="13"/>
  <c r="I16" i="13"/>
  <c r="E13" i="13"/>
  <c r="D13" i="13"/>
  <c r="E12" i="13"/>
  <c r="D12" i="13"/>
  <c r="E11" i="13"/>
  <c r="D11" i="13"/>
  <c r="E10" i="13"/>
  <c r="D10" i="13"/>
  <c r="E9" i="13"/>
  <c r="D9" i="13"/>
  <c r="E8" i="13"/>
  <c r="D8" i="13"/>
  <c r="E7" i="13"/>
  <c r="D7" i="13"/>
  <c r="F191" i="13" l="1"/>
  <c r="F192" i="13" s="1"/>
  <c r="P9" i="2"/>
  <c r="P10" i="2"/>
  <c r="P11" i="2"/>
  <c r="P12" i="2"/>
  <c r="P13" i="2"/>
  <c r="P14" i="2"/>
  <c r="P16" i="2"/>
  <c r="P17" i="2"/>
  <c r="P18" i="2"/>
  <c r="P19" i="2"/>
  <c r="P20" i="2"/>
  <c r="P21" i="2"/>
  <c r="P22" i="2"/>
  <c r="P23" i="2"/>
  <c r="P24" i="2"/>
  <c r="P26" i="2"/>
  <c r="P27" i="2"/>
  <c r="P28" i="2"/>
  <c r="P29" i="2"/>
  <c r="P30" i="2"/>
  <c r="P31" i="2"/>
  <c r="P32" i="2"/>
  <c r="P34" i="2"/>
  <c r="P35" i="2"/>
  <c r="P36" i="2"/>
  <c r="P37" i="2"/>
  <c r="P38" i="2"/>
  <c r="P39" i="2"/>
  <c r="P41" i="2"/>
  <c r="P42" i="2"/>
  <c r="P43" i="2"/>
  <c r="P44" i="2"/>
  <c r="P45" i="2"/>
  <c r="P46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3" i="2"/>
  <c r="P94" i="2"/>
  <c r="P95" i="2"/>
  <c r="P96" i="2"/>
  <c r="P97" i="2"/>
  <c r="P98" i="2"/>
  <c r="P99" i="2"/>
  <c r="P100" i="2"/>
  <c r="P101" i="2"/>
  <c r="P102" i="2"/>
  <c r="P104" i="2"/>
  <c r="P105" i="2"/>
  <c r="P106" i="2"/>
  <c r="P107" i="2"/>
  <c r="P108" i="2"/>
  <c r="P109" i="2"/>
  <c r="P111" i="2"/>
  <c r="P112" i="2"/>
  <c r="P113" i="2"/>
  <c r="P114" i="2"/>
  <c r="P115" i="2"/>
  <c r="P116" i="2"/>
  <c r="P118" i="2"/>
  <c r="P119" i="2"/>
  <c r="P120" i="2"/>
  <c r="P121" i="2"/>
  <c r="P122" i="2"/>
  <c r="P123" i="2"/>
  <c r="P124" i="2"/>
  <c r="P125" i="2"/>
  <c r="P126" i="2"/>
  <c r="P128" i="2"/>
  <c r="P129" i="2"/>
  <c r="P130" i="2"/>
  <c r="P131" i="2"/>
  <c r="P132" i="2"/>
  <c r="P133" i="2"/>
  <c r="P135" i="2"/>
  <c r="P136" i="2"/>
  <c r="P137" i="2"/>
  <c r="P138" i="2"/>
  <c r="P139" i="2"/>
  <c r="P140" i="2"/>
  <c r="P141" i="2"/>
  <c r="P142" i="2"/>
  <c r="P143" i="2"/>
  <c r="P144" i="2"/>
  <c r="P8" i="2"/>
  <c r="B148" i="2" l="1"/>
  <c r="D198" i="13" s="1"/>
  <c r="E5" i="12"/>
  <c r="E5" i="11"/>
  <c r="E5" i="10"/>
  <c r="E5" i="9"/>
  <c r="E5" i="8"/>
  <c r="E5" i="7"/>
  <c r="E5" i="6"/>
  <c r="E5" i="5"/>
  <c r="E5" i="4"/>
  <c r="E5" i="3"/>
  <c r="F196" i="1" l="1"/>
  <c r="N143" i="2" l="1"/>
  <c r="AA179" i="13" s="1"/>
  <c r="N142" i="2"/>
  <c r="AA178" i="13" s="1"/>
  <c r="N141" i="2"/>
  <c r="AA177" i="13" s="1"/>
  <c r="N140" i="2"/>
  <c r="AA176" i="13" s="1"/>
  <c r="N139" i="2"/>
  <c r="AA175" i="13" s="1"/>
  <c r="N138" i="2"/>
  <c r="AA174" i="13" s="1"/>
  <c r="N137" i="2"/>
  <c r="AA173" i="13" s="1"/>
  <c r="N136" i="2"/>
  <c r="AA172" i="13" s="1"/>
  <c r="N132" i="2"/>
  <c r="AA165" i="13" s="1"/>
  <c r="N131" i="2"/>
  <c r="AA164" i="13" s="1"/>
  <c r="N130" i="2"/>
  <c r="AA163" i="13" s="1"/>
  <c r="N129" i="2"/>
  <c r="AA162" i="13" s="1"/>
  <c r="N125" i="2"/>
  <c r="AA155" i="13" s="1"/>
  <c r="N124" i="2"/>
  <c r="AA154" i="13" s="1"/>
  <c r="N123" i="2"/>
  <c r="AA153" i="13" s="1"/>
  <c r="N122" i="2"/>
  <c r="AA152" i="13" s="1"/>
  <c r="N121" i="2"/>
  <c r="AA151" i="13" s="1"/>
  <c r="N120" i="2"/>
  <c r="AA150" i="13" s="1"/>
  <c r="N119" i="2"/>
  <c r="AA149" i="13" s="1"/>
  <c r="N115" i="2"/>
  <c r="AA142" i="13" s="1"/>
  <c r="N114" i="2"/>
  <c r="AA141" i="13" s="1"/>
  <c r="N113" i="2"/>
  <c r="AA140" i="13" s="1"/>
  <c r="N112" i="2"/>
  <c r="AA139" i="13" s="1"/>
  <c r="N108" i="2"/>
  <c r="AA132" i="13" s="1"/>
  <c r="N107" i="2"/>
  <c r="AA131" i="13" s="1"/>
  <c r="N106" i="2"/>
  <c r="AA130" i="13" s="1"/>
  <c r="N105" i="2"/>
  <c r="AA129" i="13" s="1"/>
  <c r="N101" i="2"/>
  <c r="AA122" i="13" s="1"/>
  <c r="N100" i="2"/>
  <c r="AA121" i="13" s="1"/>
  <c r="N99" i="2"/>
  <c r="AA120" i="13" s="1"/>
  <c r="N98" i="2"/>
  <c r="AA119" i="13" s="1"/>
  <c r="N97" i="2"/>
  <c r="AA118" i="13" s="1"/>
  <c r="N96" i="2"/>
  <c r="AA117" i="13" s="1"/>
  <c r="N95" i="2"/>
  <c r="AA116" i="13" s="1"/>
  <c r="N94" i="2"/>
  <c r="AA115" i="13" s="1"/>
  <c r="N90" i="2"/>
  <c r="AA108" i="13" s="1"/>
  <c r="N89" i="2"/>
  <c r="AA107" i="13" s="1"/>
  <c r="N88" i="2"/>
  <c r="AA106" i="13" s="1"/>
  <c r="N87" i="2"/>
  <c r="AA105" i="13" s="1"/>
  <c r="N86" i="2"/>
  <c r="AA104" i="13" s="1"/>
  <c r="N85" i="2"/>
  <c r="AA103" i="13" s="1"/>
  <c r="N84" i="2"/>
  <c r="AA102" i="13" s="1"/>
  <c r="N83" i="2"/>
  <c r="AA101" i="13" s="1"/>
  <c r="N82" i="2"/>
  <c r="AA100" i="13" s="1"/>
  <c r="N81" i="2"/>
  <c r="AA99" i="13" s="1"/>
  <c r="N80" i="2"/>
  <c r="AA98" i="13" s="1"/>
  <c r="N79" i="2"/>
  <c r="AA97" i="13" s="1"/>
  <c r="N78" i="2"/>
  <c r="AA96" i="13" s="1"/>
  <c r="N77" i="2"/>
  <c r="AA95" i="13" s="1"/>
  <c r="N76" i="2"/>
  <c r="AA94" i="13" s="1"/>
  <c r="N75" i="2"/>
  <c r="AA93" i="13" s="1"/>
  <c r="N74" i="2"/>
  <c r="AA92" i="13" s="1"/>
  <c r="N73" i="2"/>
  <c r="AA91" i="13" s="1"/>
  <c r="N72" i="2"/>
  <c r="AA90" i="13" s="1"/>
  <c r="N71" i="2"/>
  <c r="AA89" i="13" s="1"/>
  <c r="N70" i="2"/>
  <c r="AA88" i="13" s="1"/>
  <c r="N69" i="2"/>
  <c r="AA87" i="13" s="1"/>
  <c r="N65" i="2"/>
  <c r="AA80" i="13" s="1"/>
  <c r="N64" i="2"/>
  <c r="AA79" i="13" s="1"/>
  <c r="N63" i="2"/>
  <c r="AA78" i="13" s="1"/>
  <c r="N62" i="2"/>
  <c r="AA77" i="13" s="1"/>
  <c r="N61" i="2"/>
  <c r="AA76" i="13" s="1"/>
  <c r="N60" i="2"/>
  <c r="AA75" i="13" s="1"/>
  <c r="N59" i="2"/>
  <c r="AA74" i="13" s="1"/>
  <c r="N58" i="2"/>
  <c r="AA73" i="13" s="1"/>
  <c r="N57" i="2"/>
  <c r="AA72" i="13" s="1"/>
  <c r="N56" i="2"/>
  <c r="AA71" i="13" s="1"/>
  <c r="N55" i="2"/>
  <c r="AA70" i="13" s="1"/>
  <c r="N54" i="2"/>
  <c r="AA69" i="13" s="1"/>
  <c r="N53" i="2"/>
  <c r="AA68" i="13" s="1"/>
  <c r="N52" i="2"/>
  <c r="AA67" i="13" s="1"/>
  <c r="N51" i="2"/>
  <c r="AA66" i="13" s="1"/>
  <c r="N50" i="2"/>
  <c r="AA65" i="13" s="1"/>
  <c r="N49" i="2"/>
  <c r="AA64" i="13" s="1"/>
  <c r="N45" i="2"/>
  <c r="AA57" i="13" s="1"/>
  <c r="N44" i="2"/>
  <c r="AA56" i="13" s="1"/>
  <c r="N43" i="2"/>
  <c r="AA55" i="13" s="1"/>
  <c r="N42" i="2"/>
  <c r="AA54" i="13" s="1"/>
  <c r="N38" i="2"/>
  <c r="AA47" i="13" s="1"/>
  <c r="N37" i="2"/>
  <c r="AA46" i="13" s="1"/>
  <c r="N36" i="2"/>
  <c r="AA45" i="13" s="1"/>
  <c r="N35" i="2"/>
  <c r="AA44" i="13" s="1"/>
  <c r="N31" i="2"/>
  <c r="AA37" i="13" s="1"/>
  <c r="N30" i="2"/>
  <c r="AA36" i="13" s="1"/>
  <c r="N29" i="2"/>
  <c r="AA35" i="13" s="1"/>
  <c r="N28" i="2"/>
  <c r="AA34" i="13" s="1"/>
  <c r="N27" i="2"/>
  <c r="AA33" i="13" s="1"/>
  <c r="N23" i="2"/>
  <c r="AA26" i="13" s="1"/>
  <c r="N22" i="2"/>
  <c r="AA25" i="13" s="1"/>
  <c r="N21" i="2"/>
  <c r="AA24" i="13" s="1"/>
  <c r="N20" i="2"/>
  <c r="AA23" i="13" s="1"/>
  <c r="N19" i="2"/>
  <c r="AA22" i="13" s="1"/>
  <c r="N18" i="2"/>
  <c r="AA21" i="13" s="1"/>
  <c r="N17" i="2"/>
  <c r="AA20" i="13" s="1"/>
  <c r="N13" i="2"/>
  <c r="AA13" i="13" s="1"/>
  <c r="N12" i="2"/>
  <c r="AA12" i="13" s="1"/>
  <c r="N11" i="2"/>
  <c r="AA11" i="13" s="1"/>
  <c r="N10" i="2"/>
  <c r="AA10" i="13" s="1"/>
  <c r="N9" i="2"/>
  <c r="AA9" i="13" s="1"/>
  <c r="N8" i="2"/>
  <c r="AA8" i="13" s="1"/>
  <c r="M134" i="2" l="1"/>
  <c r="P134" i="2" s="1"/>
  <c r="M15" i="2"/>
  <c r="P15" i="2" s="1"/>
  <c r="M103" i="2"/>
  <c r="P103" i="2" s="1"/>
  <c r="M110" i="2"/>
  <c r="P110" i="2" s="1"/>
  <c r="M117" i="2"/>
  <c r="P117" i="2" s="1"/>
  <c r="M127" i="2"/>
  <c r="P127" i="2" s="1"/>
  <c r="M25" i="2"/>
  <c r="P25" i="2" s="1"/>
  <c r="M33" i="2"/>
  <c r="P33" i="2" s="1"/>
  <c r="M40" i="2"/>
  <c r="P40" i="2" s="1"/>
  <c r="M47" i="2"/>
  <c r="P47" i="2" s="1"/>
  <c r="M67" i="2"/>
  <c r="P67" i="2" s="1"/>
  <c r="M92" i="2"/>
  <c r="P92" i="2" s="1"/>
  <c r="E129" i="1"/>
  <c r="E144" i="12" l="1"/>
  <c r="E143" i="12"/>
  <c r="I143" i="12" s="1"/>
  <c r="E142" i="12"/>
  <c r="H142" i="12" s="1"/>
  <c r="E141" i="12"/>
  <c r="I141" i="12" s="1"/>
  <c r="E140" i="12"/>
  <c r="G140" i="12" s="1"/>
  <c r="E139" i="12"/>
  <c r="E138" i="12"/>
  <c r="E137" i="12"/>
  <c r="F137" i="12" s="1"/>
  <c r="E133" i="12"/>
  <c r="E132" i="12"/>
  <c r="E131" i="12"/>
  <c r="I131" i="12" s="1"/>
  <c r="E130" i="12"/>
  <c r="F130" i="12" s="1"/>
  <c r="E126" i="12"/>
  <c r="G126" i="12" s="1"/>
  <c r="E125" i="12"/>
  <c r="E124" i="12"/>
  <c r="G124" i="12" s="1"/>
  <c r="E123" i="12"/>
  <c r="E122" i="12"/>
  <c r="E121" i="12"/>
  <c r="G121" i="12" s="1"/>
  <c r="E120" i="12"/>
  <c r="G120" i="12" s="1"/>
  <c r="E116" i="12"/>
  <c r="I116" i="12" s="1"/>
  <c r="E115" i="12"/>
  <c r="I115" i="12" s="1"/>
  <c r="E114" i="12"/>
  <c r="I114" i="12" s="1"/>
  <c r="E113" i="12"/>
  <c r="G113" i="12" s="1"/>
  <c r="E109" i="12"/>
  <c r="I109" i="12" s="1"/>
  <c r="E108" i="12"/>
  <c r="I108" i="12" s="1"/>
  <c r="E107" i="12"/>
  <c r="E106" i="12"/>
  <c r="G106" i="12" s="1"/>
  <c r="E102" i="12"/>
  <c r="I102" i="12" s="1"/>
  <c r="E101" i="12"/>
  <c r="I101" i="12" s="1"/>
  <c r="E100" i="12"/>
  <c r="G100" i="12" s="1"/>
  <c r="E99" i="12"/>
  <c r="H99" i="12" s="1"/>
  <c r="E98" i="12"/>
  <c r="I98" i="12" s="1"/>
  <c r="E97" i="12"/>
  <c r="E96" i="12"/>
  <c r="I96" i="12" s="1"/>
  <c r="E95" i="12"/>
  <c r="F95" i="12" s="1"/>
  <c r="E91" i="12"/>
  <c r="I91" i="12" s="1"/>
  <c r="E90" i="12"/>
  <c r="F90" i="12" s="1"/>
  <c r="E89" i="12"/>
  <c r="H89" i="12" s="1"/>
  <c r="E88" i="12"/>
  <c r="E87" i="12"/>
  <c r="I87" i="12" s="1"/>
  <c r="E86" i="12"/>
  <c r="E85" i="12"/>
  <c r="I85" i="12" s="1"/>
  <c r="E84" i="12"/>
  <c r="H84" i="12" s="1"/>
  <c r="E83" i="12"/>
  <c r="E82" i="12"/>
  <c r="G82" i="12" s="1"/>
  <c r="E81" i="12"/>
  <c r="E80" i="12"/>
  <c r="H80" i="12" s="1"/>
  <c r="E79" i="12"/>
  <c r="I79" i="12" s="1"/>
  <c r="E78" i="12"/>
  <c r="E77" i="12"/>
  <c r="E76" i="12"/>
  <c r="H76" i="12" s="1"/>
  <c r="E75" i="12"/>
  <c r="I75" i="12" s="1"/>
  <c r="E74" i="12"/>
  <c r="G74" i="12" s="1"/>
  <c r="E73" i="12"/>
  <c r="E72" i="12"/>
  <c r="G72" i="12" s="1"/>
  <c r="E71" i="12"/>
  <c r="I71" i="12" s="1"/>
  <c r="E70" i="12"/>
  <c r="E66" i="12"/>
  <c r="I66" i="12" s="1"/>
  <c r="E65" i="12"/>
  <c r="G65" i="12" s="1"/>
  <c r="E64" i="12"/>
  <c r="F64" i="12" s="1"/>
  <c r="E63" i="12"/>
  <c r="I63" i="12" s="1"/>
  <c r="E62" i="12"/>
  <c r="E61" i="12"/>
  <c r="H61" i="12" s="1"/>
  <c r="E60" i="12"/>
  <c r="I60" i="12" s="1"/>
  <c r="E59" i="12"/>
  <c r="E58" i="12"/>
  <c r="E57" i="12"/>
  <c r="H57" i="12" s="1"/>
  <c r="E56" i="12"/>
  <c r="F56" i="12" s="1"/>
  <c r="E55" i="12"/>
  <c r="E54" i="12"/>
  <c r="G54" i="12" s="1"/>
  <c r="E53" i="12"/>
  <c r="G53" i="12" s="1"/>
  <c r="E52" i="12"/>
  <c r="E51" i="12"/>
  <c r="E50" i="12"/>
  <c r="H50" i="12" s="1"/>
  <c r="E46" i="12"/>
  <c r="G46" i="12" s="1"/>
  <c r="E45" i="12"/>
  <c r="I45" i="12" s="1"/>
  <c r="E44" i="12"/>
  <c r="F44" i="12" s="1"/>
  <c r="E43" i="12"/>
  <c r="E39" i="12"/>
  <c r="H39" i="12" s="1"/>
  <c r="E38" i="12"/>
  <c r="I38" i="12" s="1"/>
  <c r="E37" i="12"/>
  <c r="E36" i="12"/>
  <c r="E32" i="12"/>
  <c r="F32" i="12" s="1"/>
  <c r="E31" i="12"/>
  <c r="I31" i="12" s="1"/>
  <c r="E30" i="12"/>
  <c r="E29" i="12"/>
  <c r="H29" i="12" s="1"/>
  <c r="E28" i="12"/>
  <c r="F28" i="12" s="1"/>
  <c r="E24" i="12"/>
  <c r="I24" i="12" s="1"/>
  <c r="E23" i="12"/>
  <c r="E22" i="12"/>
  <c r="I22" i="12" s="1"/>
  <c r="E21" i="12"/>
  <c r="G21" i="12" s="1"/>
  <c r="E20" i="12"/>
  <c r="F20" i="12" s="1"/>
  <c r="E19" i="12"/>
  <c r="E18" i="12"/>
  <c r="E14" i="12"/>
  <c r="I14" i="12" s="1"/>
  <c r="E13" i="12"/>
  <c r="I13" i="12" s="1"/>
  <c r="E12" i="12"/>
  <c r="E11" i="12"/>
  <c r="E10" i="12"/>
  <c r="F10" i="12" s="1"/>
  <c r="E9" i="12"/>
  <c r="E144" i="11"/>
  <c r="I144" i="11" s="1"/>
  <c r="E143" i="11"/>
  <c r="G143" i="11" s="1"/>
  <c r="E142" i="11"/>
  <c r="H142" i="11" s="1"/>
  <c r="E141" i="11"/>
  <c r="I141" i="11" s="1"/>
  <c r="E140" i="11"/>
  <c r="E139" i="11"/>
  <c r="E138" i="11"/>
  <c r="E137" i="11"/>
  <c r="F137" i="11" s="1"/>
  <c r="E133" i="11"/>
  <c r="I133" i="11" s="1"/>
  <c r="E132" i="11"/>
  <c r="I132" i="11" s="1"/>
  <c r="E131" i="11"/>
  <c r="F131" i="11" s="1"/>
  <c r="E130" i="11"/>
  <c r="F130" i="11" s="1"/>
  <c r="E126" i="11"/>
  <c r="E125" i="11"/>
  <c r="F125" i="11" s="1"/>
  <c r="E124" i="11"/>
  <c r="I124" i="11" s="1"/>
  <c r="E123" i="11"/>
  <c r="F123" i="11" s="1"/>
  <c r="E122" i="11"/>
  <c r="E121" i="11"/>
  <c r="G121" i="11" s="1"/>
  <c r="E120" i="11"/>
  <c r="H120" i="11" s="1"/>
  <c r="E116" i="11"/>
  <c r="I116" i="11" s="1"/>
  <c r="E115" i="11"/>
  <c r="E114" i="11"/>
  <c r="G114" i="11" s="1"/>
  <c r="E113" i="11"/>
  <c r="E109" i="11"/>
  <c r="I109" i="11" s="1"/>
  <c r="E108" i="11"/>
  <c r="E107" i="11"/>
  <c r="G107" i="11" s="1"/>
  <c r="E106" i="11"/>
  <c r="E102" i="11"/>
  <c r="I102" i="11" s="1"/>
  <c r="E101" i="11"/>
  <c r="E100" i="11"/>
  <c r="I100" i="11" s="1"/>
  <c r="E99" i="11"/>
  <c r="H99" i="11" s="1"/>
  <c r="E98" i="11"/>
  <c r="I98" i="11" s="1"/>
  <c r="E97" i="11"/>
  <c r="F97" i="11" s="1"/>
  <c r="E96" i="11"/>
  <c r="G96" i="11" s="1"/>
  <c r="E95" i="11"/>
  <c r="F95" i="11" s="1"/>
  <c r="E91" i="11"/>
  <c r="I91" i="11" s="1"/>
  <c r="E90" i="11"/>
  <c r="E89" i="11"/>
  <c r="I89" i="11" s="1"/>
  <c r="E88" i="11"/>
  <c r="F88" i="11" s="1"/>
  <c r="E87" i="11"/>
  <c r="F87" i="11" s="1"/>
  <c r="E86" i="11"/>
  <c r="I86" i="11" s="1"/>
  <c r="E85" i="11"/>
  <c r="E84" i="11"/>
  <c r="H84" i="11" s="1"/>
  <c r="E83" i="11"/>
  <c r="E82" i="11"/>
  <c r="E81" i="11"/>
  <c r="G81" i="11" s="1"/>
  <c r="E80" i="11"/>
  <c r="H80" i="11" s="1"/>
  <c r="E79" i="11"/>
  <c r="H79" i="11" s="1"/>
  <c r="E78" i="11"/>
  <c r="E77" i="11"/>
  <c r="G77" i="11" s="1"/>
  <c r="E76" i="11"/>
  <c r="E75" i="11"/>
  <c r="I75" i="11" s="1"/>
  <c r="E74" i="11"/>
  <c r="H74" i="11" s="1"/>
  <c r="E73" i="11"/>
  <c r="E72" i="11"/>
  <c r="E71" i="11"/>
  <c r="F71" i="11" s="1"/>
  <c r="E70" i="11"/>
  <c r="E66" i="11"/>
  <c r="G66" i="11" s="1"/>
  <c r="E65" i="11"/>
  <c r="G65" i="11" s="1"/>
  <c r="E64" i="11"/>
  <c r="I64" i="11" s="1"/>
  <c r="E63" i="11"/>
  <c r="G63" i="11" s="1"/>
  <c r="E62" i="11"/>
  <c r="I62" i="11" s="1"/>
  <c r="E61" i="11"/>
  <c r="H61" i="11" s="1"/>
  <c r="E60" i="11"/>
  <c r="I60" i="11" s="1"/>
  <c r="E59" i="11"/>
  <c r="I59" i="11" s="1"/>
  <c r="E58" i="11"/>
  <c r="G58" i="11" s="1"/>
  <c r="E57" i="11"/>
  <c r="G57" i="11" s="1"/>
  <c r="E56" i="11"/>
  <c r="F56" i="11" s="1"/>
  <c r="E55" i="11"/>
  <c r="G55" i="11" s="1"/>
  <c r="E54" i="11"/>
  <c r="I54" i="11" s="1"/>
  <c r="E53" i="11"/>
  <c r="H53" i="11" s="1"/>
  <c r="E52" i="11"/>
  <c r="E51" i="11"/>
  <c r="H51" i="11" s="1"/>
  <c r="E50" i="11"/>
  <c r="H50" i="11" s="1"/>
  <c r="E46" i="11"/>
  <c r="H46" i="11" s="1"/>
  <c r="E45" i="11"/>
  <c r="I45" i="11" s="1"/>
  <c r="E44" i="11"/>
  <c r="E43" i="11"/>
  <c r="E39" i="11"/>
  <c r="H39" i="11" s="1"/>
  <c r="E38" i="11"/>
  <c r="I38" i="11" s="1"/>
  <c r="E37" i="11"/>
  <c r="H37" i="11" s="1"/>
  <c r="E36" i="11"/>
  <c r="E32" i="11"/>
  <c r="H32" i="11" s="1"/>
  <c r="E31" i="11"/>
  <c r="I31" i="11" s="1"/>
  <c r="E30" i="11"/>
  <c r="E29" i="11"/>
  <c r="E28" i="11"/>
  <c r="E24" i="11"/>
  <c r="I24" i="11" s="1"/>
  <c r="E23" i="11"/>
  <c r="G23" i="11" s="1"/>
  <c r="E22" i="11"/>
  <c r="I22" i="11" s="1"/>
  <c r="E21" i="11"/>
  <c r="F21" i="11" s="1"/>
  <c r="E20" i="11"/>
  <c r="I20" i="11" s="1"/>
  <c r="E19" i="11"/>
  <c r="E18" i="11"/>
  <c r="E14" i="11"/>
  <c r="H14" i="11" s="1"/>
  <c r="E13" i="11"/>
  <c r="I13" i="11" s="1"/>
  <c r="E12" i="11"/>
  <c r="G12" i="11" s="1"/>
  <c r="E11" i="11"/>
  <c r="G11" i="11" s="1"/>
  <c r="E10" i="11"/>
  <c r="E9" i="11"/>
  <c r="E144" i="10"/>
  <c r="E143" i="10"/>
  <c r="I143" i="10" s="1"/>
  <c r="E142" i="10"/>
  <c r="H142" i="10" s="1"/>
  <c r="E141" i="10"/>
  <c r="I141" i="10" s="1"/>
  <c r="E140" i="10"/>
  <c r="I140" i="10" s="1"/>
  <c r="E139" i="10"/>
  <c r="E138" i="10"/>
  <c r="E137" i="10"/>
  <c r="E133" i="10"/>
  <c r="E132" i="10"/>
  <c r="I132" i="10" s="1"/>
  <c r="E131" i="10"/>
  <c r="I131" i="10" s="1"/>
  <c r="E130" i="10"/>
  <c r="F130" i="10" s="1"/>
  <c r="E126" i="10"/>
  <c r="H126" i="10" s="1"/>
  <c r="E125" i="10"/>
  <c r="H125" i="10" s="1"/>
  <c r="E124" i="10"/>
  <c r="I124" i="10" s="1"/>
  <c r="E123" i="10"/>
  <c r="G123" i="10" s="1"/>
  <c r="E122" i="10"/>
  <c r="F122" i="10" s="1"/>
  <c r="E121" i="10"/>
  <c r="E120" i="10"/>
  <c r="G120" i="10" s="1"/>
  <c r="E116" i="10"/>
  <c r="H116" i="10" s="1"/>
  <c r="E115" i="10"/>
  <c r="I115" i="10" s="1"/>
  <c r="E114" i="10"/>
  <c r="I114" i="10" s="1"/>
  <c r="E113" i="10"/>
  <c r="G113" i="10" s="1"/>
  <c r="E109" i="10"/>
  <c r="H109" i="10" s="1"/>
  <c r="E108" i="10"/>
  <c r="E107" i="10"/>
  <c r="E106" i="10"/>
  <c r="G106" i="10" s="1"/>
  <c r="E102" i="10"/>
  <c r="H102" i="10" s="1"/>
  <c r="E101" i="10"/>
  <c r="I101" i="10" s="1"/>
  <c r="E100" i="10"/>
  <c r="I100" i="10" s="1"/>
  <c r="E99" i="10"/>
  <c r="G99" i="10" s="1"/>
  <c r="E98" i="10"/>
  <c r="H98" i="10" s="1"/>
  <c r="E97" i="10"/>
  <c r="E96" i="10"/>
  <c r="I96" i="10" s="1"/>
  <c r="E95" i="10"/>
  <c r="E91" i="10"/>
  <c r="I91" i="10" s="1"/>
  <c r="E90" i="10"/>
  <c r="F90" i="10" s="1"/>
  <c r="E89" i="10"/>
  <c r="I89" i="10" s="1"/>
  <c r="E88" i="10"/>
  <c r="E87" i="10"/>
  <c r="G87" i="10" s="1"/>
  <c r="E86" i="10"/>
  <c r="E85" i="10"/>
  <c r="I85" i="10" s="1"/>
  <c r="E84" i="10"/>
  <c r="H84" i="10" s="1"/>
  <c r="E83" i="10"/>
  <c r="F83" i="10" s="1"/>
  <c r="E82" i="10"/>
  <c r="F82" i="10" s="1"/>
  <c r="E81" i="10"/>
  <c r="I81" i="10" s="1"/>
  <c r="E80" i="10"/>
  <c r="G80" i="10" s="1"/>
  <c r="E79" i="10"/>
  <c r="H79" i="10" s="1"/>
  <c r="E78" i="10"/>
  <c r="E77" i="10"/>
  <c r="I77" i="10" s="1"/>
  <c r="E76" i="10"/>
  <c r="H76" i="10" s="1"/>
  <c r="E75" i="10"/>
  <c r="H75" i="10" s="1"/>
  <c r="E74" i="10"/>
  <c r="F74" i="10" s="1"/>
  <c r="E73" i="10"/>
  <c r="E72" i="10"/>
  <c r="E71" i="10"/>
  <c r="F71" i="10" s="1"/>
  <c r="E70" i="10"/>
  <c r="E66" i="10"/>
  <c r="I66" i="10" s="1"/>
  <c r="E65" i="10"/>
  <c r="G65" i="10" s="1"/>
  <c r="E64" i="10"/>
  <c r="G64" i="10" s="1"/>
  <c r="E63" i="10"/>
  <c r="F63" i="10" s="1"/>
  <c r="E62" i="10"/>
  <c r="I62" i="10" s="1"/>
  <c r="E61" i="10"/>
  <c r="H61" i="10" s="1"/>
  <c r="E60" i="10"/>
  <c r="E59" i="10"/>
  <c r="E58" i="10"/>
  <c r="E57" i="10"/>
  <c r="H57" i="10" s="1"/>
  <c r="E56" i="10"/>
  <c r="F56" i="10" s="1"/>
  <c r="E55" i="10"/>
  <c r="F55" i="10" s="1"/>
  <c r="E54" i="10"/>
  <c r="I54" i="10" s="1"/>
  <c r="E53" i="10"/>
  <c r="G53" i="10" s="1"/>
  <c r="E52" i="10"/>
  <c r="G52" i="10" s="1"/>
  <c r="E51" i="10"/>
  <c r="E50" i="10"/>
  <c r="H50" i="10" s="1"/>
  <c r="E46" i="10"/>
  <c r="G46" i="10" s="1"/>
  <c r="E45" i="10"/>
  <c r="G45" i="10" s="1"/>
  <c r="E44" i="10"/>
  <c r="I44" i="10" s="1"/>
  <c r="E43" i="10"/>
  <c r="E39" i="10"/>
  <c r="G39" i="10" s="1"/>
  <c r="E38" i="10"/>
  <c r="I38" i="10" s="1"/>
  <c r="E37" i="10"/>
  <c r="E36" i="10"/>
  <c r="E32" i="10"/>
  <c r="I32" i="10" s="1"/>
  <c r="E31" i="10"/>
  <c r="H31" i="10" s="1"/>
  <c r="E30" i="10"/>
  <c r="G30" i="10" s="1"/>
  <c r="E29" i="10"/>
  <c r="I29" i="10" s="1"/>
  <c r="E28" i="10"/>
  <c r="E24" i="10"/>
  <c r="G24" i="10" s="1"/>
  <c r="E23" i="10"/>
  <c r="E22" i="10"/>
  <c r="E21" i="10"/>
  <c r="H21" i="10" s="1"/>
  <c r="E20" i="10"/>
  <c r="H20" i="10" s="1"/>
  <c r="E19" i="10"/>
  <c r="E18" i="10"/>
  <c r="E14" i="10"/>
  <c r="H14" i="10" s="1"/>
  <c r="E13" i="10"/>
  <c r="H13" i="10" s="1"/>
  <c r="E12" i="10"/>
  <c r="H12" i="10" s="1"/>
  <c r="E11" i="10"/>
  <c r="E10" i="10"/>
  <c r="E9" i="10"/>
  <c r="E144" i="9"/>
  <c r="E143" i="9"/>
  <c r="I143" i="9" s="1"/>
  <c r="E142" i="9"/>
  <c r="H142" i="9" s="1"/>
  <c r="E141" i="9"/>
  <c r="G141" i="9" s="1"/>
  <c r="E140" i="9"/>
  <c r="I140" i="9" s="1"/>
  <c r="E139" i="9"/>
  <c r="E138" i="9"/>
  <c r="E137" i="9"/>
  <c r="E133" i="9"/>
  <c r="H133" i="9" s="1"/>
  <c r="E132" i="9"/>
  <c r="I132" i="9" s="1"/>
  <c r="E131" i="9"/>
  <c r="H131" i="9" s="1"/>
  <c r="E130" i="9"/>
  <c r="E126" i="9"/>
  <c r="E125" i="9"/>
  <c r="I125" i="9" s="1"/>
  <c r="E124" i="9"/>
  <c r="H124" i="9" s="1"/>
  <c r="E123" i="9"/>
  <c r="F123" i="9" s="1"/>
  <c r="E122" i="9"/>
  <c r="E121" i="9"/>
  <c r="E120" i="9"/>
  <c r="G120" i="9" s="1"/>
  <c r="E116" i="9"/>
  <c r="I116" i="9" s="1"/>
  <c r="E115" i="9"/>
  <c r="F115" i="9" s="1"/>
  <c r="E114" i="9"/>
  <c r="I114" i="9" s="1"/>
  <c r="E113" i="9"/>
  <c r="G113" i="9" s="1"/>
  <c r="E109" i="9"/>
  <c r="G109" i="9" s="1"/>
  <c r="E108" i="9"/>
  <c r="I108" i="9" s="1"/>
  <c r="E107" i="9"/>
  <c r="E106" i="9"/>
  <c r="G106" i="9" s="1"/>
  <c r="E102" i="9"/>
  <c r="I102" i="9" s="1"/>
  <c r="E101" i="9"/>
  <c r="E100" i="9"/>
  <c r="I100" i="9" s="1"/>
  <c r="E99" i="9"/>
  <c r="G99" i="9" s="1"/>
  <c r="E98" i="9"/>
  <c r="G98" i="9" s="1"/>
  <c r="E97" i="9"/>
  <c r="F97" i="9" s="1"/>
  <c r="E96" i="9"/>
  <c r="I96" i="9" s="1"/>
  <c r="E95" i="9"/>
  <c r="H95" i="9" s="1"/>
  <c r="E91" i="9"/>
  <c r="H91" i="9" s="1"/>
  <c r="E90" i="9"/>
  <c r="H90" i="9" s="1"/>
  <c r="E89" i="9"/>
  <c r="I89" i="9" s="1"/>
  <c r="E88" i="9"/>
  <c r="G88" i="9" s="1"/>
  <c r="E87" i="9"/>
  <c r="I87" i="9" s="1"/>
  <c r="E86" i="9"/>
  <c r="I86" i="9" s="1"/>
  <c r="E85" i="9"/>
  <c r="I85" i="9" s="1"/>
  <c r="E84" i="9"/>
  <c r="G84" i="9" s="1"/>
  <c r="E83" i="9"/>
  <c r="G83" i="9" s="1"/>
  <c r="E82" i="9"/>
  <c r="G82" i="9" s="1"/>
  <c r="E81" i="9"/>
  <c r="I81" i="9" s="1"/>
  <c r="E80" i="9"/>
  <c r="H80" i="9" s="1"/>
  <c r="E79" i="9"/>
  <c r="F79" i="9" s="1"/>
  <c r="E78" i="9"/>
  <c r="I78" i="9" s="1"/>
  <c r="E77" i="9"/>
  <c r="I77" i="9" s="1"/>
  <c r="E76" i="9"/>
  <c r="G76" i="9" s="1"/>
  <c r="E75" i="9"/>
  <c r="F75" i="9" s="1"/>
  <c r="E74" i="9"/>
  <c r="E73" i="9"/>
  <c r="E72" i="9"/>
  <c r="H72" i="9" s="1"/>
  <c r="E71" i="9"/>
  <c r="F71" i="9" s="1"/>
  <c r="E70" i="9"/>
  <c r="E66" i="9"/>
  <c r="I66" i="9" s="1"/>
  <c r="E65" i="9"/>
  <c r="H65" i="9" s="1"/>
  <c r="E64" i="9"/>
  <c r="G64" i="9" s="1"/>
  <c r="E63" i="9"/>
  <c r="I63" i="9" s="1"/>
  <c r="E62" i="9"/>
  <c r="H62" i="9" s="1"/>
  <c r="E61" i="9"/>
  <c r="H61" i="9" s="1"/>
  <c r="E60" i="9"/>
  <c r="G60" i="9" s="1"/>
  <c r="E59" i="9"/>
  <c r="I59" i="9" s="1"/>
  <c r="E58" i="9"/>
  <c r="E57" i="9"/>
  <c r="G57" i="9" s="1"/>
  <c r="E56" i="9"/>
  <c r="H56" i="9" s="1"/>
  <c r="E55" i="9"/>
  <c r="E54" i="9"/>
  <c r="I54" i="9" s="1"/>
  <c r="E53" i="9"/>
  <c r="H53" i="9" s="1"/>
  <c r="E52" i="9"/>
  <c r="E51" i="9"/>
  <c r="F51" i="9" s="1"/>
  <c r="E50" i="9"/>
  <c r="H50" i="9" s="1"/>
  <c r="E46" i="9"/>
  <c r="H46" i="9" s="1"/>
  <c r="E45" i="9"/>
  <c r="H45" i="9" s="1"/>
  <c r="E44" i="9"/>
  <c r="I44" i="9" s="1"/>
  <c r="E43" i="9"/>
  <c r="E39" i="9"/>
  <c r="H39" i="9" s="1"/>
  <c r="E38" i="9"/>
  <c r="H38" i="9" s="1"/>
  <c r="E37" i="9"/>
  <c r="F37" i="9" s="1"/>
  <c r="E36" i="9"/>
  <c r="H36" i="9" s="1"/>
  <c r="E32" i="9"/>
  <c r="I32" i="9" s="1"/>
  <c r="E31" i="9"/>
  <c r="F31" i="9" s="1"/>
  <c r="E30" i="9"/>
  <c r="E29" i="9"/>
  <c r="I29" i="9" s="1"/>
  <c r="E28" i="9"/>
  <c r="E24" i="9"/>
  <c r="I24" i="9" s="1"/>
  <c r="E23" i="9"/>
  <c r="F23" i="9" s="1"/>
  <c r="E22" i="9"/>
  <c r="I22" i="9" s="1"/>
  <c r="E21" i="9"/>
  <c r="G21" i="9" s="1"/>
  <c r="E20" i="9"/>
  <c r="G20" i="9" s="1"/>
  <c r="E19" i="9"/>
  <c r="E18" i="9"/>
  <c r="E14" i="9"/>
  <c r="H14" i="9" s="1"/>
  <c r="E13" i="9"/>
  <c r="I13" i="9" s="1"/>
  <c r="E12" i="9"/>
  <c r="I12" i="9" s="1"/>
  <c r="E11" i="9"/>
  <c r="E10" i="9"/>
  <c r="F10" i="9" s="1"/>
  <c r="E9" i="9"/>
  <c r="F9" i="9" s="1"/>
  <c r="E144" i="8"/>
  <c r="E143" i="8"/>
  <c r="I143" i="8" s="1"/>
  <c r="E142" i="8"/>
  <c r="H142" i="8" s="1"/>
  <c r="E141" i="8"/>
  <c r="I141" i="8" s="1"/>
  <c r="E140" i="8"/>
  <c r="I140" i="8" s="1"/>
  <c r="E139" i="8"/>
  <c r="E138" i="8"/>
  <c r="E137" i="8"/>
  <c r="E133" i="8"/>
  <c r="E132" i="8"/>
  <c r="H132" i="8" s="1"/>
  <c r="E131" i="8"/>
  <c r="F131" i="8" s="1"/>
  <c r="E130" i="8"/>
  <c r="E126" i="8"/>
  <c r="I126" i="8" s="1"/>
  <c r="E125" i="8"/>
  <c r="I125" i="8" s="1"/>
  <c r="E124" i="8"/>
  <c r="F124" i="8" s="1"/>
  <c r="E123" i="8"/>
  <c r="F123" i="8" s="1"/>
  <c r="E122" i="8"/>
  <c r="E121" i="8"/>
  <c r="E120" i="8"/>
  <c r="F120" i="8" s="1"/>
  <c r="E116" i="8"/>
  <c r="G116" i="8" s="1"/>
  <c r="E115" i="8"/>
  <c r="F115" i="8" s="1"/>
  <c r="E114" i="8"/>
  <c r="G114" i="8" s="1"/>
  <c r="E113" i="8"/>
  <c r="G113" i="8" s="1"/>
  <c r="E109" i="8"/>
  <c r="I109" i="8" s="1"/>
  <c r="E108" i="8"/>
  <c r="E107" i="8"/>
  <c r="G107" i="8" s="1"/>
  <c r="E106" i="8"/>
  <c r="G106" i="8" s="1"/>
  <c r="E102" i="8"/>
  <c r="G102" i="8" s="1"/>
  <c r="E101" i="8"/>
  <c r="F101" i="8" s="1"/>
  <c r="E100" i="8"/>
  <c r="I100" i="8" s="1"/>
  <c r="E99" i="8"/>
  <c r="H99" i="8" s="1"/>
  <c r="E98" i="8"/>
  <c r="I98" i="8" s="1"/>
  <c r="E97" i="8"/>
  <c r="E96" i="8"/>
  <c r="I96" i="8" s="1"/>
  <c r="E95" i="8"/>
  <c r="H95" i="8" s="1"/>
  <c r="E91" i="8"/>
  <c r="I91" i="8" s="1"/>
  <c r="E90" i="8"/>
  <c r="I90" i="8" s="1"/>
  <c r="E89" i="8"/>
  <c r="H89" i="8" s="1"/>
  <c r="E88" i="8"/>
  <c r="G88" i="8" s="1"/>
  <c r="E87" i="8"/>
  <c r="I87" i="8" s="1"/>
  <c r="E86" i="8"/>
  <c r="E85" i="8"/>
  <c r="I85" i="8" s="1"/>
  <c r="E84" i="8"/>
  <c r="E83" i="8"/>
  <c r="E82" i="8"/>
  <c r="F82" i="8" s="1"/>
  <c r="E81" i="8"/>
  <c r="I81" i="8" s="1"/>
  <c r="E80" i="8"/>
  <c r="I80" i="8" s="1"/>
  <c r="E79" i="8"/>
  <c r="I79" i="8" s="1"/>
  <c r="E78" i="8"/>
  <c r="E77" i="8"/>
  <c r="G77" i="8" s="1"/>
  <c r="E76" i="8"/>
  <c r="G76" i="8" s="1"/>
  <c r="E75" i="8"/>
  <c r="I75" i="8" s="1"/>
  <c r="E74" i="8"/>
  <c r="G74" i="8" s="1"/>
  <c r="E73" i="8"/>
  <c r="E72" i="8"/>
  <c r="G72" i="8" s="1"/>
  <c r="E71" i="8"/>
  <c r="I71" i="8" s="1"/>
  <c r="E70" i="8"/>
  <c r="E66" i="8"/>
  <c r="H66" i="8" s="1"/>
  <c r="E65" i="8"/>
  <c r="H65" i="8" s="1"/>
  <c r="E64" i="8"/>
  <c r="G64" i="8" s="1"/>
  <c r="E63" i="8"/>
  <c r="F63" i="8" s="1"/>
  <c r="E62" i="8"/>
  <c r="G62" i="8" s="1"/>
  <c r="E61" i="8"/>
  <c r="H61" i="8" s="1"/>
  <c r="E60" i="8"/>
  <c r="I60" i="8" s="1"/>
  <c r="E59" i="8"/>
  <c r="E58" i="8"/>
  <c r="I58" i="8" s="1"/>
  <c r="E57" i="8"/>
  <c r="F57" i="8" s="1"/>
  <c r="E56" i="8"/>
  <c r="G56" i="8" s="1"/>
  <c r="E55" i="8"/>
  <c r="G55" i="8" s="1"/>
  <c r="E54" i="8"/>
  <c r="I54" i="8" s="1"/>
  <c r="E53" i="8"/>
  <c r="G53" i="8" s="1"/>
  <c r="E52" i="8"/>
  <c r="E51" i="8"/>
  <c r="E50" i="8"/>
  <c r="H50" i="8" s="1"/>
  <c r="E46" i="8"/>
  <c r="H46" i="8" s="1"/>
  <c r="E45" i="8"/>
  <c r="I45" i="8" s="1"/>
  <c r="E44" i="8"/>
  <c r="I44" i="8" s="1"/>
  <c r="E43" i="8"/>
  <c r="E39" i="8"/>
  <c r="H39" i="8" s="1"/>
  <c r="E38" i="8"/>
  <c r="I38" i="8" s="1"/>
  <c r="E37" i="8"/>
  <c r="E36" i="8"/>
  <c r="E32" i="8"/>
  <c r="I32" i="8" s="1"/>
  <c r="E31" i="8"/>
  <c r="I31" i="8" s="1"/>
  <c r="E30" i="8"/>
  <c r="E29" i="8"/>
  <c r="I29" i="8" s="1"/>
  <c r="E28" i="8"/>
  <c r="G28" i="8" s="1"/>
  <c r="E24" i="8"/>
  <c r="I24" i="8" s="1"/>
  <c r="E23" i="8"/>
  <c r="E22" i="8"/>
  <c r="I22" i="8" s="1"/>
  <c r="E21" i="8"/>
  <c r="H21" i="8" s="1"/>
  <c r="E20" i="8"/>
  <c r="G20" i="8" s="1"/>
  <c r="E19" i="8"/>
  <c r="E18" i="8"/>
  <c r="E14" i="8"/>
  <c r="H14" i="8" s="1"/>
  <c r="E13" i="8"/>
  <c r="G13" i="8" s="1"/>
  <c r="E12" i="8"/>
  <c r="E11" i="8"/>
  <c r="G11" i="8" s="1"/>
  <c r="E10" i="8"/>
  <c r="F10" i="8" s="1"/>
  <c r="E9" i="8"/>
  <c r="E144" i="7"/>
  <c r="I144" i="7" s="1"/>
  <c r="E143" i="7"/>
  <c r="I143" i="7" s="1"/>
  <c r="E142" i="7"/>
  <c r="H142" i="7" s="1"/>
  <c r="E141" i="7"/>
  <c r="I141" i="7" s="1"/>
  <c r="E140" i="7"/>
  <c r="E139" i="7"/>
  <c r="E138" i="7"/>
  <c r="E137" i="7"/>
  <c r="F137" i="7" s="1"/>
  <c r="E133" i="7"/>
  <c r="H133" i="7" s="1"/>
  <c r="E132" i="7"/>
  <c r="I132" i="7" s="1"/>
  <c r="E131" i="7"/>
  <c r="I131" i="7" s="1"/>
  <c r="E130" i="7"/>
  <c r="F130" i="7" s="1"/>
  <c r="E126" i="7"/>
  <c r="E125" i="7"/>
  <c r="I125" i="7" s="1"/>
  <c r="E124" i="7"/>
  <c r="I124" i="7" s="1"/>
  <c r="E123" i="7"/>
  <c r="F123" i="7" s="1"/>
  <c r="E122" i="7"/>
  <c r="E121" i="7"/>
  <c r="E120" i="7"/>
  <c r="G120" i="7" s="1"/>
  <c r="E116" i="7"/>
  <c r="H116" i="7" s="1"/>
  <c r="E115" i="7"/>
  <c r="E114" i="7"/>
  <c r="I114" i="7" s="1"/>
  <c r="E113" i="7"/>
  <c r="G113" i="7" s="1"/>
  <c r="E109" i="7"/>
  <c r="G109" i="7" s="1"/>
  <c r="E108" i="7"/>
  <c r="G108" i="7" s="1"/>
  <c r="E107" i="7"/>
  <c r="E106" i="7"/>
  <c r="G106" i="7" s="1"/>
  <c r="E102" i="7"/>
  <c r="I102" i="7" s="1"/>
  <c r="E101" i="7"/>
  <c r="E100" i="7"/>
  <c r="I100" i="7" s="1"/>
  <c r="E99" i="7"/>
  <c r="H99" i="7" s="1"/>
  <c r="E98" i="7"/>
  <c r="H98" i="7" s="1"/>
  <c r="E97" i="7"/>
  <c r="E96" i="7"/>
  <c r="F96" i="7" s="1"/>
  <c r="E95" i="7"/>
  <c r="H95" i="7" s="1"/>
  <c r="E91" i="7"/>
  <c r="H91" i="7" s="1"/>
  <c r="E90" i="7"/>
  <c r="E89" i="7"/>
  <c r="I89" i="7" s="1"/>
  <c r="E88" i="7"/>
  <c r="H88" i="7" s="1"/>
  <c r="E87" i="7"/>
  <c r="G87" i="7" s="1"/>
  <c r="E86" i="7"/>
  <c r="G86" i="7" s="1"/>
  <c r="E85" i="7"/>
  <c r="I85" i="7" s="1"/>
  <c r="E84" i="7"/>
  <c r="H84" i="7" s="1"/>
  <c r="E83" i="7"/>
  <c r="H83" i="7" s="1"/>
  <c r="E82" i="7"/>
  <c r="E81" i="7"/>
  <c r="H81" i="7" s="1"/>
  <c r="E80" i="7"/>
  <c r="H80" i="7" s="1"/>
  <c r="E79" i="7"/>
  <c r="F79" i="7" s="1"/>
  <c r="E78" i="7"/>
  <c r="G78" i="7" s="1"/>
  <c r="E77" i="7"/>
  <c r="E76" i="7"/>
  <c r="E75" i="7"/>
  <c r="I75" i="7" s="1"/>
  <c r="E74" i="7"/>
  <c r="E73" i="7"/>
  <c r="F73" i="7" s="1"/>
  <c r="E72" i="7"/>
  <c r="F72" i="7" s="1"/>
  <c r="E71" i="7"/>
  <c r="G71" i="7" s="1"/>
  <c r="E70" i="7"/>
  <c r="E66" i="7"/>
  <c r="I66" i="7" s="1"/>
  <c r="E65" i="7"/>
  <c r="H65" i="7" s="1"/>
  <c r="E64" i="7"/>
  <c r="F64" i="7" s="1"/>
  <c r="E63" i="7"/>
  <c r="E62" i="7"/>
  <c r="I62" i="7" s="1"/>
  <c r="E61" i="7"/>
  <c r="H61" i="7" s="1"/>
  <c r="E60" i="7"/>
  <c r="E59" i="7"/>
  <c r="I59" i="7" s="1"/>
  <c r="E58" i="7"/>
  <c r="F58" i="7" s="1"/>
  <c r="E57" i="7"/>
  <c r="I57" i="7" s="1"/>
  <c r="E56" i="7"/>
  <c r="G56" i="7" s="1"/>
  <c r="E55" i="7"/>
  <c r="E54" i="7"/>
  <c r="I54" i="7" s="1"/>
  <c r="E53" i="7"/>
  <c r="H53" i="7" s="1"/>
  <c r="E52" i="7"/>
  <c r="E51" i="7"/>
  <c r="I51" i="7" s="1"/>
  <c r="E50" i="7"/>
  <c r="H50" i="7" s="1"/>
  <c r="E46" i="7"/>
  <c r="H46" i="7" s="1"/>
  <c r="E45" i="7"/>
  <c r="F45" i="7" s="1"/>
  <c r="E44" i="7"/>
  <c r="E43" i="7"/>
  <c r="E39" i="7"/>
  <c r="H39" i="7" s="1"/>
  <c r="E38" i="7"/>
  <c r="G38" i="7" s="1"/>
  <c r="E37" i="7"/>
  <c r="F37" i="7" s="1"/>
  <c r="E36" i="7"/>
  <c r="E32" i="7"/>
  <c r="H32" i="7" s="1"/>
  <c r="E31" i="7"/>
  <c r="H31" i="7" s="1"/>
  <c r="E30" i="7"/>
  <c r="E29" i="7"/>
  <c r="F29" i="7" s="1"/>
  <c r="E28" i="7"/>
  <c r="F28" i="7" s="1"/>
  <c r="E24" i="7"/>
  <c r="G24" i="7" s="1"/>
  <c r="E23" i="7"/>
  <c r="G23" i="7" s="1"/>
  <c r="E22" i="7"/>
  <c r="F22" i="7" s="1"/>
  <c r="E21" i="7"/>
  <c r="G21" i="7" s="1"/>
  <c r="E20" i="7"/>
  <c r="F20" i="7" s="1"/>
  <c r="E19" i="7"/>
  <c r="E18" i="7"/>
  <c r="E14" i="7"/>
  <c r="H14" i="7" s="1"/>
  <c r="E13" i="7"/>
  <c r="H13" i="7" s="1"/>
  <c r="E12" i="7"/>
  <c r="I12" i="7" s="1"/>
  <c r="E11" i="7"/>
  <c r="E10" i="7"/>
  <c r="E9" i="7"/>
  <c r="E144" i="6"/>
  <c r="E143" i="6"/>
  <c r="I143" i="6" s="1"/>
  <c r="E142" i="6"/>
  <c r="G142" i="6" s="1"/>
  <c r="E141" i="6"/>
  <c r="G141" i="6" s="1"/>
  <c r="E140" i="6"/>
  <c r="H140" i="6" s="1"/>
  <c r="E139" i="6"/>
  <c r="F139" i="6" s="1"/>
  <c r="E138" i="6"/>
  <c r="G138" i="6" s="1"/>
  <c r="E137" i="6"/>
  <c r="F137" i="6" s="1"/>
  <c r="E133" i="6"/>
  <c r="E132" i="6"/>
  <c r="F132" i="6" s="1"/>
  <c r="E131" i="6"/>
  <c r="G131" i="6" s="1"/>
  <c r="E130" i="6"/>
  <c r="F130" i="6" s="1"/>
  <c r="E126" i="6"/>
  <c r="G126" i="6" s="1"/>
  <c r="E125" i="6"/>
  <c r="I125" i="6" s="1"/>
  <c r="E124" i="6"/>
  <c r="H124" i="6" s="1"/>
  <c r="E123" i="6"/>
  <c r="G123" i="6" s="1"/>
  <c r="E122" i="6"/>
  <c r="E121" i="6"/>
  <c r="E120" i="6"/>
  <c r="G120" i="6" s="1"/>
  <c r="E116" i="6"/>
  <c r="G116" i="6" s="1"/>
  <c r="E115" i="6"/>
  <c r="F115" i="6" s="1"/>
  <c r="E114" i="6"/>
  <c r="I114" i="6" s="1"/>
  <c r="E113" i="6"/>
  <c r="E109" i="6"/>
  <c r="G109" i="6" s="1"/>
  <c r="E108" i="6"/>
  <c r="E107" i="6"/>
  <c r="E106" i="6"/>
  <c r="E102" i="6"/>
  <c r="H102" i="6" s="1"/>
  <c r="E101" i="6"/>
  <c r="I101" i="6" s="1"/>
  <c r="E100" i="6"/>
  <c r="I100" i="6" s="1"/>
  <c r="E99" i="6"/>
  <c r="H99" i="6" s="1"/>
  <c r="E98" i="6"/>
  <c r="H98" i="6" s="1"/>
  <c r="E97" i="6"/>
  <c r="E96" i="6"/>
  <c r="I96" i="6" s="1"/>
  <c r="E95" i="6"/>
  <c r="E91" i="6"/>
  <c r="H91" i="6" s="1"/>
  <c r="E90" i="6"/>
  <c r="I90" i="6" s="1"/>
  <c r="E89" i="6"/>
  <c r="I89" i="6" s="1"/>
  <c r="E88" i="6"/>
  <c r="H88" i="6" s="1"/>
  <c r="E87" i="6"/>
  <c r="I87" i="6" s="1"/>
  <c r="E86" i="6"/>
  <c r="E85" i="6"/>
  <c r="I85" i="6" s="1"/>
  <c r="E84" i="6"/>
  <c r="H84" i="6" s="1"/>
  <c r="E83" i="6"/>
  <c r="H83" i="6" s="1"/>
  <c r="E82" i="6"/>
  <c r="F82" i="6" s="1"/>
  <c r="E81" i="6"/>
  <c r="I81" i="6" s="1"/>
  <c r="E80" i="6"/>
  <c r="I80" i="6" s="1"/>
  <c r="E79" i="6"/>
  <c r="F79" i="6" s="1"/>
  <c r="E78" i="6"/>
  <c r="E77" i="6"/>
  <c r="I77" i="6" s="1"/>
  <c r="E76" i="6"/>
  <c r="H76" i="6" s="1"/>
  <c r="E75" i="6"/>
  <c r="H75" i="6" s="1"/>
  <c r="E74" i="6"/>
  <c r="H74" i="6" s="1"/>
  <c r="E73" i="6"/>
  <c r="H73" i="6" s="1"/>
  <c r="E72" i="6"/>
  <c r="H72" i="6" s="1"/>
  <c r="E71" i="6"/>
  <c r="I71" i="6" s="1"/>
  <c r="E70" i="6"/>
  <c r="E66" i="6"/>
  <c r="I66" i="6" s="1"/>
  <c r="E65" i="6"/>
  <c r="I65" i="6" s="1"/>
  <c r="E64" i="6"/>
  <c r="G64" i="6" s="1"/>
  <c r="E63" i="6"/>
  <c r="G63" i="6" s="1"/>
  <c r="E62" i="6"/>
  <c r="I62" i="6" s="1"/>
  <c r="E61" i="6"/>
  <c r="H61" i="6" s="1"/>
  <c r="E60" i="6"/>
  <c r="H60" i="6" s="1"/>
  <c r="E59" i="6"/>
  <c r="E58" i="6"/>
  <c r="F58" i="6" s="1"/>
  <c r="E57" i="6"/>
  <c r="H57" i="6" s="1"/>
  <c r="E56" i="6"/>
  <c r="G56" i="6" s="1"/>
  <c r="E55" i="6"/>
  <c r="G55" i="6" s="1"/>
  <c r="E54" i="6"/>
  <c r="I54" i="6" s="1"/>
  <c r="E53" i="6"/>
  <c r="E52" i="6"/>
  <c r="E51" i="6"/>
  <c r="E50" i="6"/>
  <c r="E46" i="6"/>
  <c r="H46" i="6" s="1"/>
  <c r="E45" i="6"/>
  <c r="H45" i="6" s="1"/>
  <c r="E44" i="6"/>
  <c r="F44" i="6" s="1"/>
  <c r="E43" i="6"/>
  <c r="E39" i="6"/>
  <c r="H39" i="6" s="1"/>
  <c r="E38" i="6"/>
  <c r="H38" i="6" s="1"/>
  <c r="E37" i="6"/>
  <c r="E36" i="6"/>
  <c r="E32" i="6"/>
  <c r="H32" i="6" s="1"/>
  <c r="E31" i="6"/>
  <c r="I31" i="6" s="1"/>
  <c r="E30" i="6"/>
  <c r="E29" i="6"/>
  <c r="I29" i="6" s="1"/>
  <c r="E28" i="6"/>
  <c r="E24" i="6"/>
  <c r="H24" i="6" s="1"/>
  <c r="E23" i="6"/>
  <c r="E22" i="6"/>
  <c r="I22" i="6" s="1"/>
  <c r="E21" i="6"/>
  <c r="H21" i="6" s="1"/>
  <c r="E20" i="6"/>
  <c r="G20" i="6" s="1"/>
  <c r="E19" i="6"/>
  <c r="E18" i="6"/>
  <c r="E14" i="6"/>
  <c r="I14" i="6" s="1"/>
  <c r="E13" i="6"/>
  <c r="G13" i="6" s="1"/>
  <c r="E12" i="6"/>
  <c r="E11" i="6"/>
  <c r="E10" i="6"/>
  <c r="E9" i="6"/>
  <c r="E144" i="5"/>
  <c r="I144" i="5" s="1"/>
  <c r="E143" i="5"/>
  <c r="I143" i="5" s="1"/>
  <c r="E142" i="5"/>
  <c r="H142" i="5" s="1"/>
  <c r="E141" i="5"/>
  <c r="G141" i="5" s="1"/>
  <c r="E140" i="5"/>
  <c r="E139" i="5"/>
  <c r="E138" i="5"/>
  <c r="E137" i="5"/>
  <c r="F137" i="5" s="1"/>
  <c r="E133" i="5"/>
  <c r="G133" i="5" s="1"/>
  <c r="E132" i="5"/>
  <c r="I132" i="5" s="1"/>
  <c r="E131" i="5"/>
  <c r="H131" i="5" s="1"/>
  <c r="E130" i="5"/>
  <c r="F130" i="5" s="1"/>
  <c r="E126" i="5"/>
  <c r="E125" i="5"/>
  <c r="I125" i="5" s="1"/>
  <c r="E124" i="5"/>
  <c r="H124" i="5" s="1"/>
  <c r="E123" i="5"/>
  <c r="H123" i="5" s="1"/>
  <c r="E122" i="5"/>
  <c r="F122" i="5" s="1"/>
  <c r="E121" i="5"/>
  <c r="E120" i="5"/>
  <c r="G120" i="5" s="1"/>
  <c r="E116" i="5"/>
  <c r="G116" i="5" s="1"/>
  <c r="E115" i="5"/>
  <c r="E114" i="5"/>
  <c r="I114" i="5" s="1"/>
  <c r="E113" i="5"/>
  <c r="G113" i="5" s="1"/>
  <c r="E109" i="5"/>
  <c r="G109" i="5" s="1"/>
  <c r="E108" i="5"/>
  <c r="F108" i="5" s="1"/>
  <c r="E107" i="5"/>
  <c r="E106" i="5"/>
  <c r="G106" i="5" s="1"/>
  <c r="E102" i="5"/>
  <c r="G102" i="5" s="1"/>
  <c r="E101" i="5"/>
  <c r="E100" i="5"/>
  <c r="I100" i="5" s="1"/>
  <c r="E99" i="5"/>
  <c r="H99" i="5" s="1"/>
  <c r="E98" i="5"/>
  <c r="I98" i="5" s="1"/>
  <c r="E97" i="5"/>
  <c r="G97" i="5" s="1"/>
  <c r="E96" i="5"/>
  <c r="I96" i="5" s="1"/>
  <c r="E95" i="5"/>
  <c r="E91" i="5"/>
  <c r="I91" i="5" s="1"/>
  <c r="E90" i="5"/>
  <c r="E89" i="5"/>
  <c r="H89" i="5" s="1"/>
  <c r="E88" i="5"/>
  <c r="H88" i="5" s="1"/>
  <c r="E87" i="5"/>
  <c r="G87" i="5" s="1"/>
  <c r="E86" i="5"/>
  <c r="F86" i="5" s="1"/>
  <c r="E85" i="5"/>
  <c r="I85" i="5" s="1"/>
  <c r="E84" i="5"/>
  <c r="H84" i="5" s="1"/>
  <c r="E83" i="5"/>
  <c r="E82" i="5"/>
  <c r="H82" i="5" s="1"/>
  <c r="E81" i="5"/>
  <c r="I81" i="5" s="1"/>
  <c r="E80" i="5"/>
  <c r="H80" i="5" s="1"/>
  <c r="E79" i="5"/>
  <c r="G79" i="5" s="1"/>
  <c r="E78" i="5"/>
  <c r="H78" i="5" s="1"/>
  <c r="E77" i="5"/>
  <c r="E76" i="5"/>
  <c r="F76" i="5" s="1"/>
  <c r="E75" i="5"/>
  <c r="I75" i="5" s="1"/>
  <c r="E74" i="5"/>
  <c r="E73" i="5"/>
  <c r="E72" i="5"/>
  <c r="E71" i="5"/>
  <c r="G71" i="5" s="1"/>
  <c r="E70" i="5"/>
  <c r="E66" i="5"/>
  <c r="I66" i="5" s="1"/>
  <c r="E65" i="5"/>
  <c r="I65" i="5" s="1"/>
  <c r="E64" i="5"/>
  <c r="G64" i="5" s="1"/>
  <c r="E63" i="5"/>
  <c r="E62" i="5"/>
  <c r="I62" i="5" s="1"/>
  <c r="E61" i="5"/>
  <c r="G61" i="5" s="1"/>
  <c r="E60" i="5"/>
  <c r="I60" i="5" s="1"/>
  <c r="E59" i="5"/>
  <c r="G59" i="5" s="1"/>
  <c r="E58" i="5"/>
  <c r="H58" i="5" s="1"/>
  <c r="E57" i="5"/>
  <c r="I57" i="5" s="1"/>
  <c r="E56" i="5"/>
  <c r="F56" i="5" s="1"/>
  <c r="E55" i="5"/>
  <c r="E54" i="5"/>
  <c r="I54" i="5" s="1"/>
  <c r="E53" i="5"/>
  <c r="F53" i="5" s="1"/>
  <c r="E52" i="5"/>
  <c r="E51" i="5"/>
  <c r="F51" i="5" s="1"/>
  <c r="E50" i="5"/>
  <c r="E46" i="5"/>
  <c r="H46" i="5" s="1"/>
  <c r="E45" i="5"/>
  <c r="I45" i="5" s="1"/>
  <c r="E44" i="5"/>
  <c r="E43" i="5"/>
  <c r="E39" i="5"/>
  <c r="I39" i="5" s="1"/>
  <c r="E38" i="5"/>
  <c r="G38" i="5" s="1"/>
  <c r="E37" i="5"/>
  <c r="F37" i="5" s="1"/>
  <c r="E36" i="5"/>
  <c r="H36" i="5" s="1"/>
  <c r="E32" i="5"/>
  <c r="G32" i="5" s="1"/>
  <c r="E31" i="5"/>
  <c r="I31" i="5" s="1"/>
  <c r="E30" i="5"/>
  <c r="E29" i="5"/>
  <c r="G29" i="5" s="1"/>
  <c r="E28" i="5"/>
  <c r="E24" i="5"/>
  <c r="F24" i="5" s="1"/>
  <c r="E23" i="5"/>
  <c r="G23" i="5" s="1"/>
  <c r="E22" i="5"/>
  <c r="G22" i="5" s="1"/>
  <c r="E21" i="5"/>
  <c r="I21" i="5" s="1"/>
  <c r="E20" i="5"/>
  <c r="G20" i="5" s="1"/>
  <c r="E19" i="5"/>
  <c r="E18" i="5"/>
  <c r="E14" i="5"/>
  <c r="I14" i="5" s="1"/>
  <c r="E13" i="5"/>
  <c r="G13" i="5" s="1"/>
  <c r="E12" i="5"/>
  <c r="F12" i="5" s="1"/>
  <c r="E11" i="5"/>
  <c r="E10" i="5"/>
  <c r="E9" i="5"/>
  <c r="F145" i="12"/>
  <c r="N144" i="12"/>
  <c r="M144" i="12"/>
  <c r="I144" i="12"/>
  <c r="C144" i="12"/>
  <c r="B144" i="12"/>
  <c r="N143" i="12"/>
  <c r="M143" i="12"/>
  <c r="C143" i="12"/>
  <c r="B143" i="12"/>
  <c r="N142" i="12"/>
  <c r="M142" i="12"/>
  <c r="C142" i="12"/>
  <c r="B142" i="12"/>
  <c r="N141" i="12"/>
  <c r="M141" i="12"/>
  <c r="C141" i="12"/>
  <c r="B141" i="12"/>
  <c r="N140" i="12"/>
  <c r="M140" i="12"/>
  <c r="C140" i="12"/>
  <c r="B140" i="12"/>
  <c r="N139" i="12"/>
  <c r="M139" i="12"/>
  <c r="C139" i="12"/>
  <c r="B139" i="12"/>
  <c r="N138" i="12"/>
  <c r="M138" i="12"/>
  <c r="C138" i="12"/>
  <c r="B138" i="12"/>
  <c r="N137" i="12"/>
  <c r="M137" i="12"/>
  <c r="C137" i="12"/>
  <c r="B137" i="12"/>
  <c r="C136" i="12"/>
  <c r="B136" i="12"/>
  <c r="N133" i="12"/>
  <c r="M133" i="12"/>
  <c r="G133" i="12"/>
  <c r="F133" i="12"/>
  <c r="C133" i="12"/>
  <c r="B133" i="12"/>
  <c r="N132" i="12"/>
  <c r="M132" i="12"/>
  <c r="C132" i="12"/>
  <c r="B132" i="12"/>
  <c r="N131" i="12"/>
  <c r="M131" i="12"/>
  <c r="G131" i="12"/>
  <c r="C131" i="12"/>
  <c r="B131" i="12"/>
  <c r="N130" i="12"/>
  <c r="M130" i="12"/>
  <c r="C130" i="12"/>
  <c r="B130" i="12"/>
  <c r="C129" i="12"/>
  <c r="B129" i="12"/>
  <c r="N126" i="12"/>
  <c r="M126" i="12"/>
  <c r="C126" i="12"/>
  <c r="B126" i="12"/>
  <c r="N125" i="12"/>
  <c r="M125" i="12"/>
  <c r="C125" i="12"/>
  <c r="B125" i="12"/>
  <c r="N124" i="12"/>
  <c r="M124" i="12"/>
  <c r="C124" i="12"/>
  <c r="B124" i="12"/>
  <c r="N123" i="12"/>
  <c r="M123" i="12"/>
  <c r="C123" i="12"/>
  <c r="B123" i="12"/>
  <c r="N122" i="12"/>
  <c r="M122" i="12"/>
  <c r="C122" i="12"/>
  <c r="B122" i="12"/>
  <c r="N121" i="12"/>
  <c r="M121" i="12"/>
  <c r="C121" i="12"/>
  <c r="B121" i="12"/>
  <c r="N120" i="12"/>
  <c r="M120" i="12"/>
  <c r="C120" i="12"/>
  <c r="B120" i="12"/>
  <c r="C119" i="12"/>
  <c r="B119" i="12"/>
  <c r="N116" i="12"/>
  <c r="M116" i="12"/>
  <c r="C116" i="12"/>
  <c r="B116" i="12"/>
  <c r="N115" i="12"/>
  <c r="M115" i="12"/>
  <c r="C115" i="12"/>
  <c r="B115" i="12"/>
  <c r="N114" i="12"/>
  <c r="M114" i="12"/>
  <c r="C114" i="12"/>
  <c r="B114" i="12"/>
  <c r="N113" i="12"/>
  <c r="M113" i="12"/>
  <c r="C113" i="12"/>
  <c r="B113" i="12"/>
  <c r="C112" i="12"/>
  <c r="B112" i="12"/>
  <c r="N109" i="12"/>
  <c r="M109" i="12"/>
  <c r="C109" i="12"/>
  <c r="B109" i="12"/>
  <c r="N108" i="12"/>
  <c r="M108" i="12"/>
  <c r="C108" i="12"/>
  <c r="B108" i="12"/>
  <c r="N107" i="12"/>
  <c r="M107" i="12"/>
  <c r="C107" i="12"/>
  <c r="B107" i="12"/>
  <c r="N106" i="12"/>
  <c r="M106" i="12"/>
  <c r="C106" i="12"/>
  <c r="B106" i="12"/>
  <c r="C105" i="12"/>
  <c r="B105" i="12"/>
  <c r="N102" i="12"/>
  <c r="M102" i="12"/>
  <c r="C102" i="12"/>
  <c r="B102" i="12"/>
  <c r="N101" i="12"/>
  <c r="M101" i="12"/>
  <c r="C101" i="12"/>
  <c r="B101" i="12"/>
  <c r="N100" i="12"/>
  <c r="M100" i="12"/>
  <c r="C100" i="12"/>
  <c r="B100" i="12"/>
  <c r="N99" i="12"/>
  <c r="M99" i="12"/>
  <c r="C99" i="12"/>
  <c r="B99" i="12"/>
  <c r="N98" i="12"/>
  <c r="M98" i="12"/>
  <c r="C98" i="12"/>
  <c r="B98" i="12"/>
  <c r="N97" i="12"/>
  <c r="M97" i="12"/>
  <c r="C97" i="12"/>
  <c r="B97" i="12"/>
  <c r="N96" i="12"/>
  <c r="M96" i="12"/>
  <c r="C96" i="12"/>
  <c r="B96" i="12"/>
  <c r="N95" i="12"/>
  <c r="M95" i="12"/>
  <c r="C95" i="12"/>
  <c r="B95" i="12"/>
  <c r="C94" i="12"/>
  <c r="F92" i="12"/>
  <c r="N91" i="12"/>
  <c r="M91" i="12"/>
  <c r="C91" i="12"/>
  <c r="B91" i="12"/>
  <c r="N90" i="12"/>
  <c r="M90" i="12"/>
  <c r="C90" i="12"/>
  <c r="B90" i="12"/>
  <c r="N89" i="12"/>
  <c r="M89" i="12"/>
  <c r="C89" i="12"/>
  <c r="B89" i="12"/>
  <c r="N88" i="12"/>
  <c r="M88" i="12"/>
  <c r="C88" i="12"/>
  <c r="B88" i="12"/>
  <c r="N87" i="12"/>
  <c r="M87" i="12"/>
  <c r="C87" i="12"/>
  <c r="B87" i="12"/>
  <c r="N86" i="12"/>
  <c r="M86" i="12"/>
  <c r="I86" i="12"/>
  <c r="C86" i="12"/>
  <c r="B86" i="12"/>
  <c r="N85" i="12"/>
  <c r="M85" i="12"/>
  <c r="C85" i="12"/>
  <c r="B85" i="12"/>
  <c r="N84" i="12"/>
  <c r="M84" i="12"/>
  <c r="C84" i="12"/>
  <c r="B84" i="12"/>
  <c r="N83" i="12"/>
  <c r="M83" i="12"/>
  <c r="C83" i="12"/>
  <c r="B83" i="12"/>
  <c r="N82" i="12"/>
  <c r="M82" i="12"/>
  <c r="C82" i="12"/>
  <c r="B82" i="12"/>
  <c r="N81" i="12"/>
  <c r="M81" i="12"/>
  <c r="C81" i="12"/>
  <c r="B81" i="12"/>
  <c r="N80" i="12"/>
  <c r="M80" i="12"/>
  <c r="C80" i="12"/>
  <c r="B80" i="12"/>
  <c r="N79" i="12"/>
  <c r="M79" i="12"/>
  <c r="C79" i="12"/>
  <c r="B79" i="12"/>
  <c r="N78" i="12"/>
  <c r="M78" i="12"/>
  <c r="I78" i="12"/>
  <c r="C78" i="12"/>
  <c r="B78" i="12"/>
  <c r="N77" i="12"/>
  <c r="M77" i="12"/>
  <c r="C77" i="12"/>
  <c r="B77" i="12"/>
  <c r="N76" i="12"/>
  <c r="M76" i="12"/>
  <c r="C76" i="12"/>
  <c r="B76" i="12"/>
  <c r="N75" i="12"/>
  <c r="M75" i="12"/>
  <c r="C75" i="12"/>
  <c r="B75" i="12"/>
  <c r="N74" i="12"/>
  <c r="M74" i="12"/>
  <c r="C74" i="12"/>
  <c r="B74" i="12"/>
  <c r="N73" i="12"/>
  <c r="M73" i="12"/>
  <c r="C73" i="12"/>
  <c r="B73" i="12"/>
  <c r="N72" i="12"/>
  <c r="M72" i="12"/>
  <c r="C72" i="12"/>
  <c r="B72" i="12"/>
  <c r="N71" i="12"/>
  <c r="M71" i="12"/>
  <c r="C71" i="12"/>
  <c r="B71" i="12"/>
  <c r="N70" i="12"/>
  <c r="M70" i="12"/>
  <c r="C70" i="12"/>
  <c r="B70" i="12"/>
  <c r="C69" i="12"/>
  <c r="B69" i="12"/>
  <c r="N66" i="12"/>
  <c r="M66" i="12"/>
  <c r="C66" i="12"/>
  <c r="B66" i="12"/>
  <c r="N65" i="12"/>
  <c r="M65" i="12"/>
  <c r="C65" i="12"/>
  <c r="B65" i="12"/>
  <c r="N64" i="12"/>
  <c r="M64" i="12"/>
  <c r="C64" i="12"/>
  <c r="B64" i="12"/>
  <c r="N63" i="12"/>
  <c r="M63" i="12"/>
  <c r="C63" i="12"/>
  <c r="B63" i="12"/>
  <c r="N62" i="12"/>
  <c r="M62" i="12"/>
  <c r="C62" i="12"/>
  <c r="B62" i="12"/>
  <c r="N61" i="12"/>
  <c r="M61" i="12"/>
  <c r="C61" i="12"/>
  <c r="B61" i="12"/>
  <c r="N60" i="12"/>
  <c r="M60" i="12"/>
  <c r="C60" i="12"/>
  <c r="B60" i="12"/>
  <c r="N59" i="12"/>
  <c r="M59" i="12"/>
  <c r="G59" i="12"/>
  <c r="F59" i="12"/>
  <c r="C59" i="12"/>
  <c r="B59" i="12"/>
  <c r="N58" i="12"/>
  <c r="M58" i="12"/>
  <c r="C58" i="12"/>
  <c r="B58" i="12"/>
  <c r="N57" i="12"/>
  <c r="M57" i="12"/>
  <c r="C57" i="12"/>
  <c r="B57" i="12"/>
  <c r="N56" i="12"/>
  <c r="M56" i="12"/>
  <c r="C56" i="12"/>
  <c r="B56" i="12"/>
  <c r="N55" i="12"/>
  <c r="M55" i="12"/>
  <c r="C55" i="12"/>
  <c r="B55" i="12"/>
  <c r="N54" i="12"/>
  <c r="M54" i="12"/>
  <c r="C54" i="12"/>
  <c r="B54" i="12"/>
  <c r="N53" i="12"/>
  <c r="M53" i="12"/>
  <c r="C53" i="12"/>
  <c r="B53" i="12"/>
  <c r="N52" i="12"/>
  <c r="M52" i="12"/>
  <c r="C52" i="12"/>
  <c r="B52" i="12"/>
  <c r="N51" i="12"/>
  <c r="M51" i="12"/>
  <c r="H51" i="12"/>
  <c r="C51" i="12"/>
  <c r="B51" i="12"/>
  <c r="N50" i="12"/>
  <c r="M50" i="12"/>
  <c r="C50" i="12"/>
  <c r="B50" i="12"/>
  <c r="C49" i="12"/>
  <c r="B49" i="12"/>
  <c r="N46" i="12"/>
  <c r="M46" i="12"/>
  <c r="C46" i="12"/>
  <c r="B46" i="12"/>
  <c r="N45" i="12"/>
  <c r="M45" i="12"/>
  <c r="C45" i="12"/>
  <c r="B45" i="12"/>
  <c r="N44" i="12"/>
  <c r="M44" i="12"/>
  <c r="C44" i="12"/>
  <c r="B44" i="12"/>
  <c r="N43" i="12"/>
  <c r="M43" i="12"/>
  <c r="C43" i="12"/>
  <c r="B43" i="12"/>
  <c r="C42" i="12"/>
  <c r="B42" i="12"/>
  <c r="N39" i="12"/>
  <c r="M39" i="12"/>
  <c r="C39" i="12"/>
  <c r="B39" i="12"/>
  <c r="N38" i="12"/>
  <c r="M38" i="12"/>
  <c r="C38" i="12"/>
  <c r="B38" i="12"/>
  <c r="N37" i="12"/>
  <c r="M37" i="12"/>
  <c r="F37" i="12"/>
  <c r="G37" i="12"/>
  <c r="C37" i="12"/>
  <c r="B37" i="12"/>
  <c r="N36" i="12"/>
  <c r="M36" i="12"/>
  <c r="C36" i="12"/>
  <c r="B36" i="12"/>
  <c r="C35" i="12"/>
  <c r="B35" i="12"/>
  <c r="N32" i="12"/>
  <c r="M32" i="12"/>
  <c r="C32" i="12"/>
  <c r="B32" i="12"/>
  <c r="N31" i="12"/>
  <c r="M31" i="12"/>
  <c r="C31" i="12"/>
  <c r="B31" i="12"/>
  <c r="N30" i="12"/>
  <c r="M30" i="12"/>
  <c r="C30" i="12"/>
  <c r="B30" i="12"/>
  <c r="N29" i="12"/>
  <c r="M29" i="12"/>
  <c r="C29" i="12"/>
  <c r="B29" i="12"/>
  <c r="N28" i="12"/>
  <c r="M28" i="12"/>
  <c r="C28" i="12"/>
  <c r="B28" i="12"/>
  <c r="C27" i="12"/>
  <c r="B27" i="12"/>
  <c r="N24" i="12"/>
  <c r="M24" i="12"/>
  <c r="C24" i="12"/>
  <c r="B24" i="12"/>
  <c r="N23" i="12"/>
  <c r="M23" i="12"/>
  <c r="F23" i="12"/>
  <c r="C23" i="12"/>
  <c r="B23" i="12"/>
  <c r="N22" i="12"/>
  <c r="M22" i="12"/>
  <c r="C22" i="12"/>
  <c r="B22" i="12"/>
  <c r="N21" i="12"/>
  <c r="M21" i="12"/>
  <c r="C21" i="12"/>
  <c r="B21" i="12"/>
  <c r="N20" i="12"/>
  <c r="M20" i="12"/>
  <c r="C20" i="12"/>
  <c r="B20" i="12"/>
  <c r="N19" i="12"/>
  <c r="M19" i="12"/>
  <c r="C19" i="12"/>
  <c r="B19" i="12"/>
  <c r="N18" i="12"/>
  <c r="M18" i="12"/>
  <c r="C18" i="12"/>
  <c r="B18" i="12"/>
  <c r="C17" i="12"/>
  <c r="B17" i="12"/>
  <c r="N14" i="12"/>
  <c r="M14" i="12"/>
  <c r="C14" i="12"/>
  <c r="B14" i="12"/>
  <c r="N13" i="12"/>
  <c r="M13" i="12"/>
  <c r="C13" i="12"/>
  <c r="B13" i="12"/>
  <c r="N12" i="12"/>
  <c r="M12" i="12"/>
  <c r="I12" i="12"/>
  <c r="C12" i="12"/>
  <c r="B12" i="12"/>
  <c r="N11" i="12"/>
  <c r="M11" i="12"/>
  <c r="C11" i="12"/>
  <c r="B11" i="12"/>
  <c r="N10" i="12"/>
  <c r="M10" i="12"/>
  <c r="C10" i="12"/>
  <c r="B10" i="12"/>
  <c r="N9" i="12"/>
  <c r="M9" i="12"/>
  <c r="C9" i="12"/>
  <c r="B9" i="12"/>
  <c r="C8" i="12"/>
  <c r="B8" i="12"/>
  <c r="F145" i="11"/>
  <c r="N144" i="11"/>
  <c r="M144" i="11"/>
  <c r="C144" i="11"/>
  <c r="B144" i="11"/>
  <c r="N143" i="11"/>
  <c r="M143" i="11"/>
  <c r="C143" i="11"/>
  <c r="B143" i="11"/>
  <c r="N142" i="11"/>
  <c r="M142" i="11"/>
  <c r="C142" i="11"/>
  <c r="B142" i="11"/>
  <c r="N141" i="11"/>
  <c r="M141" i="11"/>
  <c r="C141" i="11"/>
  <c r="B141" i="11"/>
  <c r="N140" i="11"/>
  <c r="M140" i="11"/>
  <c r="F140" i="11"/>
  <c r="I140" i="11"/>
  <c r="C140" i="11"/>
  <c r="B140" i="11"/>
  <c r="N139" i="11"/>
  <c r="M139" i="11"/>
  <c r="C139" i="11"/>
  <c r="B139" i="11"/>
  <c r="N138" i="11"/>
  <c r="M138" i="11"/>
  <c r="C138" i="11"/>
  <c r="B138" i="11"/>
  <c r="N137" i="11"/>
  <c r="M137" i="11"/>
  <c r="C137" i="11"/>
  <c r="B137" i="11"/>
  <c r="C136" i="11"/>
  <c r="B136" i="11"/>
  <c r="N133" i="11"/>
  <c r="M133" i="11"/>
  <c r="C133" i="11"/>
  <c r="B133" i="11"/>
  <c r="N132" i="11"/>
  <c r="M132" i="11"/>
  <c r="C132" i="11"/>
  <c r="B132" i="11"/>
  <c r="N131" i="11"/>
  <c r="M131" i="11"/>
  <c r="C131" i="11"/>
  <c r="B131" i="11"/>
  <c r="N130" i="11"/>
  <c r="M130" i="11"/>
  <c r="C130" i="11"/>
  <c r="B130" i="11"/>
  <c r="C129" i="11"/>
  <c r="B129" i="11"/>
  <c r="N126" i="11"/>
  <c r="M126" i="11"/>
  <c r="G126" i="11"/>
  <c r="F126" i="11"/>
  <c r="C126" i="11"/>
  <c r="B126" i="11"/>
  <c r="N125" i="11"/>
  <c r="M125" i="11"/>
  <c r="C125" i="11"/>
  <c r="B125" i="11"/>
  <c r="N124" i="11"/>
  <c r="M124" i="11"/>
  <c r="C124" i="11"/>
  <c r="B124" i="11"/>
  <c r="N123" i="11"/>
  <c r="M123" i="11"/>
  <c r="C123" i="11"/>
  <c r="B123" i="11"/>
  <c r="N122" i="11"/>
  <c r="M122" i="11"/>
  <c r="C122" i="11"/>
  <c r="B122" i="11"/>
  <c r="N121" i="11"/>
  <c r="M121" i="11"/>
  <c r="C121" i="11"/>
  <c r="B121" i="11"/>
  <c r="N120" i="11"/>
  <c r="M120" i="11"/>
  <c r="C120" i="11"/>
  <c r="B120" i="11"/>
  <c r="C119" i="11"/>
  <c r="B119" i="11"/>
  <c r="N116" i="11"/>
  <c r="M116" i="11"/>
  <c r="C116" i="11"/>
  <c r="B116" i="11"/>
  <c r="N115" i="11"/>
  <c r="M115" i="11"/>
  <c r="H115" i="11"/>
  <c r="C115" i="11"/>
  <c r="B115" i="11"/>
  <c r="N114" i="11"/>
  <c r="M114" i="11"/>
  <c r="I114" i="11"/>
  <c r="C114" i="11"/>
  <c r="B114" i="11"/>
  <c r="N113" i="11"/>
  <c r="M113" i="11"/>
  <c r="C113" i="11"/>
  <c r="B113" i="11"/>
  <c r="C112" i="11"/>
  <c r="B112" i="11"/>
  <c r="N109" i="11"/>
  <c r="M109" i="11"/>
  <c r="C109" i="11"/>
  <c r="B109" i="11"/>
  <c r="N108" i="11"/>
  <c r="M108" i="11"/>
  <c r="C108" i="11"/>
  <c r="B108" i="11"/>
  <c r="N107" i="11"/>
  <c r="M107" i="11"/>
  <c r="C107" i="11"/>
  <c r="B107" i="11"/>
  <c r="N106" i="11"/>
  <c r="M106" i="11"/>
  <c r="C106" i="11"/>
  <c r="B106" i="11"/>
  <c r="C105" i="11"/>
  <c r="B105" i="11"/>
  <c r="N102" i="11"/>
  <c r="M102" i="11"/>
  <c r="C102" i="11"/>
  <c r="B102" i="11"/>
  <c r="N101" i="11"/>
  <c r="M101" i="11"/>
  <c r="I101" i="11"/>
  <c r="F101" i="11"/>
  <c r="C101" i="11"/>
  <c r="B101" i="11"/>
  <c r="N100" i="11"/>
  <c r="M100" i="11"/>
  <c r="C100" i="11"/>
  <c r="B100" i="11"/>
  <c r="N99" i="11"/>
  <c r="M99" i="11"/>
  <c r="C99" i="11"/>
  <c r="B99" i="11"/>
  <c r="N98" i="11"/>
  <c r="M98" i="11"/>
  <c r="C98" i="11"/>
  <c r="B98" i="11"/>
  <c r="N97" i="11"/>
  <c r="M97" i="11"/>
  <c r="C97" i="11"/>
  <c r="B97" i="11"/>
  <c r="N96" i="11"/>
  <c r="M96" i="11"/>
  <c r="C96" i="11"/>
  <c r="B96" i="11"/>
  <c r="N95" i="11"/>
  <c r="M95" i="11"/>
  <c r="C95" i="11"/>
  <c r="B95" i="11"/>
  <c r="C94" i="11"/>
  <c r="F92" i="11"/>
  <c r="N91" i="11"/>
  <c r="M91" i="11"/>
  <c r="C91" i="11"/>
  <c r="B91" i="11"/>
  <c r="N90" i="11"/>
  <c r="M90" i="11"/>
  <c r="G90" i="11"/>
  <c r="C90" i="11"/>
  <c r="B90" i="11"/>
  <c r="N89" i="11"/>
  <c r="M89" i="11"/>
  <c r="C89" i="11"/>
  <c r="B89" i="11"/>
  <c r="N88" i="11"/>
  <c r="M88" i="11"/>
  <c r="C88" i="11"/>
  <c r="B88" i="11"/>
  <c r="N87" i="11"/>
  <c r="M87" i="11"/>
  <c r="C87" i="11"/>
  <c r="B87" i="11"/>
  <c r="N86" i="11"/>
  <c r="M86" i="11"/>
  <c r="C86" i="11"/>
  <c r="B86" i="11"/>
  <c r="N85" i="11"/>
  <c r="M85" i="11"/>
  <c r="C85" i="11"/>
  <c r="B85" i="11"/>
  <c r="N84" i="11"/>
  <c r="M84" i="11"/>
  <c r="C84" i="11"/>
  <c r="B84" i="11"/>
  <c r="N83" i="11"/>
  <c r="M83" i="11"/>
  <c r="C83" i="11"/>
  <c r="B83" i="11"/>
  <c r="N82" i="11"/>
  <c r="M82" i="11"/>
  <c r="F82" i="11"/>
  <c r="C82" i="11"/>
  <c r="B82" i="11"/>
  <c r="N81" i="11"/>
  <c r="M81" i="11"/>
  <c r="C81" i="11"/>
  <c r="B81" i="11"/>
  <c r="N80" i="11"/>
  <c r="M80" i="11"/>
  <c r="C80" i="11"/>
  <c r="B80" i="11"/>
  <c r="N79" i="11"/>
  <c r="M79" i="11"/>
  <c r="C79" i="11"/>
  <c r="B79" i="11"/>
  <c r="N78" i="11"/>
  <c r="M78" i="11"/>
  <c r="C78" i="11"/>
  <c r="B78" i="11"/>
  <c r="N77" i="11"/>
  <c r="M77" i="11"/>
  <c r="C77" i="11"/>
  <c r="B77" i="11"/>
  <c r="N76" i="11"/>
  <c r="M76" i="11"/>
  <c r="C76" i="11"/>
  <c r="B76" i="11"/>
  <c r="N75" i="11"/>
  <c r="M75" i="11"/>
  <c r="C75" i="11"/>
  <c r="B75" i="11"/>
  <c r="N74" i="11"/>
  <c r="M74" i="11"/>
  <c r="F74" i="11"/>
  <c r="C74" i="11"/>
  <c r="B74" i="11"/>
  <c r="N73" i="11"/>
  <c r="M73" i="11"/>
  <c r="C73" i="11"/>
  <c r="B73" i="11"/>
  <c r="N72" i="11"/>
  <c r="M72" i="11"/>
  <c r="C72" i="11"/>
  <c r="B72" i="11"/>
  <c r="N71" i="11"/>
  <c r="M71" i="11"/>
  <c r="C71" i="11"/>
  <c r="B71" i="11"/>
  <c r="N70" i="11"/>
  <c r="M70" i="11"/>
  <c r="C70" i="11"/>
  <c r="B70" i="11"/>
  <c r="C69" i="11"/>
  <c r="B69" i="11"/>
  <c r="N66" i="11"/>
  <c r="M66" i="11"/>
  <c r="C66" i="11"/>
  <c r="B66" i="11"/>
  <c r="N65" i="11"/>
  <c r="M65" i="11"/>
  <c r="C65" i="11"/>
  <c r="B65" i="11"/>
  <c r="N64" i="11"/>
  <c r="M64" i="11"/>
  <c r="C64" i="11"/>
  <c r="B64" i="11"/>
  <c r="N63" i="11"/>
  <c r="M63" i="11"/>
  <c r="I63" i="11"/>
  <c r="C63" i="11"/>
  <c r="B63" i="11"/>
  <c r="N62" i="11"/>
  <c r="M62" i="11"/>
  <c r="C62" i="11"/>
  <c r="B62" i="11"/>
  <c r="N61" i="11"/>
  <c r="M61" i="11"/>
  <c r="C61" i="11"/>
  <c r="B61" i="11"/>
  <c r="N60" i="11"/>
  <c r="M60" i="11"/>
  <c r="C60" i="11"/>
  <c r="B60" i="11"/>
  <c r="N59" i="11"/>
  <c r="M59" i="11"/>
  <c r="C59" i="11"/>
  <c r="B59" i="11"/>
  <c r="N58" i="11"/>
  <c r="M58" i="11"/>
  <c r="C58" i="11"/>
  <c r="B58" i="11"/>
  <c r="N57" i="11"/>
  <c r="M57" i="11"/>
  <c r="C57" i="11"/>
  <c r="B57" i="11"/>
  <c r="N56" i="11"/>
  <c r="M56" i="11"/>
  <c r="C56" i="11"/>
  <c r="B56" i="11"/>
  <c r="N55" i="11"/>
  <c r="M55" i="11"/>
  <c r="C55" i="11"/>
  <c r="B55" i="11"/>
  <c r="N54" i="11"/>
  <c r="M54" i="11"/>
  <c r="C54" i="11"/>
  <c r="B54" i="11"/>
  <c r="N53" i="11"/>
  <c r="M53" i="11"/>
  <c r="C53" i="11"/>
  <c r="B53" i="11"/>
  <c r="N52" i="11"/>
  <c r="M52" i="11"/>
  <c r="C52" i="11"/>
  <c r="B52" i="11"/>
  <c r="N51" i="11"/>
  <c r="M51" i="11"/>
  <c r="C51" i="11"/>
  <c r="B51" i="11"/>
  <c r="N50" i="11"/>
  <c r="M50" i="11"/>
  <c r="C50" i="11"/>
  <c r="B50" i="11"/>
  <c r="C49" i="11"/>
  <c r="B49" i="11"/>
  <c r="N46" i="11"/>
  <c r="M46" i="11"/>
  <c r="C46" i="11"/>
  <c r="B46" i="11"/>
  <c r="N45" i="11"/>
  <c r="M45" i="11"/>
  <c r="C45" i="11"/>
  <c r="B45" i="11"/>
  <c r="N44" i="11"/>
  <c r="M44" i="11"/>
  <c r="H44" i="11"/>
  <c r="G44" i="11"/>
  <c r="C44" i="11"/>
  <c r="B44" i="11"/>
  <c r="N43" i="11"/>
  <c r="M43" i="11"/>
  <c r="C43" i="11"/>
  <c r="B43" i="11"/>
  <c r="C42" i="11"/>
  <c r="B42" i="11"/>
  <c r="N39" i="11"/>
  <c r="M39" i="11"/>
  <c r="C39" i="11"/>
  <c r="B39" i="11"/>
  <c r="N38" i="11"/>
  <c r="M38" i="11"/>
  <c r="C38" i="11"/>
  <c r="B38" i="11"/>
  <c r="N37" i="11"/>
  <c r="M37" i="11"/>
  <c r="C37" i="11"/>
  <c r="B37" i="11"/>
  <c r="N36" i="11"/>
  <c r="M36" i="11"/>
  <c r="C36" i="11"/>
  <c r="B36" i="11"/>
  <c r="C35" i="11"/>
  <c r="B35" i="11"/>
  <c r="N32" i="11"/>
  <c r="M32" i="11"/>
  <c r="C32" i="11"/>
  <c r="B32" i="11"/>
  <c r="N31" i="11"/>
  <c r="M31" i="11"/>
  <c r="C31" i="11"/>
  <c r="B31" i="11"/>
  <c r="N30" i="11"/>
  <c r="M30" i="11"/>
  <c r="F30" i="11"/>
  <c r="C30" i="11"/>
  <c r="B30" i="11"/>
  <c r="N29" i="11"/>
  <c r="M29" i="11"/>
  <c r="C29" i="11"/>
  <c r="B29" i="11"/>
  <c r="N28" i="11"/>
  <c r="M28" i="11"/>
  <c r="C28" i="11"/>
  <c r="B28" i="11"/>
  <c r="C27" i="11"/>
  <c r="B27" i="11"/>
  <c r="N24" i="11"/>
  <c r="M24" i="11"/>
  <c r="C24" i="11"/>
  <c r="B24" i="11"/>
  <c r="N23" i="11"/>
  <c r="M23" i="11"/>
  <c r="C23" i="11"/>
  <c r="B23" i="11"/>
  <c r="N22" i="11"/>
  <c r="M22" i="11"/>
  <c r="C22" i="11"/>
  <c r="B22" i="11"/>
  <c r="N21" i="11"/>
  <c r="M21" i="11"/>
  <c r="C21" i="11"/>
  <c r="B21" i="11"/>
  <c r="N20" i="11"/>
  <c r="M20" i="11"/>
  <c r="C20" i="11"/>
  <c r="B20" i="11"/>
  <c r="N19" i="11"/>
  <c r="M19" i="11"/>
  <c r="G19" i="11"/>
  <c r="C19" i="11"/>
  <c r="B19" i="11"/>
  <c r="N18" i="11"/>
  <c r="M18" i="11"/>
  <c r="C18" i="11"/>
  <c r="B18" i="11"/>
  <c r="C17" i="11"/>
  <c r="B17" i="11"/>
  <c r="N14" i="11"/>
  <c r="M14" i="11"/>
  <c r="I14" i="11"/>
  <c r="C14" i="11"/>
  <c r="B14" i="11"/>
  <c r="N13" i="11"/>
  <c r="M13" i="11"/>
  <c r="C13" i="11"/>
  <c r="B13" i="11"/>
  <c r="N12" i="11"/>
  <c r="M12" i="11"/>
  <c r="C12" i="11"/>
  <c r="B12" i="11"/>
  <c r="N11" i="11"/>
  <c r="M11" i="11"/>
  <c r="C11" i="11"/>
  <c r="B11" i="11"/>
  <c r="N10" i="11"/>
  <c r="M10" i="11"/>
  <c r="C10" i="11"/>
  <c r="B10" i="11"/>
  <c r="N9" i="11"/>
  <c r="M9" i="11"/>
  <c r="C9" i="11"/>
  <c r="B9" i="11"/>
  <c r="C8" i="11"/>
  <c r="B8" i="11"/>
  <c r="F145" i="10"/>
  <c r="N144" i="10"/>
  <c r="M144" i="10"/>
  <c r="C144" i="10"/>
  <c r="B144" i="10"/>
  <c r="N143" i="10"/>
  <c r="M143" i="10"/>
  <c r="C143" i="10"/>
  <c r="B143" i="10"/>
  <c r="N142" i="10"/>
  <c r="M142" i="10"/>
  <c r="G142" i="10"/>
  <c r="C142" i="10"/>
  <c r="B142" i="10"/>
  <c r="N141" i="10"/>
  <c r="M141" i="10"/>
  <c r="C141" i="10"/>
  <c r="B141" i="10"/>
  <c r="N140" i="10"/>
  <c r="M140" i="10"/>
  <c r="C140" i="10"/>
  <c r="B140" i="10"/>
  <c r="N139" i="10"/>
  <c r="M139" i="10"/>
  <c r="C139" i="10"/>
  <c r="B139" i="10"/>
  <c r="N138" i="10"/>
  <c r="M138" i="10"/>
  <c r="C138" i="10"/>
  <c r="B138" i="10"/>
  <c r="N137" i="10"/>
  <c r="M137" i="10"/>
  <c r="C137" i="10"/>
  <c r="B137" i="10"/>
  <c r="C136" i="10"/>
  <c r="B136" i="10"/>
  <c r="N133" i="10"/>
  <c r="M133" i="10"/>
  <c r="H133" i="10"/>
  <c r="C133" i="10"/>
  <c r="B133" i="10"/>
  <c r="N132" i="10"/>
  <c r="M132" i="10"/>
  <c r="C132" i="10"/>
  <c r="B132" i="10"/>
  <c r="N131" i="10"/>
  <c r="M131" i="10"/>
  <c r="G131" i="10"/>
  <c r="F131" i="10"/>
  <c r="C131" i="10"/>
  <c r="B131" i="10"/>
  <c r="N130" i="10"/>
  <c r="M130" i="10"/>
  <c r="C130" i="10"/>
  <c r="B130" i="10"/>
  <c r="C129" i="10"/>
  <c r="B129" i="10"/>
  <c r="N126" i="10"/>
  <c r="M126" i="10"/>
  <c r="C126" i="10"/>
  <c r="B126" i="10"/>
  <c r="N125" i="10"/>
  <c r="M125" i="10"/>
  <c r="C125" i="10"/>
  <c r="B125" i="10"/>
  <c r="N124" i="10"/>
  <c r="M124" i="10"/>
  <c r="C124" i="10"/>
  <c r="B124" i="10"/>
  <c r="N123" i="10"/>
  <c r="M123" i="10"/>
  <c r="C123" i="10"/>
  <c r="B123" i="10"/>
  <c r="N122" i="10"/>
  <c r="M122" i="10"/>
  <c r="C122" i="10"/>
  <c r="B122" i="10"/>
  <c r="N121" i="10"/>
  <c r="M121" i="10"/>
  <c r="C121" i="10"/>
  <c r="B121" i="10"/>
  <c r="N120" i="10"/>
  <c r="M120" i="10"/>
  <c r="C120" i="10"/>
  <c r="B120" i="10"/>
  <c r="C119" i="10"/>
  <c r="B119" i="10"/>
  <c r="N116" i="10"/>
  <c r="M116" i="10"/>
  <c r="C116" i="10"/>
  <c r="B116" i="10"/>
  <c r="N115" i="10"/>
  <c r="M115" i="10"/>
  <c r="C115" i="10"/>
  <c r="B115" i="10"/>
  <c r="N114" i="10"/>
  <c r="M114" i="10"/>
  <c r="C114" i="10"/>
  <c r="B114" i="10"/>
  <c r="N113" i="10"/>
  <c r="M113" i="10"/>
  <c r="C113" i="10"/>
  <c r="B113" i="10"/>
  <c r="C112" i="10"/>
  <c r="B112" i="10"/>
  <c r="N109" i="10"/>
  <c r="M109" i="10"/>
  <c r="C109" i="10"/>
  <c r="B109" i="10"/>
  <c r="N108" i="10"/>
  <c r="M108" i="10"/>
  <c r="C108" i="10"/>
  <c r="B108" i="10"/>
  <c r="N107" i="10"/>
  <c r="M107" i="10"/>
  <c r="C107" i="10"/>
  <c r="B107" i="10"/>
  <c r="N106" i="10"/>
  <c r="M106" i="10"/>
  <c r="C106" i="10"/>
  <c r="B106" i="10"/>
  <c r="C105" i="10"/>
  <c r="B105" i="10"/>
  <c r="N102" i="10"/>
  <c r="M102" i="10"/>
  <c r="C102" i="10"/>
  <c r="B102" i="10"/>
  <c r="N101" i="10"/>
  <c r="M101" i="10"/>
  <c r="C101" i="10"/>
  <c r="B101" i="10"/>
  <c r="N100" i="10"/>
  <c r="M100" i="10"/>
  <c r="C100" i="10"/>
  <c r="B100" i="10"/>
  <c r="N99" i="10"/>
  <c r="M99" i="10"/>
  <c r="C99" i="10"/>
  <c r="B99" i="10"/>
  <c r="N98" i="10"/>
  <c r="M98" i="10"/>
  <c r="C98" i="10"/>
  <c r="B98" i="10"/>
  <c r="N97" i="10"/>
  <c r="M97" i="10"/>
  <c r="C97" i="10"/>
  <c r="B97" i="10"/>
  <c r="N96" i="10"/>
  <c r="M96" i="10"/>
  <c r="C96" i="10"/>
  <c r="B96" i="10"/>
  <c r="N95" i="10"/>
  <c r="M95" i="10"/>
  <c r="C95" i="10"/>
  <c r="B95" i="10"/>
  <c r="C94" i="10"/>
  <c r="F92" i="10"/>
  <c r="N91" i="10"/>
  <c r="M91" i="10"/>
  <c r="C91" i="10"/>
  <c r="B91" i="10"/>
  <c r="N90" i="10"/>
  <c r="M90" i="10"/>
  <c r="C90" i="10"/>
  <c r="B90" i="10"/>
  <c r="N89" i="10"/>
  <c r="M89" i="10"/>
  <c r="C89" i="10"/>
  <c r="B89" i="10"/>
  <c r="N88" i="10"/>
  <c r="M88" i="10"/>
  <c r="C88" i="10"/>
  <c r="B88" i="10"/>
  <c r="N87" i="10"/>
  <c r="M87" i="10"/>
  <c r="C87" i="10"/>
  <c r="B87" i="10"/>
  <c r="N86" i="10"/>
  <c r="M86" i="10"/>
  <c r="C86" i="10"/>
  <c r="B86" i="10"/>
  <c r="N85" i="10"/>
  <c r="M85" i="10"/>
  <c r="C85" i="10"/>
  <c r="B85" i="10"/>
  <c r="N84" i="10"/>
  <c r="M84" i="10"/>
  <c r="C84" i="10"/>
  <c r="B84" i="10"/>
  <c r="N83" i="10"/>
  <c r="M83" i="10"/>
  <c r="C83" i="10"/>
  <c r="B83" i="10"/>
  <c r="N82" i="10"/>
  <c r="M82" i="10"/>
  <c r="C82" i="10"/>
  <c r="B82" i="10"/>
  <c r="N81" i="10"/>
  <c r="M81" i="10"/>
  <c r="C81" i="10"/>
  <c r="B81" i="10"/>
  <c r="N80" i="10"/>
  <c r="M80" i="10"/>
  <c r="C80" i="10"/>
  <c r="B80" i="10"/>
  <c r="N79" i="10"/>
  <c r="M79" i="10"/>
  <c r="C79" i="10"/>
  <c r="B79" i="10"/>
  <c r="N78" i="10"/>
  <c r="M78" i="10"/>
  <c r="F78" i="10"/>
  <c r="I78" i="10"/>
  <c r="C78" i="10"/>
  <c r="B78" i="10"/>
  <c r="N77" i="10"/>
  <c r="M77" i="10"/>
  <c r="C77" i="10"/>
  <c r="B77" i="10"/>
  <c r="N76" i="10"/>
  <c r="M76" i="10"/>
  <c r="C76" i="10"/>
  <c r="B76" i="10"/>
  <c r="N75" i="10"/>
  <c r="M75" i="10"/>
  <c r="C75" i="10"/>
  <c r="B75" i="10"/>
  <c r="N74" i="10"/>
  <c r="M74" i="10"/>
  <c r="C74" i="10"/>
  <c r="B74" i="10"/>
  <c r="N73" i="10"/>
  <c r="M73" i="10"/>
  <c r="C73" i="10"/>
  <c r="B73" i="10"/>
  <c r="N72" i="10"/>
  <c r="M72" i="10"/>
  <c r="C72" i="10"/>
  <c r="B72" i="10"/>
  <c r="N71" i="10"/>
  <c r="M71" i="10"/>
  <c r="C71" i="10"/>
  <c r="B71" i="10"/>
  <c r="N70" i="10"/>
  <c r="M70" i="10"/>
  <c r="G70" i="10"/>
  <c r="C70" i="10"/>
  <c r="B70" i="10"/>
  <c r="C69" i="10"/>
  <c r="B69" i="10"/>
  <c r="N66" i="10"/>
  <c r="M66" i="10"/>
  <c r="C66" i="10"/>
  <c r="B66" i="10"/>
  <c r="N65" i="10"/>
  <c r="M65" i="10"/>
  <c r="C65" i="10"/>
  <c r="B65" i="10"/>
  <c r="N64" i="10"/>
  <c r="M64" i="10"/>
  <c r="C64" i="10"/>
  <c r="B64" i="10"/>
  <c r="N63" i="10"/>
  <c r="M63" i="10"/>
  <c r="C63" i="10"/>
  <c r="B63" i="10"/>
  <c r="N62" i="10"/>
  <c r="M62" i="10"/>
  <c r="C62" i="10"/>
  <c r="B62" i="10"/>
  <c r="N61" i="10"/>
  <c r="M61" i="10"/>
  <c r="C61" i="10"/>
  <c r="B61" i="10"/>
  <c r="N60" i="10"/>
  <c r="M60" i="10"/>
  <c r="C60" i="10"/>
  <c r="B60" i="10"/>
  <c r="N59" i="10"/>
  <c r="M59" i="10"/>
  <c r="F59" i="10"/>
  <c r="I59" i="10"/>
  <c r="C59" i="10"/>
  <c r="B59" i="10"/>
  <c r="N58" i="10"/>
  <c r="M58" i="10"/>
  <c r="C58" i="10"/>
  <c r="B58" i="10"/>
  <c r="N57" i="10"/>
  <c r="M57" i="10"/>
  <c r="C57" i="10"/>
  <c r="B57" i="10"/>
  <c r="N56" i="10"/>
  <c r="M56" i="10"/>
  <c r="C56" i="10"/>
  <c r="B56" i="10"/>
  <c r="N55" i="10"/>
  <c r="M55" i="10"/>
  <c r="C55" i="10"/>
  <c r="B55" i="10"/>
  <c r="N54" i="10"/>
  <c r="M54" i="10"/>
  <c r="C54" i="10"/>
  <c r="B54" i="10"/>
  <c r="N53" i="10"/>
  <c r="M53" i="10"/>
  <c r="C53" i="10"/>
  <c r="B53" i="10"/>
  <c r="N52" i="10"/>
  <c r="M52" i="10"/>
  <c r="C52" i="10"/>
  <c r="B52" i="10"/>
  <c r="N51" i="10"/>
  <c r="M51" i="10"/>
  <c r="H51" i="10"/>
  <c r="C51" i="10"/>
  <c r="B51" i="10"/>
  <c r="N50" i="10"/>
  <c r="M50" i="10"/>
  <c r="C50" i="10"/>
  <c r="B50" i="10"/>
  <c r="C49" i="10"/>
  <c r="B49" i="10"/>
  <c r="N46" i="10"/>
  <c r="M46" i="10"/>
  <c r="H46" i="10"/>
  <c r="F46" i="10"/>
  <c r="C46" i="10"/>
  <c r="B46" i="10"/>
  <c r="N45" i="10"/>
  <c r="M45" i="10"/>
  <c r="C45" i="10"/>
  <c r="B45" i="10"/>
  <c r="N44" i="10"/>
  <c r="M44" i="10"/>
  <c r="C44" i="10"/>
  <c r="B44" i="10"/>
  <c r="N43" i="10"/>
  <c r="M43" i="10"/>
  <c r="C43" i="10"/>
  <c r="B43" i="10"/>
  <c r="C42" i="10"/>
  <c r="B42" i="10"/>
  <c r="N39" i="10"/>
  <c r="M39" i="10"/>
  <c r="C39" i="10"/>
  <c r="B39" i="10"/>
  <c r="N38" i="10"/>
  <c r="M38" i="10"/>
  <c r="C38" i="10"/>
  <c r="B38" i="10"/>
  <c r="N37" i="10"/>
  <c r="M37" i="10"/>
  <c r="F37" i="10"/>
  <c r="I37" i="10"/>
  <c r="C37" i="10"/>
  <c r="B37" i="10"/>
  <c r="N36" i="10"/>
  <c r="M36" i="10"/>
  <c r="C36" i="10"/>
  <c r="B36" i="10"/>
  <c r="C35" i="10"/>
  <c r="B35" i="10"/>
  <c r="N32" i="10"/>
  <c r="M32" i="10"/>
  <c r="G32" i="10"/>
  <c r="F32" i="10"/>
  <c r="C32" i="10"/>
  <c r="B32" i="10"/>
  <c r="N31" i="10"/>
  <c r="M31" i="10"/>
  <c r="C31" i="10"/>
  <c r="B31" i="10"/>
  <c r="N30" i="10"/>
  <c r="M30" i="10"/>
  <c r="C30" i="10"/>
  <c r="B30" i="10"/>
  <c r="N29" i="10"/>
  <c r="M29" i="10"/>
  <c r="C29" i="10"/>
  <c r="B29" i="10"/>
  <c r="N28" i="10"/>
  <c r="M28" i="10"/>
  <c r="C28" i="10"/>
  <c r="B28" i="10"/>
  <c r="C27" i="10"/>
  <c r="B27" i="10"/>
  <c r="N24" i="10"/>
  <c r="M24" i="10"/>
  <c r="C24" i="10"/>
  <c r="B24" i="10"/>
  <c r="N23" i="10"/>
  <c r="M23" i="10"/>
  <c r="C23" i="10"/>
  <c r="B23" i="10"/>
  <c r="N22" i="10"/>
  <c r="M22" i="10"/>
  <c r="I22" i="10"/>
  <c r="C22" i="10"/>
  <c r="B22" i="10"/>
  <c r="N21" i="10"/>
  <c r="M21" i="10"/>
  <c r="C21" i="10"/>
  <c r="B21" i="10"/>
  <c r="N20" i="10"/>
  <c r="M20" i="10"/>
  <c r="C20" i="10"/>
  <c r="B20" i="10"/>
  <c r="N19" i="10"/>
  <c r="M19" i="10"/>
  <c r="C19" i="10"/>
  <c r="B19" i="10"/>
  <c r="N18" i="10"/>
  <c r="M18" i="10"/>
  <c r="C18" i="10"/>
  <c r="B18" i="10"/>
  <c r="C17" i="10"/>
  <c r="B17" i="10"/>
  <c r="N14" i="10"/>
  <c r="M14" i="10"/>
  <c r="C14" i="10"/>
  <c r="B14" i="10"/>
  <c r="N13" i="10"/>
  <c r="M13" i="10"/>
  <c r="C13" i="10"/>
  <c r="B13" i="10"/>
  <c r="N12" i="10"/>
  <c r="M12" i="10"/>
  <c r="F12" i="10"/>
  <c r="I12" i="10"/>
  <c r="C12" i="10"/>
  <c r="B12" i="10"/>
  <c r="N11" i="10"/>
  <c r="M11" i="10"/>
  <c r="C11" i="10"/>
  <c r="B11" i="10"/>
  <c r="N10" i="10"/>
  <c r="M10" i="10"/>
  <c r="C10" i="10"/>
  <c r="B10" i="10"/>
  <c r="N9" i="10"/>
  <c r="M9" i="10"/>
  <c r="C9" i="10"/>
  <c r="B9" i="10"/>
  <c r="C8" i="10"/>
  <c r="B8" i="10"/>
  <c r="F145" i="9"/>
  <c r="N144" i="9"/>
  <c r="M144" i="9"/>
  <c r="C144" i="9"/>
  <c r="B144" i="9"/>
  <c r="N143" i="9"/>
  <c r="M143" i="9"/>
  <c r="C143" i="9"/>
  <c r="B143" i="9"/>
  <c r="N142" i="9"/>
  <c r="M142" i="9"/>
  <c r="C142" i="9"/>
  <c r="B142" i="9"/>
  <c r="N141" i="9"/>
  <c r="M141" i="9"/>
  <c r="C141" i="9"/>
  <c r="B141" i="9"/>
  <c r="N140" i="9"/>
  <c r="M140" i="9"/>
  <c r="H140" i="9"/>
  <c r="C140" i="9"/>
  <c r="B140" i="9"/>
  <c r="N139" i="9"/>
  <c r="M139" i="9"/>
  <c r="C139" i="9"/>
  <c r="B139" i="9"/>
  <c r="N138" i="9"/>
  <c r="M138" i="9"/>
  <c r="C138" i="9"/>
  <c r="B138" i="9"/>
  <c r="N137" i="9"/>
  <c r="M137" i="9"/>
  <c r="C137" i="9"/>
  <c r="B137" i="9"/>
  <c r="C136" i="9"/>
  <c r="B136" i="9"/>
  <c r="N133" i="9"/>
  <c r="M133" i="9"/>
  <c r="C133" i="9"/>
  <c r="B133" i="9"/>
  <c r="N132" i="9"/>
  <c r="M132" i="9"/>
  <c r="C132" i="9"/>
  <c r="B132" i="9"/>
  <c r="N131" i="9"/>
  <c r="M131" i="9"/>
  <c r="C131" i="9"/>
  <c r="B131" i="9"/>
  <c r="N130" i="9"/>
  <c r="M130" i="9"/>
  <c r="C130" i="9"/>
  <c r="B130" i="9"/>
  <c r="C129" i="9"/>
  <c r="B129" i="9"/>
  <c r="N126" i="9"/>
  <c r="M126" i="9"/>
  <c r="C126" i="9"/>
  <c r="B126" i="9"/>
  <c r="N125" i="9"/>
  <c r="M125" i="9"/>
  <c r="C125" i="9"/>
  <c r="B125" i="9"/>
  <c r="N124" i="9"/>
  <c r="M124" i="9"/>
  <c r="C124" i="9"/>
  <c r="B124" i="9"/>
  <c r="N123" i="9"/>
  <c r="M123" i="9"/>
  <c r="C123" i="9"/>
  <c r="B123" i="9"/>
  <c r="N122" i="9"/>
  <c r="M122" i="9"/>
  <c r="C122" i="9"/>
  <c r="B122" i="9"/>
  <c r="N121" i="9"/>
  <c r="M121" i="9"/>
  <c r="C121" i="9"/>
  <c r="B121" i="9"/>
  <c r="N120" i="9"/>
  <c r="M120" i="9"/>
  <c r="C120" i="9"/>
  <c r="B120" i="9"/>
  <c r="C119" i="9"/>
  <c r="B119" i="9"/>
  <c r="N116" i="9"/>
  <c r="M116" i="9"/>
  <c r="C116" i="9"/>
  <c r="B116" i="9"/>
  <c r="N115" i="9"/>
  <c r="M115" i="9"/>
  <c r="C115" i="9"/>
  <c r="B115" i="9"/>
  <c r="N114" i="9"/>
  <c r="M114" i="9"/>
  <c r="C114" i="9"/>
  <c r="B114" i="9"/>
  <c r="N113" i="9"/>
  <c r="M113" i="9"/>
  <c r="C113" i="9"/>
  <c r="B113" i="9"/>
  <c r="C112" i="9"/>
  <c r="B112" i="9"/>
  <c r="N109" i="9"/>
  <c r="M109" i="9"/>
  <c r="C109" i="9"/>
  <c r="B109" i="9"/>
  <c r="N108" i="9"/>
  <c r="M108" i="9"/>
  <c r="C108" i="9"/>
  <c r="B108" i="9"/>
  <c r="N107" i="9"/>
  <c r="M107" i="9"/>
  <c r="C107" i="9"/>
  <c r="B107" i="9"/>
  <c r="N106" i="9"/>
  <c r="M106" i="9"/>
  <c r="C106" i="9"/>
  <c r="B106" i="9"/>
  <c r="C105" i="9"/>
  <c r="B105" i="9"/>
  <c r="N102" i="9"/>
  <c r="M102" i="9"/>
  <c r="C102" i="9"/>
  <c r="B102" i="9"/>
  <c r="N101" i="9"/>
  <c r="M101" i="9"/>
  <c r="C101" i="9"/>
  <c r="B101" i="9"/>
  <c r="N100" i="9"/>
  <c r="M100" i="9"/>
  <c r="C100" i="9"/>
  <c r="B100" i="9"/>
  <c r="N99" i="9"/>
  <c r="M99" i="9"/>
  <c r="C99" i="9"/>
  <c r="B99" i="9"/>
  <c r="N98" i="9"/>
  <c r="M98" i="9"/>
  <c r="C98" i="9"/>
  <c r="B98" i="9"/>
  <c r="N97" i="9"/>
  <c r="M97" i="9"/>
  <c r="C97" i="9"/>
  <c r="B97" i="9"/>
  <c r="N96" i="9"/>
  <c r="M96" i="9"/>
  <c r="C96" i="9"/>
  <c r="B96" i="9"/>
  <c r="N95" i="9"/>
  <c r="M95" i="9"/>
  <c r="C95" i="9"/>
  <c r="B95" i="9"/>
  <c r="C94" i="9"/>
  <c r="F92" i="9"/>
  <c r="N91" i="9"/>
  <c r="M91" i="9"/>
  <c r="C91" i="9"/>
  <c r="B91" i="9"/>
  <c r="N90" i="9"/>
  <c r="M90" i="9"/>
  <c r="C90" i="9"/>
  <c r="B90" i="9"/>
  <c r="N89" i="9"/>
  <c r="M89" i="9"/>
  <c r="C89" i="9"/>
  <c r="B89" i="9"/>
  <c r="N88" i="9"/>
  <c r="M88" i="9"/>
  <c r="C88" i="9"/>
  <c r="B88" i="9"/>
  <c r="N87" i="9"/>
  <c r="M87" i="9"/>
  <c r="C87" i="9"/>
  <c r="B87" i="9"/>
  <c r="N86" i="9"/>
  <c r="M86" i="9"/>
  <c r="C86" i="9"/>
  <c r="B86" i="9"/>
  <c r="N85" i="9"/>
  <c r="M85" i="9"/>
  <c r="C85" i="9"/>
  <c r="B85" i="9"/>
  <c r="N84" i="9"/>
  <c r="M84" i="9"/>
  <c r="C84" i="9"/>
  <c r="B84" i="9"/>
  <c r="N83" i="9"/>
  <c r="M83" i="9"/>
  <c r="C83" i="9"/>
  <c r="B83" i="9"/>
  <c r="N82" i="9"/>
  <c r="M82" i="9"/>
  <c r="C82" i="9"/>
  <c r="B82" i="9"/>
  <c r="N81" i="9"/>
  <c r="M81" i="9"/>
  <c r="C81" i="9"/>
  <c r="B81" i="9"/>
  <c r="N80" i="9"/>
  <c r="M80" i="9"/>
  <c r="C80" i="9"/>
  <c r="B80" i="9"/>
  <c r="N79" i="9"/>
  <c r="M79" i="9"/>
  <c r="C79" i="9"/>
  <c r="B79" i="9"/>
  <c r="N78" i="9"/>
  <c r="M78" i="9"/>
  <c r="C78" i="9"/>
  <c r="B78" i="9"/>
  <c r="N77" i="9"/>
  <c r="M77" i="9"/>
  <c r="C77" i="9"/>
  <c r="B77" i="9"/>
  <c r="N76" i="9"/>
  <c r="M76" i="9"/>
  <c r="C76" i="9"/>
  <c r="B76" i="9"/>
  <c r="N75" i="9"/>
  <c r="M75" i="9"/>
  <c r="C75" i="9"/>
  <c r="B75" i="9"/>
  <c r="N74" i="9"/>
  <c r="M74" i="9"/>
  <c r="C74" i="9"/>
  <c r="B74" i="9"/>
  <c r="N73" i="9"/>
  <c r="M73" i="9"/>
  <c r="C73" i="9"/>
  <c r="B73" i="9"/>
  <c r="N72" i="9"/>
  <c r="M72" i="9"/>
  <c r="C72" i="9"/>
  <c r="B72" i="9"/>
  <c r="N71" i="9"/>
  <c r="M71" i="9"/>
  <c r="C71" i="9"/>
  <c r="B71" i="9"/>
  <c r="N70" i="9"/>
  <c r="M70" i="9"/>
  <c r="C70" i="9"/>
  <c r="B70" i="9"/>
  <c r="C69" i="9"/>
  <c r="B69" i="9"/>
  <c r="N66" i="9"/>
  <c r="M66" i="9"/>
  <c r="C66" i="9"/>
  <c r="B66" i="9"/>
  <c r="N65" i="9"/>
  <c r="M65" i="9"/>
  <c r="C65" i="9"/>
  <c r="B65" i="9"/>
  <c r="N64" i="9"/>
  <c r="M64" i="9"/>
  <c r="C64" i="9"/>
  <c r="B64" i="9"/>
  <c r="N63" i="9"/>
  <c r="M63" i="9"/>
  <c r="C63" i="9"/>
  <c r="B63" i="9"/>
  <c r="N62" i="9"/>
  <c r="M62" i="9"/>
  <c r="C62" i="9"/>
  <c r="B62" i="9"/>
  <c r="N61" i="9"/>
  <c r="M61" i="9"/>
  <c r="C61" i="9"/>
  <c r="B61" i="9"/>
  <c r="N60" i="9"/>
  <c r="M60" i="9"/>
  <c r="C60" i="9"/>
  <c r="B60" i="9"/>
  <c r="N59" i="9"/>
  <c r="M59" i="9"/>
  <c r="C59" i="9"/>
  <c r="B59" i="9"/>
  <c r="N58" i="9"/>
  <c r="M58" i="9"/>
  <c r="C58" i="9"/>
  <c r="B58" i="9"/>
  <c r="N57" i="9"/>
  <c r="M57" i="9"/>
  <c r="C57" i="9"/>
  <c r="B57" i="9"/>
  <c r="N56" i="9"/>
  <c r="M56" i="9"/>
  <c r="C56" i="9"/>
  <c r="B56" i="9"/>
  <c r="N55" i="9"/>
  <c r="M55" i="9"/>
  <c r="C55" i="9"/>
  <c r="B55" i="9"/>
  <c r="N54" i="9"/>
  <c r="M54" i="9"/>
  <c r="C54" i="9"/>
  <c r="B54" i="9"/>
  <c r="N53" i="9"/>
  <c r="M53" i="9"/>
  <c r="C53" i="9"/>
  <c r="B53" i="9"/>
  <c r="N52" i="9"/>
  <c r="M52" i="9"/>
  <c r="C52" i="9"/>
  <c r="B52" i="9"/>
  <c r="N51" i="9"/>
  <c r="M51" i="9"/>
  <c r="C51" i="9"/>
  <c r="B51" i="9"/>
  <c r="N50" i="9"/>
  <c r="M50" i="9"/>
  <c r="C50" i="9"/>
  <c r="B50" i="9"/>
  <c r="C49" i="9"/>
  <c r="B49" i="9"/>
  <c r="N46" i="9"/>
  <c r="M46" i="9"/>
  <c r="C46" i="9"/>
  <c r="B46" i="9"/>
  <c r="N45" i="9"/>
  <c r="M45" i="9"/>
  <c r="C45" i="9"/>
  <c r="B45" i="9"/>
  <c r="N44" i="9"/>
  <c r="M44" i="9"/>
  <c r="F44" i="9"/>
  <c r="C44" i="9"/>
  <c r="B44" i="9"/>
  <c r="N43" i="9"/>
  <c r="M43" i="9"/>
  <c r="C43" i="9"/>
  <c r="B43" i="9"/>
  <c r="C42" i="9"/>
  <c r="B42" i="9"/>
  <c r="N39" i="9"/>
  <c r="M39" i="9"/>
  <c r="C39" i="9"/>
  <c r="B39" i="9"/>
  <c r="N38" i="9"/>
  <c r="M38" i="9"/>
  <c r="C38" i="9"/>
  <c r="B38" i="9"/>
  <c r="N37" i="9"/>
  <c r="M37" i="9"/>
  <c r="C37" i="9"/>
  <c r="B37" i="9"/>
  <c r="N36" i="9"/>
  <c r="M36" i="9"/>
  <c r="C36" i="9"/>
  <c r="B36" i="9"/>
  <c r="C35" i="9"/>
  <c r="B35" i="9"/>
  <c r="N32" i="9"/>
  <c r="M32" i="9"/>
  <c r="C32" i="9"/>
  <c r="B32" i="9"/>
  <c r="N31" i="9"/>
  <c r="M31" i="9"/>
  <c r="C31" i="9"/>
  <c r="B31" i="9"/>
  <c r="N30" i="9"/>
  <c r="M30" i="9"/>
  <c r="C30" i="9"/>
  <c r="B30" i="9"/>
  <c r="N29" i="9"/>
  <c r="M29" i="9"/>
  <c r="C29" i="9"/>
  <c r="B29" i="9"/>
  <c r="N28" i="9"/>
  <c r="M28" i="9"/>
  <c r="C28" i="9"/>
  <c r="B28" i="9"/>
  <c r="C27" i="9"/>
  <c r="B27" i="9"/>
  <c r="N24" i="9"/>
  <c r="M24" i="9"/>
  <c r="C24" i="9"/>
  <c r="B24" i="9"/>
  <c r="N23" i="9"/>
  <c r="M23" i="9"/>
  <c r="C23" i="9"/>
  <c r="B23" i="9"/>
  <c r="N22" i="9"/>
  <c r="M22" i="9"/>
  <c r="C22" i="9"/>
  <c r="B22" i="9"/>
  <c r="N21" i="9"/>
  <c r="M21" i="9"/>
  <c r="C21" i="9"/>
  <c r="B21" i="9"/>
  <c r="N20" i="9"/>
  <c r="M20" i="9"/>
  <c r="C20" i="9"/>
  <c r="B20" i="9"/>
  <c r="N19" i="9"/>
  <c r="M19" i="9"/>
  <c r="C19" i="9"/>
  <c r="B19" i="9"/>
  <c r="N18" i="9"/>
  <c r="M18" i="9"/>
  <c r="C18" i="9"/>
  <c r="B18" i="9"/>
  <c r="C17" i="9"/>
  <c r="B17" i="9"/>
  <c r="N14" i="9"/>
  <c r="M14" i="9"/>
  <c r="C14" i="9"/>
  <c r="B14" i="9"/>
  <c r="N13" i="9"/>
  <c r="M13" i="9"/>
  <c r="C13" i="9"/>
  <c r="B13" i="9"/>
  <c r="N12" i="9"/>
  <c r="M12" i="9"/>
  <c r="C12" i="9"/>
  <c r="B12" i="9"/>
  <c r="N11" i="9"/>
  <c r="M11" i="9"/>
  <c r="C11" i="9"/>
  <c r="B11" i="9"/>
  <c r="N10" i="9"/>
  <c r="M10" i="9"/>
  <c r="C10" i="9"/>
  <c r="B10" i="9"/>
  <c r="N9" i="9"/>
  <c r="M9" i="9"/>
  <c r="C9" i="9"/>
  <c r="B9" i="9"/>
  <c r="C8" i="9"/>
  <c r="B8" i="9"/>
  <c r="F145" i="8"/>
  <c r="N144" i="8"/>
  <c r="M144" i="8"/>
  <c r="F144" i="8"/>
  <c r="I144" i="8"/>
  <c r="C144" i="8"/>
  <c r="B144" i="8"/>
  <c r="N143" i="8"/>
  <c r="M143" i="8"/>
  <c r="G143" i="8"/>
  <c r="C143" i="8"/>
  <c r="B143" i="8"/>
  <c r="N142" i="8"/>
  <c r="M142" i="8"/>
  <c r="C142" i="8"/>
  <c r="B142" i="8"/>
  <c r="N141" i="8"/>
  <c r="M141" i="8"/>
  <c r="C141" i="8"/>
  <c r="B141" i="8"/>
  <c r="N140" i="8"/>
  <c r="M140" i="8"/>
  <c r="C140" i="8"/>
  <c r="B140" i="8"/>
  <c r="N139" i="8"/>
  <c r="M139" i="8"/>
  <c r="C139" i="8"/>
  <c r="B139" i="8"/>
  <c r="N138" i="8"/>
  <c r="M138" i="8"/>
  <c r="C138" i="8"/>
  <c r="B138" i="8"/>
  <c r="N137" i="8"/>
  <c r="M137" i="8"/>
  <c r="C137" i="8"/>
  <c r="B137" i="8"/>
  <c r="C136" i="8"/>
  <c r="B136" i="8"/>
  <c r="N133" i="8"/>
  <c r="M133" i="8"/>
  <c r="I133" i="8"/>
  <c r="H133" i="8"/>
  <c r="F133" i="8"/>
  <c r="G133" i="8"/>
  <c r="C133" i="8"/>
  <c r="B133" i="8"/>
  <c r="N132" i="8"/>
  <c r="M132" i="8"/>
  <c r="I132" i="8"/>
  <c r="C132" i="8"/>
  <c r="B132" i="8"/>
  <c r="N131" i="8"/>
  <c r="M131" i="8"/>
  <c r="C131" i="8"/>
  <c r="B131" i="8"/>
  <c r="N130" i="8"/>
  <c r="M130" i="8"/>
  <c r="C130" i="8"/>
  <c r="B130" i="8"/>
  <c r="C129" i="8"/>
  <c r="B129" i="8"/>
  <c r="N126" i="8"/>
  <c r="M126" i="8"/>
  <c r="C126" i="8"/>
  <c r="B126" i="8"/>
  <c r="N125" i="8"/>
  <c r="M125" i="8"/>
  <c r="C125" i="8"/>
  <c r="B125" i="8"/>
  <c r="N124" i="8"/>
  <c r="M124" i="8"/>
  <c r="C124" i="8"/>
  <c r="B124" i="8"/>
  <c r="N123" i="8"/>
  <c r="M123" i="8"/>
  <c r="C123" i="8"/>
  <c r="B123" i="8"/>
  <c r="N122" i="8"/>
  <c r="M122" i="8"/>
  <c r="F122" i="8"/>
  <c r="C122" i="8"/>
  <c r="B122" i="8"/>
  <c r="N121" i="8"/>
  <c r="M121" i="8"/>
  <c r="G121" i="8"/>
  <c r="C121" i="8"/>
  <c r="B121" i="8"/>
  <c r="N120" i="8"/>
  <c r="M120" i="8"/>
  <c r="C120" i="8"/>
  <c r="B120" i="8"/>
  <c r="C119" i="8"/>
  <c r="B119" i="8"/>
  <c r="N116" i="8"/>
  <c r="M116" i="8"/>
  <c r="C116" i="8"/>
  <c r="B116" i="8"/>
  <c r="N115" i="8"/>
  <c r="M115" i="8"/>
  <c r="C115" i="8"/>
  <c r="B115" i="8"/>
  <c r="N114" i="8"/>
  <c r="M114" i="8"/>
  <c r="C114" i="8"/>
  <c r="B114" i="8"/>
  <c r="N113" i="8"/>
  <c r="M113" i="8"/>
  <c r="C113" i="8"/>
  <c r="B113" i="8"/>
  <c r="C112" i="8"/>
  <c r="B112" i="8"/>
  <c r="N109" i="8"/>
  <c r="M109" i="8"/>
  <c r="C109" i="8"/>
  <c r="B109" i="8"/>
  <c r="N108" i="8"/>
  <c r="M108" i="8"/>
  <c r="F108" i="8"/>
  <c r="I108" i="8"/>
  <c r="C108" i="8"/>
  <c r="B108" i="8"/>
  <c r="N107" i="8"/>
  <c r="M107" i="8"/>
  <c r="C107" i="8"/>
  <c r="B107" i="8"/>
  <c r="N106" i="8"/>
  <c r="M106" i="8"/>
  <c r="C106" i="8"/>
  <c r="B106" i="8"/>
  <c r="C105" i="8"/>
  <c r="B105" i="8"/>
  <c r="N102" i="8"/>
  <c r="M102" i="8"/>
  <c r="C102" i="8"/>
  <c r="B102" i="8"/>
  <c r="N101" i="8"/>
  <c r="M101" i="8"/>
  <c r="C101" i="8"/>
  <c r="B101" i="8"/>
  <c r="N100" i="8"/>
  <c r="M100" i="8"/>
  <c r="C100" i="8"/>
  <c r="B100" i="8"/>
  <c r="N99" i="8"/>
  <c r="M99" i="8"/>
  <c r="C99" i="8"/>
  <c r="B99" i="8"/>
  <c r="N98" i="8"/>
  <c r="M98" i="8"/>
  <c r="C98" i="8"/>
  <c r="B98" i="8"/>
  <c r="N97" i="8"/>
  <c r="M97" i="8"/>
  <c r="F97" i="8"/>
  <c r="C97" i="8"/>
  <c r="B97" i="8"/>
  <c r="N96" i="8"/>
  <c r="M96" i="8"/>
  <c r="C96" i="8"/>
  <c r="B96" i="8"/>
  <c r="N95" i="8"/>
  <c r="M95" i="8"/>
  <c r="C95" i="8"/>
  <c r="B95" i="8"/>
  <c r="C94" i="8"/>
  <c r="F92" i="8"/>
  <c r="N91" i="8"/>
  <c r="M91" i="8"/>
  <c r="C91" i="8"/>
  <c r="B91" i="8"/>
  <c r="N90" i="8"/>
  <c r="M90" i="8"/>
  <c r="C90" i="8"/>
  <c r="B90" i="8"/>
  <c r="N89" i="8"/>
  <c r="M89" i="8"/>
  <c r="C89" i="8"/>
  <c r="B89" i="8"/>
  <c r="N88" i="8"/>
  <c r="M88" i="8"/>
  <c r="C88" i="8"/>
  <c r="B88" i="8"/>
  <c r="N87" i="8"/>
  <c r="M87" i="8"/>
  <c r="C87" i="8"/>
  <c r="B87" i="8"/>
  <c r="N86" i="8"/>
  <c r="M86" i="8"/>
  <c r="F86" i="8"/>
  <c r="I86" i="8"/>
  <c r="C86" i="8"/>
  <c r="B86" i="8"/>
  <c r="N85" i="8"/>
  <c r="M85" i="8"/>
  <c r="G85" i="8"/>
  <c r="C85" i="8"/>
  <c r="B85" i="8"/>
  <c r="N84" i="8"/>
  <c r="M84" i="8"/>
  <c r="C84" i="8"/>
  <c r="B84" i="8"/>
  <c r="N83" i="8"/>
  <c r="M83" i="8"/>
  <c r="C83" i="8"/>
  <c r="B83" i="8"/>
  <c r="N82" i="8"/>
  <c r="M82" i="8"/>
  <c r="C82" i="8"/>
  <c r="B82" i="8"/>
  <c r="N81" i="8"/>
  <c r="M81" i="8"/>
  <c r="C81" i="8"/>
  <c r="B81" i="8"/>
  <c r="N80" i="8"/>
  <c r="M80" i="8"/>
  <c r="C80" i="8"/>
  <c r="B80" i="8"/>
  <c r="N79" i="8"/>
  <c r="M79" i="8"/>
  <c r="C79" i="8"/>
  <c r="B79" i="8"/>
  <c r="N78" i="8"/>
  <c r="M78" i="8"/>
  <c r="F78" i="8"/>
  <c r="I78" i="8"/>
  <c r="C78" i="8"/>
  <c r="B78" i="8"/>
  <c r="N77" i="8"/>
  <c r="M77" i="8"/>
  <c r="C77" i="8"/>
  <c r="B77" i="8"/>
  <c r="N76" i="8"/>
  <c r="M76" i="8"/>
  <c r="C76" i="8"/>
  <c r="B76" i="8"/>
  <c r="N75" i="8"/>
  <c r="M75" i="8"/>
  <c r="C75" i="8"/>
  <c r="B75" i="8"/>
  <c r="N74" i="8"/>
  <c r="M74" i="8"/>
  <c r="C74" i="8"/>
  <c r="B74" i="8"/>
  <c r="N73" i="8"/>
  <c r="M73" i="8"/>
  <c r="C73" i="8"/>
  <c r="B73" i="8"/>
  <c r="N72" i="8"/>
  <c r="M72" i="8"/>
  <c r="C72" i="8"/>
  <c r="B72" i="8"/>
  <c r="N71" i="8"/>
  <c r="M71" i="8"/>
  <c r="C71" i="8"/>
  <c r="B71" i="8"/>
  <c r="N70" i="8"/>
  <c r="M70" i="8"/>
  <c r="C70" i="8"/>
  <c r="B70" i="8"/>
  <c r="C69" i="8"/>
  <c r="B69" i="8"/>
  <c r="N66" i="8"/>
  <c r="M66" i="8"/>
  <c r="C66" i="8"/>
  <c r="B66" i="8"/>
  <c r="N65" i="8"/>
  <c r="M65" i="8"/>
  <c r="C65" i="8"/>
  <c r="B65" i="8"/>
  <c r="N64" i="8"/>
  <c r="M64" i="8"/>
  <c r="C64" i="8"/>
  <c r="B64" i="8"/>
  <c r="N63" i="8"/>
  <c r="M63" i="8"/>
  <c r="C63" i="8"/>
  <c r="B63" i="8"/>
  <c r="N62" i="8"/>
  <c r="M62" i="8"/>
  <c r="C62" i="8"/>
  <c r="B62" i="8"/>
  <c r="N61" i="8"/>
  <c r="M61" i="8"/>
  <c r="C61" i="8"/>
  <c r="B61" i="8"/>
  <c r="N60" i="8"/>
  <c r="M60" i="8"/>
  <c r="C60" i="8"/>
  <c r="B60" i="8"/>
  <c r="N59" i="8"/>
  <c r="M59" i="8"/>
  <c r="I59" i="8"/>
  <c r="H59" i="8"/>
  <c r="G59" i="8"/>
  <c r="F59" i="8"/>
  <c r="C59" i="8"/>
  <c r="B59" i="8"/>
  <c r="N58" i="8"/>
  <c r="M58" i="8"/>
  <c r="C58" i="8"/>
  <c r="B58" i="8"/>
  <c r="N57" i="8"/>
  <c r="M57" i="8"/>
  <c r="H57" i="8"/>
  <c r="C57" i="8"/>
  <c r="B57" i="8"/>
  <c r="N56" i="8"/>
  <c r="M56" i="8"/>
  <c r="C56" i="8"/>
  <c r="B56" i="8"/>
  <c r="N55" i="8"/>
  <c r="M55" i="8"/>
  <c r="C55" i="8"/>
  <c r="B55" i="8"/>
  <c r="N54" i="8"/>
  <c r="M54" i="8"/>
  <c r="C54" i="8"/>
  <c r="B54" i="8"/>
  <c r="N53" i="8"/>
  <c r="M53" i="8"/>
  <c r="C53" i="8"/>
  <c r="B53" i="8"/>
  <c r="N52" i="8"/>
  <c r="M52" i="8"/>
  <c r="C52" i="8"/>
  <c r="B52" i="8"/>
  <c r="N51" i="8"/>
  <c r="M51" i="8"/>
  <c r="I51" i="8"/>
  <c r="H51" i="8"/>
  <c r="G51" i="8"/>
  <c r="F51" i="8"/>
  <c r="C51" i="8"/>
  <c r="B51" i="8"/>
  <c r="N50" i="8"/>
  <c r="M50" i="8"/>
  <c r="C50" i="8"/>
  <c r="B50" i="8"/>
  <c r="C49" i="8"/>
  <c r="B49" i="8"/>
  <c r="N46" i="8"/>
  <c r="M46" i="8"/>
  <c r="C46" i="8"/>
  <c r="B46" i="8"/>
  <c r="N45" i="8"/>
  <c r="M45" i="8"/>
  <c r="C45" i="8"/>
  <c r="B45" i="8"/>
  <c r="N44" i="8"/>
  <c r="M44" i="8"/>
  <c r="C44" i="8"/>
  <c r="B44" i="8"/>
  <c r="N43" i="8"/>
  <c r="M43" i="8"/>
  <c r="C43" i="8"/>
  <c r="B43" i="8"/>
  <c r="C42" i="8"/>
  <c r="B42" i="8"/>
  <c r="N39" i="8"/>
  <c r="M39" i="8"/>
  <c r="C39" i="8"/>
  <c r="B39" i="8"/>
  <c r="N38" i="8"/>
  <c r="M38" i="8"/>
  <c r="C38" i="8"/>
  <c r="B38" i="8"/>
  <c r="N37" i="8"/>
  <c r="M37" i="8"/>
  <c r="I37" i="8"/>
  <c r="H37" i="8"/>
  <c r="G37" i="8"/>
  <c r="F37" i="8"/>
  <c r="C37" i="8"/>
  <c r="B37" i="8"/>
  <c r="N36" i="8"/>
  <c r="M36" i="8"/>
  <c r="C36" i="8"/>
  <c r="B36" i="8"/>
  <c r="C35" i="8"/>
  <c r="B35" i="8"/>
  <c r="N32" i="8"/>
  <c r="M32" i="8"/>
  <c r="C32" i="8"/>
  <c r="B32" i="8"/>
  <c r="N31" i="8"/>
  <c r="M31" i="8"/>
  <c r="C31" i="8"/>
  <c r="B31" i="8"/>
  <c r="N30" i="8"/>
  <c r="M30" i="8"/>
  <c r="C30" i="8"/>
  <c r="B30" i="8"/>
  <c r="N29" i="8"/>
  <c r="M29" i="8"/>
  <c r="C29" i="8"/>
  <c r="B29" i="8"/>
  <c r="N28" i="8"/>
  <c r="M28" i="8"/>
  <c r="C28" i="8"/>
  <c r="B28" i="8"/>
  <c r="C27" i="8"/>
  <c r="B27" i="8"/>
  <c r="N24" i="8"/>
  <c r="M24" i="8"/>
  <c r="C24" i="8"/>
  <c r="B24" i="8"/>
  <c r="N23" i="8"/>
  <c r="M23" i="8"/>
  <c r="G23" i="8"/>
  <c r="F23" i="8"/>
  <c r="C23" i="8"/>
  <c r="B23" i="8"/>
  <c r="N22" i="8"/>
  <c r="M22" i="8"/>
  <c r="C22" i="8"/>
  <c r="B22" i="8"/>
  <c r="N21" i="8"/>
  <c r="M21" i="8"/>
  <c r="C21" i="8"/>
  <c r="B21" i="8"/>
  <c r="N20" i="8"/>
  <c r="M20" i="8"/>
  <c r="C20" i="8"/>
  <c r="B20" i="8"/>
  <c r="N19" i="8"/>
  <c r="M19" i="8"/>
  <c r="C19" i="8"/>
  <c r="B19" i="8"/>
  <c r="N18" i="8"/>
  <c r="M18" i="8"/>
  <c r="C18" i="8"/>
  <c r="B18" i="8"/>
  <c r="C17" i="8"/>
  <c r="B17" i="8"/>
  <c r="N14" i="8"/>
  <c r="M14" i="8"/>
  <c r="C14" i="8"/>
  <c r="B14" i="8"/>
  <c r="N13" i="8"/>
  <c r="M13" i="8"/>
  <c r="C13" i="8"/>
  <c r="B13" i="8"/>
  <c r="N12" i="8"/>
  <c r="M12" i="8"/>
  <c r="F12" i="8"/>
  <c r="I12" i="8"/>
  <c r="C12" i="8"/>
  <c r="B12" i="8"/>
  <c r="N11" i="8"/>
  <c r="M11" i="8"/>
  <c r="C11" i="8"/>
  <c r="B11" i="8"/>
  <c r="N10" i="8"/>
  <c r="M10" i="8"/>
  <c r="C10" i="8"/>
  <c r="B10" i="8"/>
  <c r="N9" i="8"/>
  <c r="M9" i="8"/>
  <c r="C9" i="8"/>
  <c r="B9" i="8"/>
  <c r="C8" i="8"/>
  <c r="B8" i="8"/>
  <c r="F145" i="7"/>
  <c r="N144" i="7"/>
  <c r="M144" i="7"/>
  <c r="C144" i="7"/>
  <c r="B144" i="7"/>
  <c r="N143" i="7"/>
  <c r="M143" i="7"/>
  <c r="C143" i="7"/>
  <c r="B143" i="7"/>
  <c r="N142" i="7"/>
  <c r="M142" i="7"/>
  <c r="C142" i="7"/>
  <c r="B142" i="7"/>
  <c r="N141" i="7"/>
  <c r="M141" i="7"/>
  <c r="C141" i="7"/>
  <c r="B141" i="7"/>
  <c r="N140" i="7"/>
  <c r="M140" i="7"/>
  <c r="H140" i="7"/>
  <c r="G140" i="7"/>
  <c r="F140" i="7"/>
  <c r="I140" i="7"/>
  <c r="C140" i="7"/>
  <c r="B140" i="7"/>
  <c r="N139" i="7"/>
  <c r="M139" i="7"/>
  <c r="C139" i="7"/>
  <c r="B139" i="7"/>
  <c r="N138" i="7"/>
  <c r="M138" i="7"/>
  <c r="C138" i="7"/>
  <c r="B138" i="7"/>
  <c r="N137" i="7"/>
  <c r="M137" i="7"/>
  <c r="C137" i="7"/>
  <c r="B137" i="7"/>
  <c r="C136" i="7"/>
  <c r="B136" i="7"/>
  <c r="N133" i="7"/>
  <c r="M133" i="7"/>
  <c r="C133" i="7"/>
  <c r="B133" i="7"/>
  <c r="N132" i="7"/>
  <c r="M132" i="7"/>
  <c r="C132" i="7"/>
  <c r="B132" i="7"/>
  <c r="N131" i="7"/>
  <c r="M131" i="7"/>
  <c r="C131" i="7"/>
  <c r="B131" i="7"/>
  <c r="N130" i="7"/>
  <c r="M130" i="7"/>
  <c r="C130" i="7"/>
  <c r="B130" i="7"/>
  <c r="C129" i="7"/>
  <c r="B129" i="7"/>
  <c r="N126" i="7"/>
  <c r="M126" i="7"/>
  <c r="I126" i="7"/>
  <c r="H126" i="7"/>
  <c r="G126" i="7"/>
  <c r="F126" i="7"/>
  <c r="C126" i="7"/>
  <c r="B126" i="7"/>
  <c r="N125" i="7"/>
  <c r="M125" i="7"/>
  <c r="G125" i="7"/>
  <c r="C125" i="7"/>
  <c r="B125" i="7"/>
  <c r="N124" i="7"/>
  <c r="M124" i="7"/>
  <c r="C124" i="7"/>
  <c r="B124" i="7"/>
  <c r="N123" i="7"/>
  <c r="M123" i="7"/>
  <c r="C123" i="7"/>
  <c r="B123" i="7"/>
  <c r="N122" i="7"/>
  <c r="M122" i="7"/>
  <c r="C122" i="7"/>
  <c r="B122" i="7"/>
  <c r="N121" i="7"/>
  <c r="M121" i="7"/>
  <c r="C121" i="7"/>
  <c r="B121" i="7"/>
  <c r="N120" i="7"/>
  <c r="M120" i="7"/>
  <c r="C120" i="7"/>
  <c r="B120" i="7"/>
  <c r="C119" i="7"/>
  <c r="B119" i="7"/>
  <c r="N116" i="7"/>
  <c r="M116" i="7"/>
  <c r="C116" i="7"/>
  <c r="B116" i="7"/>
  <c r="N115" i="7"/>
  <c r="M115" i="7"/>
  <c r="I115" i="7"/>
  <c r="C115" i="7"/>
  <c r="B115" i="7"/>
  <c r="N114" i="7"/>
  <c r="M114" i="7"/>
  <c r="C114" i="7"/>
  <c r="B114" i="7"/>
  <c r="N113" i="7"/>
  <c r="M113" i="7"/>
  <c r="C113" i="7"/>
  <c r="B113" i="7"/>
  <c r="C112" i="7"/>
  <c r="B112" i="7"/>
  <c r="N109" i="7"/>
  <c r="M109" i="7"/>
  <c r="C109" i="7"/>
  <c r="B109" i="7"/>
  <c r="N108" i="7"/>
  <c r="M108" i="7"/>
  <c r="C108" i="7"/>
  <c r="B108" i="7"/>
  <c r="N107" i="7"/>
  <c r="M107" i="7"/>
  <c r="C107" i="7"/>
  <c r="B107" i="7"/>
  <c r="N106" i="7"/>
  <c r="M106" i="7"/>
  <c r="C106" i="7"/>
  <c r="B106" i="7"/>
  <c r="C105" i="7"/>
  <c r="B105" i="7"/>
  <c r="N102" i="7"/>
  <c r="M102" i="7"/>
  <c r="C102" i="7"/>
  <c r="B102" i="7"/>
  <c r="N101" i="7"/>
  <c r="M101" i="7"/>
  <c r="G101" i="7"/>
  <c r="I101" i="7"/>
  <c r="C101" i="7"/>
  <c r="B101" i="7"/>
  <c r="N100" i="7"/>
  <c r="M100" i="7"/>
  <c r="C100" i="7"/>
  <c r="B100" i="7"/>
  <c r="N99" i="7"/>
  <c r="M99" i="7"/>
  <c r="C99" i="7"/>
  <c r="B99" i="7"/>
  <c r="N98" i="7"/>
  <c r="M98" i="7"/>
  <c r="C98" i="7"/>
  <c r="B98" i="7"/>
  <c r="N97" i="7"/>
  <c r="M97" i="7"/>
  <c r="C97" i="7"/>
  <c r="B97" i="7"/>
  <c r="N96" i="7"/>
  <c r="M96" i="7"/>
  <c r="C96" i="7"/>
  <c r="B96" i="7"/>
  <c r="N95" i="7"/>
  <c r="M95" i="7"/>
  <c r="C95" i="7"/>
  <c r="B95" i="7"/>
  <c r="C94" i="7"/>
  <c r="F92" i="7"/>
  <c r="N91" i="7"/>
  <c r="M91" i="7"/>
  <c r="C91" i="7"/>
  <c r="B91" i="7"/>
  <c r="N90" i="7"/>
  <c r="M90" i="7"/>
  <c r="H90" i="7"/>
  <c r="F90" i="7"/>
  <c r="I90" i="7"/>
  <c r="C90" i="7"/>
  <c r="B90" i="7"/>
  <c r="N89" i="7"/>
  <c r="M89" i="7"/>
  <c r="C89" i="7"/>
  <c r="B89" i="7"/>
  <c r="N88" i="7"/>
  <c r="M88" i="7"/>
  <c r="C88" i="7"/>
  <c r="B88" i="7"/>
  <c r="N87" i="7"/>
  <c r="M87" i="7"/>
  <c r="C87" i="7"/>
  <c r="B87" i="7"/>
  <c r="N86" i="7"/>
  <c r="M86" i="7"/>
  <c r="C86" i="7"/>
  <c r="B86" i="7"/>
  <c r="N85" i="7"/>
  <c r="M85" i="7"/>
  <c r="C85" i="7"/>
  <c r="B85" i="7"/>
  <c r="N84" i="7"/>
  <c r="M84" i="7"/>
  <c r="C84" i="7"/>
  <c r="B84" i="7"/>
  <c r="N83" i="7"/>
  <c r="M83" i="7"/>
  <c r="C83" i="7"/>
  <c r="B83" i="7"/>
  <c r="N82" i="7"/>
  <c r="M82" i="7"/>
  <c r="F82" i="7"/>
  <c r="C82" i="7"/>
  <c r="B82" i="7"/>
  <c r="N81" i="7"/>
  <c r="M81" i="7"/>
  <c r="C81" i="7"/>
  <c r="B81" i="7"/>
  <c r="N80" i="7"/>
  <c r="M80" i="7"/>
  <c r="C80" i="7"/>
  <c r="B80" i="7"/>
  <c r="N79" i="7"/>
  <c r="M79" i="7"/>
  <c r="C79" i="7"/>
  <c r="B79" i="7"/>
  <c r="N78" i="7"/>
  <c r="M78" i="7"/>
  <c r="C78" i="7"/>
  <c r="B78" i="7"/>
  <c r="N77" i="7"/>
  <c r="M77" i="7"/>
  <c r="C77" i="7"/>
  <c r="B77" i="7"/>
  <c r="N76" i="7"/>
  <c r="M76" i="7"/>
  <c r="C76" i="7"/>
  <c r="B76" i="7"/>
  <c r="N75" i="7"/>
  <c r="M75" i="7"/>
  <c r="C75" i="7"/>
  <c r="B75" i="7"/>
  <c r="N74" i="7"/>
  <c r="M74" i="7"/>
  <c r="F74" i="7"/>
  <c r="C74" i="7"/>
  <c r="B74" i="7"/>
  <c r="N73" i="7"/>
  <c r="M73" i="7"/>
  <c r="C73" i="7"/>
  <c r="B73" i="7"/>
  <c r="N72" i="7"/>
  <c r="M72" i="7"/>
  <c r="C72" i="7"/>
  <c r="B72" i="7"/>
  <c r="N71" i="7"/>
  <c r="M71" i="7"/>
  <c r="C71" i="7"/>
  <c r="B71" i="7"/>
  <c r="N70" i="7"/>
  <c r="M70" i="7"/>
  <c r="C70" i="7"/>
  <c r="B70" i="7"/>
  <c r="C69" i="7"/>
  <c r="B69" i="7"/>
  <c r="N66" i="7"/>
  <c r="M66" i="7"/>
  <c r="C66" i="7"/>
  <c r="B66" i="7"/>
  <c r="N65" i="7"/>
  <c r="M65" i="7"/>
  <c r="C65" i="7"/>
  <c r="B65" i="7"/>
  <c r="N64" i="7"/>
  <c r="M64" i="7"/>
  <c r="C64" i="7"/>
  <c r="B64" i="7"/>
  <c r="N63" i="7"/>
  <c r="M63" i="7"/>
  <c r="G63" i="7"/>
  <c r="I63" i="7"/>
  <c r="C63" i="7"/>
  <c r="B63" i="7"/>
  <c r="N62" i="7"/>
  <c r="M62" i="7"/>
  <c r="C62" i="7"/>
  <c r="B62" i="7"/>
  <c r="N61" i="7"/>
  <c r="M61" i="7"/>
  <c r="C61" i="7"/>
  <c r="B61" i="7"/>
  <c r="N60" i="7"/>
  <c r="M60" i="7"/>
  <c r="C60" i="7"/>
  <c r="B60" i="7"/>
  <c r="N59" i="7"/>
  <c r="M59" i="7"/>
  <c r="C59" i="7"/>
  <c r="B59" i="7"/>
  <c r="N58" i="7"/>
  <c r="M58" i="7"/>
  <c r="C58" i="7"/>
  <c r="B58" i="7"/>
  <c r="N57" i="7"/>
  <c r="M57" i="7"/>
  <c r="C57" i="7"/>
  <c r="B57" i="7"/>
  <c r="N56" i="7"/>
  <c r="M56" i="7"/>
  <c r="C56" i="7"/>
  <c r="B56" i="7"/>
  <c r="N55" i="7"/>
  <c r="M55" i="7"/>
  <c r="G55" i="7"/>
  <c r="C55" i="7"/>
  <c r="B55" i="7"/>
  <c r="N54" i="7"/>
  <c r="M54" i="7"/>
  <c r="C54" i="7"/>
  <c r="B54" i="7"/>
  <c r="N53" i="7"/>
  <c r="M53" i="7"/>
  <c r="C53" i="7"/>
  <c r="B53" i="7"/>
  <c r="N52" i="7"/>
  <c r="M52" i="7"/>
  <c r="C52" i="7"/>
  <c r="B52" i="7"/>
  <c r="N51" i="7"/>
  <c r="M51" i="7"/>
  <c r="C51" i="7"/>
  <c r="B51" i="7"/>
  <c r="N50" i="7"/>
  <c r="M50" i="7"/>
  <c r="C50" i="7"/>
  <c r="B50" i="7"/>
  <c r="C49" i="7"/>
  <c r="B49" i="7"/>
  <c r="N46" i="7"/>
  <c r="M46" i="7"/>
  <c r="C46" i="7"/>
  <c r="B46" i="7"/>
  <c r="N45" i="7"/>
  <c r="M45" i="7"/>
  <c r="C45" i="7"/>
  <c r="B45" i="7"/>
  <c r="N44" i="7"/>
  <c r="M44" i="7"/>
  <c r="I44" i="7"/>
  <c r="H44" i="7"/>
  <c r="G44" i="7"/>
  <c r="F44" i="7"/>
  <c r="C44" i="7"/>
  <c r="B44" i="7"/>
  <c r="N43" i="7"/>
  <c r="M43" i="7"/>
  <c r="C43" i="7"/>
  <c r="B43" i="7"/>
  <c r="C42" i="7"/>
  <c r="B42" i="7"/>
  <c r="N39" i="7"/>
  <c r="M39" i="7"/>
  <c r="C39" i="7"/>
  <c r="B39" i="7"/>
  <c r="N38" i="7"/>
  <c r="M38" i="7"/>
  <c r="C38" i="7"/>
  <c r="B38" i="7"/>
  <c r="N37" i="7"/>
  <c r="M37" i="7"/>
  <c r="C37" i="7"/>
  <c r="B37" i="7"/>
  <c r="N36" i="7"/>
  <c r="M36" i="7"/>
  <c r="C36" i="7"/>
  <c r="B36" i="7"/>
  <c r="C35" i="7"/>
  <c r="B35" i="7"/>
  <c r="N32" i="7"/>
  <c r="M32" i="7"/>
  <c r="C32" i="7"/>
  <c r="B32" i="7"/>
  <c r="N31" i="7"/>
  <c r="M31" i="7"/>
  <c r="C31" i="7"/>
  <c r="B31" i="7"/>
  <c r="N30" i="7"/>
  <c r="M30" i="7"/>
  <c r="G30" i="7"/>
  <c r="F30" i="7"/>
  <c r="C30" i="7"/>
  <c r="B30" i="7"/>
  <c r="N29" i="7"/>
  <c r="M29" i="7"/>
  <c r="C29" i="7"/>
  <c r="B29" i="7"/>
  <c r="N28" i="7"/>
  <c r="M28" i="7"/>
  <c r="C28" i="7"/>
  <c r="B28" i="7"/>
  <c r="C27" i="7"/>
  <c r="B27" i="7"/>
  <c r="N24" i="7"/>
  <c r="M24" i="7"/>
  <c r="C24" i="7"/>
  <c r="B24" i="7"/>
  <c r="N23" i="7"/>
  <c r="M23" i="7"/>
  <c r="C23" i="7"/>
  <c r="B23" i="7"/>
  <c r="N22" i="7"/>
  <c r="M22" i="7"/>
  <c r="C22" i="7"/>
  <c r="B22" i="7"/>
  <c r="N21" i="7"/>
  <c r="M21" i="7"/>
  <c r="C21" i="7"/>
  <c r="B21" i="7"/>
  <c r="N20" i="7"/>
  <c r="M20" i="7"/>
  <c r="C20" i="7"/>
  <c r="B20" i="7"/>
  <c r="N19" i="7"/>
  <c r="M19" i="7"/>
  <c r="C19" i="7"/>
  <c r="B19" i="7"/>
  <c r="N18" i="7"/>
  <c r="M18" i="7"/>
  <c r="C18" i="7"/>
  <c r="B18" i="7"/>
  <c r="C17" i="7"/>
  <c r="B17" i="7"/>
  <c r="N14" i="7"/>
  <c r="M14" i="7"/>
  <c r="C14" i="7"/>
  <c r="B14" i="7"/>
  <c r="N13" i="7"/>
  <c r="M13" i="7"/>
  <c r="C13" i="7"/>
  <c r="B13" i="7"/>
  <c r="N12" i="7"/>
  <c r="M12" i="7"/>
  <c r="C12" i="7"/>
  <c r="B12" i="7"/>
  <c r="N11" i="7"/>
  <c r="M11" i="7"/>
  <c r="C11" i="7"/>
  <c r="B11" i="7"/>
  <c r="N10" i="7"/>
  <c r="M10" i="7"/>
  <c r="C10" i="7"/>
  <c r="B10" i="7"/>
  <c r="N9" i="7"/>
  <c r="M9" i="7"/>
  <c r="C9" i="7"/>
  <c r="B9" i="7"/>
  <c r="C8" i="7"/>
  <c r="B8" i="7"/>
  <c r="F145" i="6"/>
  <c r="N144" i="6"/>
  <c r="M144" i="6"/>
  <c r="G144" i="6"/>
  <c r="F144" i="6"/>
  <c r="I144" i="6"/>
  <c r="C144" i="6"/>
  <c r="B144" i="6"/>
  <c r="N143" i="6"/>
  <c r="M143" i="6"/>
  <c r="C143" i="6"/>
  <c r="B143" i="6"/>
  <c r="N142" i="6"/>
  <c r="M142" i="6"/>
  <c r="C142" i="6"/>
  <c r="B142" i="6"/>
  <c r="N141" i="6"/>
  <c r="M141" i="6"/>
  <c r="C141" i="6"/>
  <c r="B141" i="6"/>
  <c r="N140" i="6"/>
  <c r="M140" i="6"/>
  <c r="C140" i="6"/>
  <c r="B140" i="6"/>
  <c r="N139" i="6"/>
  <c r="M139" i="6"/>
  <c r="C139" i="6"/>
  <c r="B139" i="6"/>
  <c r="N138" i="6"/>
  <c r="M138" i="6"/>
  <c r="C138" i="6"/>
  <c r="B138" i="6"/>
  <c r="N137" i="6"/>
  <c r="M137" i="6"/>
  <c r="C137" i="6"/>
  <c r="B137" i="6"/>
  <c r="C136" i="6"/>
  <c r="B136" i="6"/>
  <c r="N133" i="6"/>
  <c r="M133" i="6"/>
  <c r="H133" i="6"/>
  <c r="G133" i="6"/>
  <c r="F133" i="6"/>
  <c r="I133" i="6"/>
  <c r="C133" i="6"/>
  <c r="B133" i="6"/>
  <c r="N132" i="6"/>
  <c r="M132" i="6"/>
  <c r="I132" i="6"/>
  <c r="C132" i="6"/>
  <c r="B132" i="6"/>
  <c r="N131" i="6"/>
  <c r="M131" i="6"/>
  <c r="C131" i="6"/>
  <c r="B131" i="6"/>
  <c r="N130" i="6"/>
  <c r="M130" i="6"/>
  <c r="C130" i="6"/>
  <c r="B130" i="6"/>
  <c r="C129" i="6"/>
  <c r="B129" i="6"/>
  <c r="N126" i="6"/>
  <c r="M126" i="6"/>
  <c r="C126" i="6"/>
  <c r="B126" i="6"/>
  <c r="N125" i="6"/>
  <c r="M125" i="6"/>
  <c r="C125" i="6"/>
  <c r="B125" i="6"/>
  <c r="N124" i="6"/>
  <c r="M124" i="6"/>
  <c r="C124" i="6"/>
  <c r="B124" i="6"/>
  <c r="N123" i="6"/>
  <c r="M123" i="6"/>
  <c r="C123" i="6"/>
  <c r="B123" i="6"/>
  <c r="N122" i="6"/>
  <c r="M122" i="6"/>
  <c r="G122" i="6"/>
  <c r="F122" i="6"/>
  <c r="C122" i="6"/>
  <c r="B122" i="6"/>
  <c r="N121" i="6"/>
  <c r="M121" i="6"/>
  <c r="C121" i="6"/>
  <c r="B121" i="6"/>
  <c r="N120" i="6"/>
  <c r="M120" i="6"/>
  <c r="C120" i="6"/>
  <c r="B120" i="6"/>
  <c r="C119" i="6"/>
  <c r="B119" i="6"/>
  <c r="N116" i="6"/>
  <c r="M116" i="6"/>
  <c r="C116" i="6"/>
  <c r="B116" i="6"/>
  <c r="N115" i="6"/>
  <c r="M115" i="6"/>
  <c r="C115" i="6"/>
  <c r="B115" i="6"/>
  <c r="N114" i="6"/>
  <c r="M114" i="6"/>
  <c r="C114" i="6"/>
  <c r="B114" i="6"/>
  <c r="N113" i="6"/>
  <c r="M113" i="6"/>
  <c r="C113" i="6"/>
  <c r="B113" i="6"/>
  <c r="C112" i="6"/>
  <c r="B112" i="6"/>
  <c r="N109" i="6"/>
  <c r="M109" i="6"/>
  <c r="C109" i="6"/>
  <c r="B109" i="6"/>
  <c r="N108" i="6"/>
  <c r="M108" i="6"/>
  <c r="G108" i="6"/>
  <c r="F108" i="6"/>
  <c r="I108" i="6"/>
  <c r="C108" i="6"/>
  <c r="B108" i="6"/>
  <c r="N107" i="6"/>
  <c r="M107" i="6"/>
  <c r="C107" i="6"/>
  <c r="B107" i="6"/>
  <c r="N106" i="6"/>
  <c r="M106" i="6"/>
  <c r="C106" i="6"/>
  <c r="B106" i="6"/>
  <c r="C105" i="6"/>
  <c r="B105" i="6"/>
  <c r="N102" i="6"/>
  <c r="M102" i="6"/>
  <c r="C102" i="6"/>
  <c r="B102" i="6"/>
  <c r="N101" i="6"/>
  <c r="M101" i="6"/>
  <c r="C101" i="6"/>
  <c r="B101" i="6"/>
  <c r="N100" i="6"/>
  <c r="M100" i="6"/>
  <c r="C100" i="6"/>
  <c r="B100" i="6"/>
  <c r="N99" i="6"/>
  <c r="M99" i="6"/>
  <c r="C99" i="6"/>
  <c r="B99" i="6"/>
  <c r="N98" i="6"/>
  <c r="M98" i="6"/>
  <c r="C98" i="6"/>
  <c r="B98" i="6"/>
  <c r="N97" i="6"/>
  <c r="M97" i="6"/>
  <c r="F97" i="6"/>
  <c r="C97" i="6"/>
  <c r="B97" i="6"/>
  <c r="N96" i="6"/>
  <c r="M96" i="6"/>
  <c r="C96" i="6"/>
  <c r="B96" i="6"/>
  <c r="N95" i="6"/>
  <c r="M95" i="6"/>
  <c r="C95" i="6"/>
  <c r="B95" i="6"/>
  <c r="C94" i="6"/>
  <c r="F92" i="6"/>
  <c r="N91" i="6"/>
  <c r="M91" i="6"/>
  <c r="C91" i="6"/>
  <c r="B91" i="6"/>
  <c r="N90" i="6"/>
  <c r="M90" i="6"/>
  <c r="C90" i="6"/>
  <c r="B90" i="6"/>
  <c r="N89" i="6"/>
  <c r="M89" i="6"/>
  <c r="C89" i="6"/>
  <c r="B89" i="6"/>
  <c r="N88" i="6"/>
  <c r="M88" i="6"/>
  <c r="C88" i="6"/>
  <c r="B88" i="6"/>
  <c r="N87" i="6"/>
  <c r="M87" i="6"/>
  <c r="C87" i="6"/>
  <c r="B87" i="6"/>
  <c r="N86" i="6"/>
  <c r="M86" i="6"/>
  <c r="G86" i="6"/>
  <c r="F86" i="6"/>
  <c r="I86" i="6"/>
  <c r="C86" i="6"/>
  <c r="B86" i="6"/>
  <c r="N85" i="6"/>
  <c r="M85" i="6"/>
  <c r="C85" i="6"/>
  <c r="B85" i="6"/>
  <c r="N84" i="6"/>
  <c r="M84" i="6"/>
  <c r="C84" i="6"/>
  <c r="B84" i="6"/>
  <c r="N83" i="6"/>
  <c r="M83" i="6"/>
  <c r="C83" i="6"/>
  <c r="B83" i="6"/>
  <c r="N82" i="6"/>
  <c r="M82" i="6"/>
  <c r="C82" i="6"/>
  <c r="B82" i="6"/>
  <c r="N81" i="6"/>
  <c r="M81" i="6"/>
  <c r="C81" i="6"/>
  <c r="B81" i="6"/>
  <c r="N80" i="6"/>
  <c r="M80" i="6"/>
  <c r="C80" i="6"/>
  <c r="B80" i="6"/>
  <c r="N79" i="6"/>
  <c r="M79" i="6"/>
  <c r="C79" i="6"/>
  <c r="B79" i="6"/>
  <c r="N78" i="6"/>
  <c r="M78" i="6"/>
  <c r="I78" i="6"/>
  <c r="G78" i="6"/>
  <c r="F78" i="6"/>
  <c r="H78" i="6"/>
  <c r="C78" i="6"/>
  <c r="B78" i="6"/>
  <c r="N77" i="6"/>
  <c r="M77" i="6"/>
  <c r="C77" i="6"/>
  <c r="B77" i="6"/>
  <c r="N76" i="6"/>
  <c r="M76" i="6"/>
  <c r="C76" i="6"/>
  <c r="B76" i="6"/>
  <c r="N75" i="6"/>
  <c r="M75" i="6"/>
  <c r="C75" i="6"/>
  <c r="B75" i="6"/>
  <c r="N74" i="6"/>
  <c r="M74" i="6"/>
  <c r="C74" i="6"/>
  <c r="B74" i="6"/>
  <c r="N73" i="6"/>
  <c r="M73" i="6"/>
  <c r="C73" i="6"/>
  <c r="B73" i="6"/>
  <c r="N72" i="6"/>
  <c r="M72" i="6"/>
  <c r="C72" i="6"/>
  <c r="B72" i="6"/>
  <c r="N71" i="6"/>
  <c r="M71" i="6"/>
  <c r="C71" i="6"/>
  <c r="B71" i="6"/>
  <c r="N70" i="6"/>
  <c r="M70" i="6"/>
  <c r="C70" i="6"/>
  <c r="B70" i="6"/>
  <c r="C69" i="6"/>
  <c r="B69" i="6"/>
  <c r="N66" i="6"/>
  <c r="M66" i="6"/>
  <c r="C66" i="6"/>
  <c r="B66" i="6"/>
  <c r="N65" i="6"/>
  <c r="M65" i="6"/>
  <c r="C65" i="6"/>
  <c r="B65" i="6"/>
  <c r="N64" i="6"/>
  <c r="M64" i="6"/>
  <c r="C64" i="6"/>
  <c r="B64" i="6"/>
  <c r="N63" i="6"/>
  <c r="M63" i="6"/>
  <c r="C63" i="6"/>
  <c r="B63" i="6"/>
  <c r="N62" i="6"/>
  <c r="M62" i="6"/>
  <c r="C62" i="6"/>
  <c r="B62" i="6"/>
  <c r="N61" i="6"/>
  <c r="M61" i="6"/>
  <c r="C61" i="6"/>
  <c r="B61" i="6"/>
  <c r="N60" i="6"/>
  <c r="M60" i="6"/>
  <c r="C60" i="6"/>
  <c r="B60" i="6"/>
  <c r="N59" i="6"/>
  <c r="M59" i="6"/>
  <c r="H59" i="6"/>
  <c r="F59" i="6"/>
  <c r="I59" i="6"/>
  <c r="C59" i="6"/>
  <c r="B59" i="6"/>
  <c r="N58" i="6"/>
  <c r="M58" i="6"/>
  <c r="I58" i="6"/>
  <c r="C58" i="6"/>
  <c r="B58" i="6"/>
  <c r="N57" i="6"/>
  <c r="M57" i="6"/>
  <c r="C57" i="6"/>
  <c r="B57" i="6"/>
  <c r="N56" i="6"/>
  <c r="M56" i="6"/>
  <c r="C56" i="6"/>
  <c r="B56" i="6"/>
  <c r="N55" i="6"/>
  <c r="M55" i="6"/>
  <c r="C55" i="6"/>
  <c r="B55" i="6"/>
  <c r="N54" i="6"/>
  <c r="M54" i="6"/>
  <c r="C54" i="6"/>
  <c r="B54" i="6"/>
  <c r="N53" i="6"/>
  <c r="M53" i="6"/>
  <c r="C53" i="6"/>
  <c r="B53" i="6"/>
  <c r="N52" i="6"/>
  <c r="M52" i="6"/>
  <c r="C52" i="6"/>
  <c r="B52" i="6"/>
  <c r="N51" i="6"/>
  <c r="M51" i="6"/>
  <c r="H51" i="6"/>
  <c r="F51" i="6"/>
  <c r="C51" i="6"/>
  <c r="B51" i="6"/>
  <c r="N50" i="6"/>
  <c r="M50" i="6"/>
  <c r="C50" i="6"/>
  <c r="B50" i="6"/>
  <c r="C49" i="6"/>
  <c r="B49" i="6"/>
  <c r="N46" i="6"/>
  <c r="M46" i="6"/>
  <c r="C46" i="6"/>
  <c r="B46" i="6"/>
  <c r="N45" i="6"/>
  <c r="M45" i="6"/>
  <c r="C45" i="6"/>
  <c r="B45" i="6"/>
  <c r="N44" i="6"/>
  <c r="M44" i="6"/>
  <c r="C44" i="6"/>
  <c r="B44" i="6"/>
  <c r="N43" i="6"/>
  <c r="M43" i="6"/>
  <c r="C43" i="6"/>
  <c r="B43" i="6"/>
  <c r="C42" i="6"/>
  <c r="B42" i="6"/>
  <c r="N39" i="6"/>
  <c r="M39" i="6"/>
  <c r="C39" i="6"/>
  <c r="B39" i="6"/>
  <c r="N38" i="6"/>
  <c r="M38" i="6"/>
  <c r="C38" i="6"/>
  <c r="B38" i="6"/>
  <c r="N37" i="6"/>
  <c r="M37" i="6"/>
  <c r="F37" i="6"/>
  <c r="I37" i="6"/>
  <c r="C37" i="6"/>
  <c r="B37" i="6"/>
  <c r="N36" i="6"/>
  <c r="M36" i="6"/>
  <c r="C36" i="6"/>
  <c r="B36" i="6"/>
  <c r="C35" i="6"/>
  <c r="B35" i="6"/>
  <c r="N32" i="6"/>
  <c r="M32" i="6"/>
  <c r="C32" i="6"/>
  <c r="B32" i="6"/>
  <c r="N31" i="6"/>
  <c r="M31" i="6"/>
  <c r="C31" i="6"/>
  <c r="B31" i="6"/>
  <c r="N30" i="6"/>
  <c r="M30" i="6"/>
  <c r="C30" i="6"/>
  <c r="B30" i="6"/>
  <c r="N29" i="6"/>
  <c r="M29" i="6"/>
  <c r="C29" i="6"/>
  <c r="B29" i="6"/>
  <c r="N28" i="6"/>
  <c r="M28" i="6"/>
  <c r="C28" i="6"/>
  <c r="B28" i="6"/>
  <c r="C27" i="6"/>
  <c r="B27" i="6"/>
  <c r="N24" i="6"/>
  <c r="M24" i="6"/>
  <c r="C24" i="6"/>
  <c r="B24" i="6"/>
  <c r="N23" i="6"/>
  <c r="M23" i="6"/>
  <c r="G23" i="6"/>
  <c r="F23" i="6"/>
  <c r="C23" i="6"/>
  <c r="B23" i="6"/>
  <c r="N22" i="6"/>
  <c r="M22" i="6"/>
  <c r="C22" i="6"/>
  <c r="B22" i="6"/>
  <c r="N21" i="6"/>
  <c r="M21" i="6"/>
  <c r="C21" i="6"/>
  <c r="B21" i="6"/>
  <c r="N20" i="6"/>
  <c r="M20" i="6"/>
  <c r="C20" i="6"/>
  <c r="B20" i="6"/>
  <c r="N19" i="6"/>
  <c r="M19" i="6"/>
  <c r="C19" i="6"/>
  <c r="B19" i="6"/>
  <c r="N18" i="6"/>
  <c r="M18" i="6"/>
  <c r="C18" i="6"/>
  <c r="B18" i="6"/>
  <c r="C17" i="6"/>
  <c r="B17" i="6"/>
  <c r="N14" i="6"/>
  <c r="M14" i="6"/>
  <c r="C14" i="6"/>
  <c r="B14" i="6"/>
  <c r="N13" i="6"/>
  <c r="M13" i="6"/>
  <c r="C13" i="6"/>
  <c r="B13" i="6"/>
  <c r="N12" i="6"/>
  <c r="M12" i="6"/>
  <c r="G12" i="6"/>
  <c r="I12" i="6"/>
  <c r="C12" i="6"/>
  <c r="B12" i="6"/>
  <c r="N11" i="6"/>
  <c r="M11" i="6"/>
  <c r="C11" i="6"/>
  <c r="B11" i="6"/>
  <c r="N10" i="6"/>
  <c r="M10" i="6"/>
  <c r="C10" i="6"/>
  <c r="B10" i="6"/>
  <c r="N9" i="6"/>
  <c r="M9" i="6"/>
  <c r="C9" i="6"/>
  <c r="B9" i="6"/>
  <c r="C8" i="6"/>
  <c r="B8" i="6"/>
  <c r="F145" i="5"/>
  <c r="N144" i="5"/>
  <c r="M144" i="5"/>
  <c r="C144" i="5"/>
  <c r="B144" i="5"/>
  <c r="N143" i="5"/>
  <c r="M143" i="5"/>
  <c r="C143" i="5"/>
  <c r="B143" i="5"/>
  <c r="N142" i="5"/>
  <c r="M142" i="5"/>
  <c r="C142" i="5"/>
  <c r="B142" i="5"/>
  <c r="N141" i="5"/>
  <c r="M141" i="5"/>
  <c r="C141" i="5"/>
  <c r="B141" i="5"/>
  <c r="N140" i="5"/>
  <c r="M140" i="5"/>
  <c r="F140" i="5"/>
  <c r="I140" i="5"/>
  <c r="C140" i="5"/>
  <c r="B140" i="5"/>
  <c r="N139" i="5"/>
  <c r="M139" i="5"/>
  <c r="C139" i="5"/>
  <c r="B139" i="5"/>
  <c r="N138" i="5"/>
  <c r="M138" i="5"/>
  <c r="C138" i="5"/>
  <c r="B138" i="5"/>
  <c r="N137" i="5"/>
  <c r="M137" i="5"/>
  <c r="C137" i="5"/>
  <c r="B137" i="5"/>
  <c r="C136" i="5"/>
  <c r="B136" i="5"/>
  <c r="N133" i="5"/>
  <c r="M133" i="5"/>
  <c r="C133" i="5"/>
  <c r="B133" i="5"/>
  <c r="N132" i="5"/>
  <c r="M132" i="5"/>
  <c r="C132" i="5"/>
  <c r="B132" i="5"/>
  <c r="N131" i="5"/>
  <c r="M131" i="5"/>
  <c r="C131" i="5"/>
  <c r="B131" i="5"/>
  <c r="N130" i="5"/>
  <c r="M130" i="5"/>
  <c r="C130" i="5"/>
  <c r="B130" i="5"/>
  <c r="C129" i="5"/>
  <c r="B129" i="5"/>
  <c r="N126" i="5"/>
  <c r="M126" i="5"/>
  <c r="I126" i="5"/>
  <c r="G126" i="5"/>
  <c r="F126" i="5"/>
  <c r="H126" i="5"/>
  <c r="C126" i="5"/>
  <c r="B126" i="5"/>
  <c r="N125" i="5"/>
  <c r="M125" i="5"/>
  <c r="C125" i="5"/>
  <c r="B125" i="5"/>
  <c r="N124" i="5"/>
  <c r="M124" i="5"/>
  <c r="C124" i="5"/>
  <c r="B124" i="5"/>
  <c r="N123" i="5"/>
  <c r="M123" i="5"/>
  <c r="C123" i="5"/>
  <c r="B123" i="5"/>
  <c r="N122" i="5"/>
  <c r="M122" i="5"/>
  <c r="C122" i="5"/>
  <c r="B122" i="5"/>
  <c r="N121" i="5"/>
  <c r="M121" i="5"/>
  <c r="C121" i="5"/>
  <c r="B121" i="5"/>
  <c r="N120" i="5"/>
  <c r="M120" i="5"/>
  <c r="C120" i="5"/>
  <c r="B120" i="5"/>
  <c r="C119" i="5"/>
  <c r="B119" i="5"/>
  <c r="N116" i="5"/>
  <c r="M116" i="5"/>
  <c r="C116" i="5"/>
  <c r="B116" i="5"/>
  <c r="N115" i="5"/>
  <c r="M115" i="5"/>
  <c r="F115" i="5"/>
  <c r="I115" i="5"/>
  <c r="C115" i="5"/>
  <c r="B115" i="5"/>
  <c r="N114" i="5"/>
  <c r="M114" i="5"/>
  <c r="C114" i="5"/>
  <c r="B114" i="5"/>
  <c r="N113" i="5"/>
  <c r="M113" i="5"/>
  <c r="C113" i="5"/>
  <c r="B113" i="5"/>
  <c r="C112" i="5"/>
  <c r="B112" i="5"/>
  <c r="N109" i="5"/>
  <c r="M109" i="5"/>
  <c r="C109" i="5"/>
  <c r="B109" i="5"/>
  <c r="N108" i="5"/>
  <c r="M108" i="5"/>
  <c r="C108" i="5"/>
  <c r="B108" i="5"/>
  <c r="N107" i="5"/>
  <c r="M107" i="5"/>
  <c r="C107" i="5"/>
  <c r="B107" i="5"/>
  <c r="N106" i="5"/>
  <c r="M106" i="5"/>
  <c r="C106" i="5"/>
  <c r="B106" i="5"/>
  <c r="C105" i="5"/>
  <c r="B105" i="5"/>
  <c r="N102" i="5"/>
  <c r="M102" i="5"/>
  <c r="C102" i="5"/>
  <c r="B102" i="5"/>
  <c r="N101" i="5"/>
  <c r="M101" i="5"/>
  <c r="H101" i="5"/>
  <c r="F101" i="5"/>
  <c r="I101" i="5"/>
  <c r="C101" i="5"/>
  <c r="B101" i="5"/>
  <c r="N100" i="5"/>
  <c r="M100" i="5"/>
  <c r="C100" i="5"/>
  <c r="B100" i="5"/>
  <c r="N99" i="5"/>
  <c r="M99" i="5"/>
  <c r="C99" i="5"/>
  <c r="B99" i="5"/>
  <c r="N98" i="5"/>
  <c r="M98" i="5"/>
  <c r="C98" i="5"/>
  <c r="B98" i="5"/>
  <c r="N97" i="5"/>
  <c r="M97" i="5"/>
  <c r="C97" i="5"/>
  <c r="B97" i="5"/>
  <c r="N96" i="5"/>
  <c r="M96" i="5"/>
  <c r="C96" i="5"/>
  <c r="B96" i="5"/>
  <c r="N95" i="5"/>
  <c r="M95" i="5"/>
  <c r="C95" i="5"/>
  <c r="B95" i="5"/>
  <c r="C94" i="5"/>
  <c r="F92" i="5"/>
  <c r="N91" i="5"/>
  <c r="M91" i="5"/>
  <c r="C91" i="5"/>
  <c r="B91" i="5"/>
  <c r="N90" i="5"/>
  <c r="M90" i="5"/>
  <c r="H90" i="5"/>
  <c r="G90" i="5"/>
  <c r="F90" i="5"/>
  <c r="I90" i="5"/>
  <c r="C90" i="5"/>
  <c r="B90" i="5"/>
  <c r="N89" i="5"/>
  <c r="M89" i="5"/>
  <c r="C89" i="5"/>
  <c r="B89" i="5"/>
  <c r="N88" i="5"/>
  <c r="M88" i="5"/>
  <c r="C88" i="5"/>
  <c r="B88" i="5"/>
  <c r="N87" i="5"/>
  <c r="M87" i="5"/>
  <c r="C87" i="5"/>
  <c r="B87" i="5"/>
  <c r="N86" i="5"/>
  <c r="M86" i="5"/>
  <c r="C86" i="5"/>
  <c r="B86" i="5"/>
  <c r="N85" i="5"/>
  <c r="M85" i="5"/>
  <c r="C85" i="5"/>
  <c r="B85" i="5"/>
  <c r="N84" i="5"/>
  <c r="M84" i="5"/>
  <c r="C84" i="5"/>
  <c r="B84" i="5"/>
  <c r="N83" i="5"/>
  <c r="M83" i="5"/>
  <c r="C83" i="5"/>
  <c r="B83" i="5"/>
  <c r="N82" i="5"/>
  <c r="M82" i="5"/>
  <c r="F82" i="5"/>
  <c r="C82" i="5"/>
  <c r="B82" i="5"/>
  <c r="N81" i="5"/>
  <c r="M81" i="5"/>
  <c r="C81" i="5"/>
  <c r="B81" i="5"/>
  <c r="N80" i="5"/>
  <c r="M80" i="5"/>
  <c r="C80" i="5"/>
  <c r="B80" i="5"/>
  <c r="N79" i="5"/>
  <c r="M79" i="5"/>
  <c r="C79" i="5"/>
  <c r="B79" i="5"/>
  <c r="N78" i="5"/>
  <c r="M78" i="5"/>
  <c r="C78" i="5"/>
  <c r="B78" i="5"/>
  <c r="N77" i="5"/>
  <c r="M77" i="5"/>
  <c r="C77" i="5"/>
  <c r="B77" i="5"/>
  <c r="N76" i="5"/>
  <c r="M76" i="5"/>
  <c r="C76" i="5"/>
  <c r="B76" i="5"/>
  <c r="N75" i="5"/>
  <c r="M75" i="5"/>
  <c r="C75" i="5"/>
  <c r="B75" i="5"/>
  <c r="N74" i="5"/>
  <c r="M74" i="5"/>
  <c r="H74" i="5"/>
  <c r="G74" i="5"/>
  <c r="F74" i="5"/>
  <c r="C74" i="5"/>
  <c r="B74" i="5"/>
  <c r="N73" i="5"/>
  <c r="M73" i="5"/>
  <c r="C73" i="5"/>
  <c r="B73" i="5"/>
  <c r="N72" i="5"/>
  <c r="M72" i="5"/>
  <c r="C72" i="5"/>
  <c r="B72" i="5"/>
  <c r="N71" i="5"/>
  <c r="M71" i="5"/>
  <c r="C71" i="5"/>
  <c r="B71" i="5"/>
  <c r="N70" i="5"/>
  <c r="M70" i="5"/>
  <c r="C70" i="5"/>
  <c r="B70" i="5"/>
  <c r="C69" i="5"/>
  <c r="B69" i="5"/>
  <c r="N66" i="5"/>
  <c r="M66" i="5"/>
  <c r="C66" i="5"/>
  <c r="B66" i="5"/>
  <c r="N65" i="5"/>
  <c r="M65" i="5"/>
  <c r="C65" i="5"/>
  <c r="B65" i="5"/>
  <c r="N64" i="5"/>
  <c r="M64" i="5"/>
  <c r="C64" i="5"/>
  <c r="B64" i="5"/>
  <c r="N63" i="5"/>
  <c r="M63" i="5"/>
  <c r="H63" i="5"/>
  <c r="F63" i="5"/>
  <c r="I63" i="5"/>
  <c r="C63" i="5"/>
  <c r="B63" i="5"/>
  <c r="N62" i="5"/>
  <c r="M62" i="5"/>
  <c r="C62" i="5"/>
  <c r="B62" i="5"/>
  <c r="N61" i="5"/>
  <c r="M61" i="5"/>
  <c r="C61" i="5"/>
  <c r="B61" i="5"/>
  <c r="N60" i="5"/>
  <c r="M60" i="5"/>
  <c r="C60" i="5"/>
  <c r="B60" i="5"/>
  <c r="N59" i="5"/>
  <c r="M59" i="5"/>
  <c r="C59" i="5"/>
  <c r="B59" i="5"/>
  <c r="N58" i="5"/>
  <c r="M58" i="5"/>
  <c r="C58" i="5"/>
  <c r="B58" i="5"/>
  <c r="N57" i="5"/>
  <c r="M57" i="5"/>
  <c r="C57" i="5"/>
  <c r="B57" i="5"/>
  <c r="N56" i="5"/>
  <c r="M56" i="5"/>
  <c r="C56" i="5"/>
  <c r="B56" i="5"/>
  <c r="N55" i="5"/>
  <c r="M55" i="5"/>
  <c r="F55" i="5"/>
  <c r="C55" i="5"/>
  <c r="B55" i="5"/>
  <c r="N54" i="5"/>
  <c r="M54" i="5"/>
  <c r="C54" i="5"/>
  <c r="B54" i="5"/>
  <c r="N53" i="5"/>
  <c r="M53" i="5"/>
  <c r="C53" i="5"/>
  <c r="B53" i="5"/>
  <c r="N52" i="5"/>
  <c r="M52" i="5"/>
  <c r="C52" i="5"/>
  <c r="B52" i="5"/>
  <c r="N51" i="5"/>
  <c r="M51" i="5"/>
  <c r="C51" i="5"/>
  <c r="B51" i="5"/>
  <c r="N50" i="5"/>
  <c r="M50" i="5"/>
  <c r="C50" i="5"/>
  <c r="B50" i="5"/>
  <c r="C49" i="5"/>
  <c r="B49" i="5"/>
  <c r="N46" i="5"/>
  <c r="M46" i="5"/>
  <c r="C46" i="5"/>
  <c r="B46" i="5"/>
  <c r="N45" i="5"/>
  <c r="M45" i="5"/>
  <c r="C45" i="5"/>
  <c r="B45" i="5"/>
  <c r="N44" i="5"/>
  <c r="M44" i="5"/>
  <c r="G44" i="5"/>
  <c r="F44" i="5"/>
  <c r="I44" i="5"/>
  <c r="C44" i="5"/>
  <c r="B44" i="5"/>
  <c r="N43" i="5"/>
  <c r="M43" i="5"/>
  <c r="C43" i="5"/>
  <c r="B43" i="5"/>
  <c r="C42" i="5"/>
  <c r="B42" i="5"/>
  <c r="N39" i="5"/>
  <c r="M39" i="5"/>
  <c r="C39" i="5"/>
  <c r="B39" i="5"/>
  <c r="N38" i="5"/>
  <c r="M38" i="5"/>
  <c r="C38" i="5"/>
  <c r="B38" i="5"/>
  <c r="N37" i="5"/>
  <c r="M37" i="5"/>
  <c r="C37" i="5"/>
  <c r="B37" i="5"/>
  <c r="N36" i="5"/>
  <c r="M36" i="5"/>
  <c r="C36" i="5"/>
  <c r="B36" i="5"/>
  <c r="C35" i="5"/>
  <c r="B35" i="5"/>
  <c r="N32" i="5"/>
  <c r="M32" i="5"/>
  <c r="C32" i="5"/>
  <c r="B32" i="5"/>
  <c r="N31" i="5"/>
  <c r="M31" i="5"/>
  <c r="C31" i="5"/>
  <c r="B31" i="5"/>
  <c r="N30" i="5"/>
  <c r="M30" i="5"/>
  <c r="G30" i="5"/>
  <c r="F30" i="5"/>
  <c r="C30" i="5"/>
  <c r="B30" i="5"/>
  <c r="N29" i="5"/>
  <c r="M29" i="5"/>
  <c r="C29" i="5"/>
  <c r="B29" i="5"/>
  <c r="N28" i="5"/>
  <c r="M28" i="5"/>
  <c r="C28" i="5"/>
  <c r="B28" i="5"/>
  <c r="C27" i="5"/>
  <c r="B27" i="5"/>
  <c r="N24" i="5"/>
  <c r="M24" i="5"/>
  <c r="C24" i="5"/>
  <c r="B24" i="5"/>
  <c r="N23" i="5"/>
  <c r="M23" i="5"/>
  <c r="C23" i="5"/>
  <c r="B23" i="5"/>
  <c r="N22" i="5"/>
  <c r="M22" i="5"/>
  <c r="C22" i="5"/>
  <c r="B22" i="5"/>
  <c r="N21" i="5"/>
  <c r="M21" i="5"/>
  <c r="C21" i="5"/>
  <c r="B21" i="5"/>
  <c r="N20" i="5"/>
  <c r="M20" i="5"/>
  <c r="C20" i="5"/>
  <c r="B20" i="5"/>
  <c r="N19" i="5"/>
  <c r="M19" i="5"/>
  <c r="C19" i="5"/>
  <c r="B19" i="5"/>
  <c r="N18" i="5"/>
  <c r="M18" i="5"/>
  <c r="C18" i="5"/>
  <c r="B18" i="5"/>
  <c r="C17" i="5"/>
  <c r="B17" i="5"/>
  <c r="N14" i="5"/>
  <c r="M14" i="5"/>
  <c r="C14" i="5"/>
  <c r="B14" i="5"/>
  <c r="N13" i="5"/>
  <c r="M13" i="5"/>
  <c r="C13" i="5"/>
  <c r="B13" i="5"/>
  <c r="N12" i="5"/>
  <c r="M12" i="5"/>
  <c r="C12" i="5"/>
  <c r="B12" i="5"/>
  <c r="N11" i="5"/>
  <c r="M11" i="5"/>
  <c r="C11" i="5"/>
  <c r="B11" i="5"/>
  <c r="N10" i="5"/>
  <c r="M10" i="5"/>
  <c r="C10" i="5"/>
  <c r="B10" i="5"/>
  <c r="N9" i="5"/>
  <c r="M9" i="5"/>
  <c r="C9" i="5"/>
  <c r="B9" i="5"/>
  <c r="C8" i="5"/>
  <c r="B8" i="5"/>
  <c r="E144" i="4"/>
  <c r="E143" i="4"/>
  <c r="F143" i="4" s="1"/>
  <c r="E142" i="4"/>
  <c r="G142" i="4" s="1"/>
  <c r="E141" i="4"/>
  <c r="I141" i="4" s="1"/>
  <c r="E140" i="4"/>
  <c r="F140" i="4" s="1"/>
  <c r="E139" i="4"/>
  <c r="E138" i="4"/>
  <c r="E137" i="4"/>
  <c r="E133" i="4"/>
  <c r="G133" i="4" s="1"/>
  <c r="E132" i="4"/>
  <c r="I132" i="4" s="1"/>
  <c r="E131" i="4"/>
  <c r="I131" i="4" s="1"/>
  <c r="E130" i="4"/>
  <c r="G130" i="4" s="1"/>
  <c r="E126" i="4"/>
  <c r="E125" i="4"/>
  <c r="I125" i="4" s="1"/>
  <c r="E124" i="4"/>
  <c r="I124" i="4" s="1"/>
  <c r="E123" i="4"/>
  <c r="E122" i="4"/>
  <c r="E121" i="4"/>
  <c r="F121" i="4" s="1"/>
  <c r="E120" i="4"/>
  <c r="G120" i="4" s="1"/>
  <c r="E116" i="4"/>
  <c r="G116" i="4" s="1"/>
  <c r="E115" i="4"/>
  <c r="E114" i="4"/>
  <c r="F114" i="4" s="1"/>
  <c r="E113" i="4"/>
  <c r="G113" i="4" s="1"/>
  <c r="E109" i="4"/>
  <c r="I109" i="4" s="1"/>
  <c r="E108" i="4"/>
  <c r="E107" i="4"/>
  <c r="F107" i="4" s="1"/>
  <c r="E106" i="4"/>
  <c r="G106" i="4" s="1"/>
  <c r="E102" i="4"/>
  <c r="I102" i="4" s="1"/>
  <c r="E101" i="4"/>
  <c r="I101" i="4" s="1"/>
  <c r="E100" i="4"/>
  <c r="F100" i="4" s="1"/>
  <c r="E99" i="4"/>
  <c r="H99" i="4" s="1"/>
  <c r="E98" i="4"/>
  <c r="H98" i="4" s="1"/>
  <c r="E97" i="4"/>
  <c r="H97" i="4" s="1"/>
  <c r="E96" i="4"/>
  <c r="E95" i="4"/>
  <c r="E91" i="4"/>
  <c r="H91" i="4" s="1"/>
  <c r="E90" i="4"/>
  <c r="I90" i="4" s="1"/>
  <c r="E89" i="4"/>
  <c r="I89" i="4" s="1"/>
  <c r="E88" i="4"/>
  <c r="E87" i="4"/>
  <c r="I87" i="4" s="1"/>
  <c r="E86" i="4"/>
  <c r="I86" i="4" s="1"/>
  <c r="E85" i="4"/>
  <c r="I85" i="4" s="1"/>
  <c r="E84" i="4"/>
  <c r="G84" i="4" s="1"/>
  <c r="E83" i="4"/>
  <c r="G83" i="4" s="1"/>
  <c r="E82" i="4"/>
  <c r="E81" i="4"/>
  <c r="I81" i="4" s="1"/>
  <c r="E80" i="4"/>
  <c r="I80" i="4" s="1"/>
  <c r="E79" i="4"/>
  <c r="I79" i="4" s="1"/>
  <c r="E78" i="4"/>
  <c r="I78" i="4" s="1"/>
  <c r="E77" i="4"/>
  <c r="I77" i="4" s="1"/>
  <c r="E76" i="4"/>
  <c r="E75" i="4"/>
  <c r="H75" i="4" s="1"/>
  <c r="E74" i="4"/>
  <c r="E73" i="4"/>
  <c r="E72" i="4"/>
  <c r="E71" i="4"/>
  <c r="I71" i="4" s="1"/>
  <c r="E70" i="4"/>
  <c r="E66" i="4"/>
  <c r="I66" i="4" s="1"/>
  <c r="E65" i="4"/>
  <c r="I65" i="4" s="1"/>
  <c r="E64" i="4"/>
  <c r="I64" i="4" s="1"/>
  <c r="E63" i="4"/>
  <c r="E62" i="4"/>
  <c r="F62" i="4" s="1"/>
  <c r="E61" i="4"/>
  <c r="I61" i="4" s="1"/>
  <c r="E60" i="4"/>
  <c r="G60" i="4" s="1"/>
  <c r="E59" i="4"/>
  <c r="G59" i="4" s="1"/>
  <c r="E58" i="4"/>
  <c r="I58" i="4" s="1"/>
  <c r="E57" i="4"/>
  <c r="I57" i="4" s="1"/>
  <c r="E56" i="4"/>
  <c r="H56" i="4" s="1"/>
  <c r="E55" i="4"/>
  <c r="E54" i="4"/>
  <c r="F54" i="4" s="1"/>
  <c r="E53" i="4"/>
  <c r="G53" i="4" s="1"/>
  <c r="E52" i="4"/>
  <c r="G52" i="4" s="1"/>
  <c r="E51" i="4"/>
  <c r="G51" i="4" s="1"/>
  <c r="E50" i="4"/>
  <c r="E46" i="4"/>
  <c r="H46" i="4" s="1"/>
  <c r="E45" i="4"/>
  <c r="H45" i="4" s="1"/>
  <c r="E44" i="4"/>
  <c r="E43" i="4"/>
  <c r="E39" i="4"/>
  <c r="I39" i="4" s="1"/>
  <c r="E38" i="4"/>
  <c r="G38" i="4" s="1"/>
  <c r="E37" i="4"/>
  <c r="I37" i="4" s="1"/>
  <c r="E36" i="4"/>
  <c r="E32" i="4"/>
  <c r="I32" i="4" s="1"/>
  <c r="E31" i="4"/>
  <c r="H31" i="4" s="1"/>
  <c r="E30" i="4"/>
  <c r="G30" i="4" s="1"/>
  <c r="E29" i="4"/>
  <c r="I29" i="4" s="1"/>
  <c r="E28" i="4"/>
  <c r="E24" i="4"/>
  <c r="H24" i="4" s="1"/>
  <c r="E23" i="4"/>
  <c r="E22" i="4"/>
  <c r="I22" i="4" s="1"/>
  <c r="E21" i="4"/>
  <c r="E20" i="4"/>
  <c r="G20" i="4" s="1"/>
  <c r="E19" i="4"/>
  <c r="G19" i="4" s="1"/>
  <c r="E18" i="4"/>
  <c r="F18" i="4" s="1"/>
  <c r="E14" i="4"/>
  <c r="I14" i="4" s="1"/>
  <c r="E13" i="4"/>
  <c r="H13" i="4" s="1"/>
  <c r="E12" i="4"/>
  <c r="G12" i="4" s="1"/>
  <c r="E11" i="4"/>
  <c r="F11" i="4" s="1"/>
  <c r="E10" i="4"/>
  <c r="G10" i="4" s="1"/>
  <c r="E9" i="4"/>
  <c r="G9" i="4" s="1"/>
  <c r="F145" i="4"/>
  <c r="N144" i="4"/>
  <c r="M144" i="4"/>
  <c r="C144" i="4"/>
  <c r="B144" i="4"/>
  <c r="N143" i="4"/>
  <c r="M143" i="4"/>
  <c r="C143" i="4"/>
  <c r="B143" i="4"/>
  <c r="N142" i="4"/>
  <c r="M142" i="4"/>
  <c r="C142" i="4"/>
  <c r="B142" i="4"/>
  <c r="N141" i="4"/>
  <c r="M141" i="4"/>
  <c r="G141" i="4"/>
  <c r="C141" i="4"/>
  <c r="B141" i="4"/>
  <c r="N140" i="4"/>
  <c r="M140" i="4"/>
  <c r="C140" i="4"/>
  <c r="B140" i="4"/>
  <c r="N139" i="4"/>
  <c r="M139" i="4"/>
  <c r="C139" i="4"/>
  <c r="B139" i="4"/>
  <c r="N138" i="4"/>
  <c r="M138" i="4"/>
  <c r="C138" i="4"/>
  <c r="B138" i="4"/>
  <c r="N137" i="4"/>
  <c r="M137" i="4"/>
  <c r="C137" i="4"/>
  <c r="B137" i="4"/>
  <c r="C136" i="4"/>
  <c r="B136" i="4"/>
  <c r="N133" i="4"/>
  <c r="M133" i="4"/>
  <c r="C133" i="4"/>
  <c r="B133" i="4"/>
  <c r="N132" i="4"/>
  <c r="M132" i="4"/>
  <c r="C132" i="4"/>
  <c r="B132" i="4"/>
  <c r="N131" i="4"/>
  <c r="M131" i="4"/>
  <c r="C131" i="4"/>
  <c r="B131" i="4"/>
  <c r="N130" i="4"/>
  <c r="M130" i="4"/>
  <c r="C130" i="4"/>
  <c r="B130" i="4"/>
  <c r="C129" i="4"/>
  <c r="B129" i="4"/>
  <c r="N126" i="4"/>
  <c r="M126" i="4"/>
  <c r="C126" i="4"/>
  <c r="B126" i="4"/>
  <c r="N125" i="4"/>
  <c r="M125" i="4"/>
  <c r="C125" i="4"/>
  <c r="B125" i="4"/>
  <c r="N124" i="4"/>
  <c r="M124" i="4"/>
  <c r="C124" i="4"/>
  <c r="B124" i="4"/>
  <c r="N123" i="4"/>
  <c r="M123" i="4"/>
  <c r="C123" i="4"/>
  <c r="B123" i="4"/>
  <c r="N122" i="4"/>
  <c r="M122" i="4"/>
  <c r="C122" i="4"/>
  <c r="B122" i="4"/>
  <c r="N121" i="4"/>
  <c r="M121" i="4"/>
  <c r="C121" i="4"/>
  <c r="B121" i="4"/>
  <c r="N120" i="4"/>
  <c r="M120" i="4"/>
  <c r="C120" i="4"/>
  <c r="B120" i="4"/>
  <c r="C119" i="4"/>
  <c r="B119" i="4"/>
  <c r="N116" i="4"/>
  <c r="M116" i="4"/>
  <c r="C116" i="4"/>
  <c r="B116" i="4"/>
  <c r="N115" i="4"/>
  <c r="M115" i="4"/>
  <c r="C115" i="4"/>
  <c r="B115" i="4"/>
  <c r="N114" i="4"/>
  <c r="M114" i="4"/>
  <c r="C114" i="4"/>
  <c r="B114" i="4"/>
  <c r="N113" i="4"/>
  <c r="M113" i="4"/>
  <c r="C113" i="4"/>
  <c r="B113" i="4"/>
  <c r="C112" i="4"/>
  <c r="B112" i="4"/>
  <c r="N109" i="4"/>
  <c r="M109" i="4"/>
  <c r="C109" i="4"/>
  <c r="B109" i="4"/>
  <c r="N108" i="4"/>
  <c r="M108" i="4"/>
  <c r="C108" i="4"/>
  <c r="B108" i="4"/>
  <c r="N107" i="4"/>
  <c r="M107" i="4"/>
  <c r="C107" i="4"/>
  <c r="B107" i="4"/>
  <c r="N106" i="4"/>
  <c r="M106" i="4"/>
  <c r="C106" i="4"/>
  <c r="B106" i="4"/>
  <c r="C105" i="4"/>
  <c r="B105" i="4"/>
  <c r="N102" i="4"/>
  <c r="M102" i="4"/>
  <c r="C102" i="4"/>
  <c r="B102" i="4"/>
  <c r="N101" i="4"/>
  <c r="M101" i="4"/>
  <c r="C101" i="4"/>
  <c r="B101" i="4"/>
  <c r="N100" i="4"/>
  <c r="M100" i="4"/>
  <c r="C100" i="4"/>
  <c r="B100" i="4"/>
  <c r="N99" i="4"/>
  <c r="M99" i="4"/>
  <c r="C99" i="4"/>
  <c r="B99" i="4"/>
  <c r="N98" i="4"/>
  <c r="M98" i="4"/>
  <c r="C98" i="4"/>
  <c r="B98" i="4"/>
  <c r="N97" i="4"/>
  <c r="M97" i="4"/>
  <c r="C97" i="4"/>
  <c r="B97" i="4"/>
  <c r="N96" i="4"/>
  <c r="M96" i="4"/>
  <c r="C96" i="4"/>
  <c r="B96" i="4"/>
  <c r="N95" i="4"/>
  <c r="M95" i="4"/>
  <c r="C95" i="4"/>
  <c r="B95" i="4"/>
  <c r="C94" i="4"/>
  <c r="F92" i="4"/>
  <c r="N91" i="4"/>
  <c r="M91" i="4"/>
  <c r="C91" i="4"/>
  <c r="B91" i="4"/>
  <c r="N90" i="4"/>
  <c r="M90" i="4"/>
  <c r="C90" i="4"/>
  <c r="B90" i="4"/>
  <c r="N89" i="4"/>
  <c r="M89" i="4"/>
  <c r="C89" i="4"/>
  <c r="B89" i="4"/>
  <c r="N88" i="4"/>
  <c r="M88" i="4"/>
  <c r="C88" i="4"/>
  <c r="B88" i="4"/>
  <c r="N87" i="4"/>
  <c r="M87" i="4"/>
  <c r="C87" i="4"/>
  <c r="B87" i="4"/>
  <c r="N86" i="4"/>
  <c r="M86" i="4"/>
  <c r="C86" i="4"/>
  <c r="B86" i="4"/>
  <c r="N85" i="4"/>
  <c r="M85" i="4"/>
  <c r="C85" i="4"/>
  <c r="B85" i="4"/>
  <c r="N84" i="4"/>
  <c r="M84" i="4"/>
  <c r="C84" i="4"/>
  <c r="B84" i="4"/>
  <c r="N83" i="4"/>
  <c r="M83" i="4"/>
  <c r="C83" i="4"/>
  <c r="B83" i="4"/>
  <c r="N82" i="4"/>
  <c r="M82" i="4"/>
  <c r="C82" i="4"/>
  <c r="B82" i="4"/>
  <c r="N81" i="4"/>
  <c r="M81" i="4"/>
  <c r="C81" i="4"/>
  <c r="B81" i="4"/>
  <c r="N80" i="4"/>
  <c r="M80" i="4"/>
  <c r="C80" i="4"/>
  <c r="B80" i="4"/>
  <c r="N79" i="4"/>
  <c r="M79" i="4"/>
  <c r="C79" i="4"/>
  <c r="B79" i="4"/>
  <c r="N78" i="4"/>
  <c r="M78" i="4"/>
  <c r="C78" i="4"/>
  <c r="B78" i="4"/>
  <c r="N77" i="4"/>
  <c r="M77" i="4"/>
  <c r="C77" i="4"/>
  <c r="B77" i="4"/>
  <c r="N76" i="4"/>
  <c r="M76" i="4"/>
  <c r="C76" i="4"/>
  <c r="B76" i="4"/>
  <c r="N75" i="4"/>
  <c r="M75" i="4"/>
  <c r="C75" i="4"/>
  <c r="B75" i="4"/>
  <c r="N74" i="4"/>
  <c r="M74" i="4"/>
  <c r="C74" i="4"/>
  <c r="B74" i="4"/>
  <c r="N73" i="4"/>
  <c r="M73" i="4"/>
  <c r="C73" i="4"/>
  <c r="B73" i="4"/>
  <c r="N72" i="4"/>
  <c r="M72" i="4"/>
  <c r="C72" i="4"/>
  <c r="B72" i="4"/>
  <c r="N71" i="4"/>
  <c r="M71" i="4"/>
  <c r="C71" i="4"/>
  <c r="B71" i="4"/>
  <c r="N70" i="4"/>
  <c r="M70" i="4"/>
  <c r="C70" i="4"/>
  <c r="B70" i="4"/>
  <c r="C69" i="4"/>
  <c r="B69" i="4"/>
  <c r="N66" i="4"/>
  <c r="M66" i="4"/>
  <c r="C66" i="4"/>
  <c r="B66" i="4"/>
  <c r="N65" i="4"/>
  <c r="M65" i="4"/>
  <c r="C65" i="4"/>
  <c r="B65" i="4"/>
  <c r="N64" i="4"/>
  <c r="M64" i="4"/>
  <c r="C64" i="4"/>
  <c r="B64" i="4"/>
  <c r="N63" i="4"/>
  <c r="M63" i="4"/>
  <c r="C63" i="4"/>
  <c r="B63" i="4"/>
  <c r="N62" i="4"/>
  <c r="M62" i="4"/>
  <c r="C62" i="4"/>
  <c r="B62" i="4"/>
  <c r="N61" i="4"/>
  <c r="M61" i="4"/>
  <c r="C61" i="4"/>
  <c r="B61" i="4"/>
  <c r="N60" i="4"/>
  <c r="M60" i="4"/>
  <c r="C60" i="4"/>
  <c r="B60" i="4"/>
  <c r="N59" i="4"/>
  <c r="M59" i="4"/>
  <c r="C59" i="4"/>
  <c r="B59" i="4"/>
  <c r="N58" i="4"/>
  <c r="M58" i="4"/>
  <c r="C58" i="4"/>
  <c r="B58" i="4"/>
  <c r="N57" i="4"/>
  <c r="M57" i="4"/>
  <c r="C57" i="4"/>
  <c r="B57" i="4"/>
  <c r="N56" i="4"/>
  <c r="M56" i="4"/>
  <c r="C56" i="4"/>
  <c r="B56" i="4"/>
  <c r="N55" i="4"/>
  <c r="M55" i="4"/>
  <c r="C55" i="4"/>
  <c r="B55" i="4"/>
  <c r="N54" i="4"/>
  <c r="M54" i="4"/>
  <c r="C54" i="4"/>
  <c r="B54" i="4"/>
  <c r="N53" i="4"/>
  <c r="M53" i="4"/>
  <c r="C53" i="4"/>
  <c r="B53" i="4"/>
  <c r="N52" i="4"/>
  <c r="M52" i="4"/>
  <c r="C52" i="4"/>
  <c r="B52" i="4"/>
  <c r="N51" i="4"/>
  <c r="M51" i="4"/>
  <c r="C51" i="4"/>
  <c r="B51" i="4"/>
  <c r="N50" i="4"/>
  <c r="M50" i="4"/>
  <c r="C50" i="4"/>
  <c r="B50" i="4"/>
  <c r="C49" i="4"/>
  <c r="B49" i="4"/>
  <c r="N46" i="4"/>
  <c r="M46" i="4"/>
  <c r="C46" i="4"/>
  <c r="B46" i="4"/>
  <c r="N45" i="4"/>
  <c r="M45" i="4"/>
  <c r="C45" i="4"/>
  <c r="B45" i="4"/>
  <c r="N44" i="4"/>
  <c r="M44" i="4"/>
  <c r="C44" i="4"/>
  <c r="B44" i="4"/>
  <c r="N43" i="4"/>
  <c r="M43" i="4"/>
  <c r="C43" i="4"/>
  <c r="B43" i="4"/>
  <c r="C42" i="4"/>
  <c r="B42" i="4"/>
  <c r="N39" i="4"/>
  <c r="M39" i="4"/>
  <c r="C39" i="4"/>
  <c r="B39" i="4"/>
  <c r="N38" i="4"/>
  <c r="M38" i="4"/>
  <c r="C38" i="4"/>
  <c r="B38" i="4"/>
  <c r="N37" i="4"/>
  <c r="M37" i="4"/>
  <c r="C37" i="4"/>
  <c r="B37" i="4"/>
  <c r="N36" i="4"/>
  <c r="M36" i="4"/>
  <c r="C36" i="4"/>
  <c r="B36" i="4"/>
  <c r="C35" i="4"/>
  <c r="B35" i="4"/>
  <c r="N32" i="4"/>
  <c r="M32" i="4"/>
  <c r="C32" i="4"/>
  <c r="B32" i="4"/>
  <c r="N31" i="4"/>
  <c r="M31" i="4"/>
  <c r="C31" i="4"/>
  <c r="B31" i="4"/>
  <c r="N30" i="4"/>
  <c r="M30" i="4"/>
  <c r="C30" i="4"/>
  <c r="B30" i="4"/>
  <c r="N29" i="4"/>
  <c r="M29" i="4"/>
  <c r="C29" i="4"/>
  <c r="B29" i="4"/>
  <c r="N28" i="4"/>
  <c r="M28" i="4"/>
  <c r="C28" i="4"/>
  <c r="B28" i="4"/>
  <c r="C27" i="4"/>
  <c r="B27" i="4"/>
  <c r="N24" i="4"/>
  <c r="M24" i="4"/>
  <c r="C24" i="4"/>
  <c r="B24" i="4"/>
  <c r="N23" i="4"/>
  <c r="M23" i="4"/>
  <c r="C23" i="4"/>
  <c r="B23" i="4"/>
  <c r="N22" i="4"/>
  <c r="M22" i="4"/>
  <c r="C22" i="4"/>
  <c r="B22" i="4"/>
  <c r="N21" i="4"/>
  <c r="M21" i="4"/>
  <c r="C21" i="4"/>
  <c r="B21" i="4"/>
  <c r="N20" i="4"/>
  <c r="M20" i="4"/>
  <c r="C20" i="4"/>
  <c r="B20" i="4"/>
  <c r="N19" i="4"/>
  <c r="M19" i="4"/>
  <c r="C19" i="4"/>
  <c r="B19" i="4"/>
  <c r="N18" i="4"/>
  <c r="M18" i="4"/>
  <c r="C18" i="4"/>
  <c r="B18" i="4"/>
  <c r="C17" i="4"/>
  <c r="B17" i="4"/>
  <c r="N14" i="4"/>
  <c r="M14" i="4"/>
  <c r="C14" i="4"/>
  <c r="B14" i="4"/>
  <c r="N13" i="4"/>
  <c r="M13" i="4"/>
  <c r="C13" i="4"/>
  <c r="B13" i="4"/>
  <c r="N12" i="4"/>
  <c r="M12" i="4"/>
  <c r="C12" i="4"/>
  <c r="B12" i="4"/>
  <c r="N11" i="4"/>
  <c r="M11" i="4"/>
  <c r="C11" i="4"/>
  <c r="B11" i="4"/>
  <c r="N10" i="4"/>
  <c r="M10" i="4"/>
  <c r="C10" i="4"/>
  <c r="B10" i="4"/>
  <c r="N9" i="4"/>
  <c r="M9" i="4"/>
  <c r="C9" i="4"/>
  <c r="B9" i="4"/>
  <c r="C8" i="4"/>
  <c r="B8" i="4"/>
  <c r="B142" i="3"/>
  <c r="B143" i="3"/>
  <c r="B144" i="3"/>
  <c r="B131" i="3"/>
  <c r="B132" i="3"/>
  <c r="B133" i="3"/>
  <c r="B124" i="3"/>
  <c r="B125" i="3"/>
  <c r="B126" i="3"/>
  <c r="B114" i="3"/>
  <c r="B115" i="3"/>
  <c r="B116" i="3"/>
  <c r="B107" i="3"/>
  <c r="B108" i="3"/>
  <c r="B109" i="3"/>
  <c r="O142" i="3"/>
  <c r="O143" i="3"/>
  <c r="O144" i="3"/>
  <c r="N142" i="3"/>
  <c r="N143" i="3"/>
  <c r="N144" i="3"/>
  <c r="M142" i="3"/>
  <c r="M143" i="3"/>
  <c r="M144" i="3"/>
  <c r="O131" i="3"/>
  <c r="O132" i="3"/>
  <c r="O133" i="3"/>
  <c r="N131" i="3"/>
  <c r="N132" i="3"/>
  <c r="N133" i="3"/>
  <c r="M131" i="3"/>
  <c r="M132" i="3"/>
  <c r="M133" i="3"/>
  <c r="O124" i="3"/>
  <c r="O125" i="3"/>
  <c r="O126" i="3"/>
  <c r="N124" i="3"/>
  <c r="N125" i="3"/>
  <c r="N126" i="3"/>
  <c r="M124" i="3"/>
  <c r="M125" i="3"/>
  <c r="M126" i="3"/>
  <c r="O114" i="3"/>
  <c r="O115" i="3"/>
  <c r="O116" i="3"/>
  <c r="N114" i="3"/>
  <c r="N115" i="3"/>
  <c r="N116" i="3"/>
  <c r="M114" i="3"/>
  <c r="M115" i="3"/>
  <c r="M116" i="3"/>
  <c r="E124" i="3"/>
  <c r="I124" i="3" s="1"/>
  <c r="E125" i="3"/>
  <c r="H125" i="3" s="1"/>
  <c r="E126" i="3"/>
  <c r="F126" i="3" s="1"/>
  <c r="E142" i="3"/>
  <c r="G142" i="3" s="1"/>
  <c r="E143" i="3"/>
  <c r="I143" i="3" s="1"/>
  <c r="E144" i="3"/>
  <c r="H144" i="3" s="1"/>
  <c r="C142" i="3"/>
  <c r="C143" i="3"/>
  <c r="C144" i="3"/>
  <c r="E131" i="3"/>
  <c r="E132" i="3"/>
  <c r="F132" i="3" s="1"/>
  <c r="E133" i="3"/>
  <c r="F133" i="3" s="1"/>
  <c r="C131" i="3"/>
  <c r="C132" i="3"/>
  <c r="C133" i="3"/>
  <c r="C124" i="3"/>
  <c r="C125" i="3"/>
  <c r="C126" i="3"/>
  <c r="E114" i="3"/>
  <c r="E115" i="3"/>
  <c r="G115" i="3" s="1"/>
  <c r="E116" i="3"/>
  <c r="I116" i="3" s="1"/>
  <c r="C114" i="3"/>
  <c r="C115" i="3"/>
  <c r="C116" i="3"/>
  <c r="E107" i="3"/>
  <c r="G107" i="3" s="1"/>
  <c r="E108" i="3"/>
  <c r="F108" i="3" s="1"/>
  <c r="E109" i="3"/>
  <c r="I109" i="3" s="1"/>
  <c r="C107" i="3"/>
  <c r="C108" i="3"/>
  <c r="C109" i="3"/>
  <c r="O107" i="3"/>
  <c r="O108" i="3"/>
  <c r="O109" i="3"/>
  <c r="N107" i="3"/>
  <c r="N108" i="3"/>
  <c r="N109" i="3"/>
  <c r="M107" i="3"/>
  <c r="M108" i="3"/>
  <c r="M109" i="3"/>
  <c r="O100" i="3"/>
  <c r="O101" i="3"/>
  <c r="O102" i="3"/>
  <c r="N100" i="3"/>
  <c r="N101" i="3"/>
  <c r="N102" i="3"/>
  <c r="M100" i="3"/>
  <c r="M101" i="3"/>
  <c r="M102" i="3"/>
  <c r="O37" i="3"/>
  <c r="O38" i="3"/>
  <c r="O39" i="3"/>
  <c r="N37" i="3"/>
  <c r="N38" i="3"/>
  <c r="N39" i="3"/>
  <c r="M37" i="3"/>
  <c r="M38" i="3"/>
  <c r="M39" i="3"/>
  <c r="F57" i="12" l="1"/>
  <c r="G114" i="3"/>
  <c r="H114" i="3"/>
  <c r="I53" i="5"/>
  <c r="G32" i="8"/>
  <c r="G14" i="9"/>
  <c r="G142" i="12"/>
  <c r="H131" i="8"/>
  <c r="G32" i="12"/>
  <c r="H46" i="12"/>
  <c r="I65" i="12"/>
  <c r="G84" i="10"/>
  <c r="H32" i="12"/>
  <c r="H65" i="12"/>
  <c r="F131" i="12"/>
  <c r="G53" i="9"/>
  <c r="I57" i="12"/>
  <c r="F144" i="5"/>
  <c r="F74" i="8"/>
  <c r="F51" i="7"/>
  <c r="I86" i="7"/>
  <c r="I78" i="5"/>
  <c r="G126" i="8"/>
  <c r="I108" i="7"/>
  <c r="F126" i="8"/>
  <c r="H59" i="11"/>
  <c r="I89" i="5"/>
  <c r="I29" i="7"/>
  <c r="H89" i="7"/>
  <c r="I81" i="11"/>
  <c r="F89" i="7"/>
  <c r="H58" i="8"/>
  <c r="H66" i="10"/>
  <c r="G54" i="11"/>
  <c r="I29" i="5"/>
  <c r="H66" i="6"/>
  <c r="H96" i="6"/>
  <c r="F66" i="6"/>
  <c r="F96" i="6"/>
  <c r="G81" i="7"/>
  <c r="H22" i="8"/>
  <c r="H96" i="8"/>
  <c r="G62" i="11"/>
  <c r="H89" i="11"/>
  <c r="H125" i="11"/>
  <c r="H66" i="12"/>
  <c r="H96" i="12"/>
  <c r="H58" i="6"/>
  <c r="H132" i="6"/>
  <c r="F81" i="7"/>
  <c r="H125" i="7"/>
  <c r="I62" i="9"/>
  <c r="H22" i="12"/>
  <c r="H81" i="5"/>
  <c r="I81" i="7"/>
  <c r="F125" i="7"/>
  <c r="I66" i="8"/>
  <c r="G100" i="11"/>
  <c r="G85" i="12"/>
  <c r="G107" i="12"/>
  <c r="G143" i="12"/>
  <c r="H140" i="8"/>
  <c r="F82" i="12"/>
  <c r="G90" i="8"/>
  <c r="H59" i="9"/>
  <c r="F101" i="10"/>
  <c r="F59" i="11"/>
  <c r="H133" i="11"/>
  <c r="I133" i="5"/>
  <c r="F90" i="6"/>
  <c r="H101" i="6"/>
  <c r="F30" i="10"/>
  <c r="F23" i="5"/>
  <c r="H90" i="6"/>
  <c r="F101" i="6"/>
  <c r="F108" i="9"/>
  <c r="G133" i="9"/>
  <c r="F44" i="10"/>
  <c r="G51" i="5"/>
  <c r="H86" i="5"/>
  <c r="I108" i="5"/>
  <c r="F23" i="7"/>
  <c r="G59" i="7"/>
  <c r="G44" i="8"/>
  <c r="I101" i="8"/>
  <c r="F97" i="5"/>
  <c r="H59" i="7"/>
  <c r="H44" i="8"/>
  <c r="F140" i="8"/>
  <c r="I12" i="11"/>
  <c r="H12" i="5"/>
  <c r="G37" i="5"/>
  <c r="I51" i="5"/>
  <c r="H59" i="5"/>
  <c r="I86" i="5"/>
  <c r="F30" i="6"/>
  <c r="I44" i="6"/>
  <c r="G115" i="6"/>
  <c r="H126" i="6"/>
  <c r="G37" i="7"/>
  <c r="I133" i="7"/>
  <c r="I37" i="9"/>
  <c r="I51" i="9"/>
  <c r="F23" i="11"/>
  <c r="I51" i="11"/>
  <c r="G97" i="11"/>
  <c r="H74" i="12"/>
  <c r="I59" i="5"/>
  <c r="G30" i="6"/>
  <c r="H115" i="6"/>
  <c r="I126" i="6"/>
  <c r="I37" i="7"/>
  <c r="F59" i="7"/>
  <c r="F44" i="8"/>
  <c r="F115" i="10"/>
  <c r="F78" i="5"/>
  <c r="F133" i="5"/>
  <c r="H82" i="6"/>
  <c r="G101" i="6"/>
  <c r="G51" i="7"/>
  <c r="I78" i="7"/>
  <c r="F97" i="7"/>
  <c r="F30" i="8"/>
  <c r="F55" i="8"/>
  <c r="F90" i="8"/>
  <c r="I115" i="8"/>
  <c r="H126" i="8"/>
  <c r="F59" i="9"/>
  <c r="I63" i="10"/>
  <c r="G30" i="12"/>
  <c r="F126" i="12"/>
  <c r="F74" i="6"/>
  <c r="I140" i="6"/>
  <c r="H51" i="7"/>
  <c r="F133" i="7"/>
  <c r="G30" i="8"/>
  <c r="I63" i="8"/>
  <c r="H90" i="8"/>
  <c r="F140" i="10"/>
  <c r="I12" i="5"/>
  <c r="I37" i="5"/>
  <c r="F59" i="5"/>
  <c r="F55" i="6"/>
  <c r="I63" i="6"/>
  <c r="I115" i="6"/>
  <c r="F126" i="6"/>
  <c r="F140" i="6"/>
  <c r="H37" i="7"/>
  <c r="G133" i="7"/>
  <c r="H37" i="9"/>
  <c r="H51" i="9"/>
  <c r="G44" i="12"/>
  <c r="F140" i="12"/>
  <c r="G82" i="8"/>
  <c r="I75" i="4"/>
  <c r="I96" i="7"/>
  <c r="F96" i="11"/>
  <c r="H89" i="6"/>
  <c r="F14" i="12"/>
  <c r="I58" i="7"/>
  <c r="G14" i="12"/>
  <c r="I58" i="5"/>
  <c r="H58" i="7"/>
  <c r="H66" i="9"/>
  <c r="F73" i="6"/>
  <c r="G54" i="8"/>
  <c r="I89" i="8"/>
  <c r="I22" i="5"/>
  <c r="H131" i="6"/>
  <c r="I80" i="7"/>
  <c r="G57" i="8"/>
  <c r="G100" i="8"/>
  <c r="H66" i="5"/>
  <c r="H96" i="5"/>
  <c r="F81" i="6"/>
  <c r="F89" i="6"/>
  <c r="H66" i="7"/>
  <c r="H132" i="7"/>
  <c r="I114" i="8"/>
  <c r="H125" i="8"/>
  <c r="G114" i="12"/>
  <c r="H81" i="6"/>
  <c r="H125" i="6"/>
  <c r="F66" i="7"/>
  <c r="F132" i="7"/>
  <c r="I125" i="10"/>
  <c r="G132" i="7"/>
  <c r="I62" i="8"/>
  <c r="H29" i="6"/>
  <c r="F125" i="6"/>
  <c r="I100" i="12"/>
  <c r="H143" i="5"/>
  <c r="F29" i="6"/>
  <c r="I22" i="7"/>
  <c r="H96" i="7"/>
  <c r="H29" i="8"/>
  <c r="G46" i="8"/>
  <c r="G84" i="8"/>
  <c r="F58" i="11"/>
  <c r="I143" i="11"/>
  <c r="I54" i="12"/>
  <c r="G39" i="5"/>
  <c r="G65" i="6"/>
  <c r="H142" i="6"/>
  <c r="G131" i="8"/>
  <c r="F39" i="5"/>
  <c r="F65" i="6"/>
  <c r="I21" i="6"/>
  <c r="H53" i="5"/>
  <c r="F61" i="5"/>
  <c r="G57" i="6"/>
  <c r="I131" i="6"/>
  <c r="G14" i="7"/>
  <c r="H61" i="5"/>
  <c r="I57" i="6"/>
  <c r="I14" i="7"/>
  <c r="I65" i="9"/>
  <c r="G61" i="8"/>
  <c r="G46" i="9"/>
  <c r="F39" i="10"/>
  <c r="I80" i="10"/>
  <c r="H116" i="4"/>
  <c r="F65" i="7"/>
  <c r="I14" i="10"/>
  <c r="I39" i="10"/>
  <c r="G46" i="5"/>
  <c r="H65" i="5"/>
  <c r="G76" i="5"/>
  <c r="I65" i="7"/>
  <c r="G95" i="9"/>
  <c r="G45" i="4"/>
  <c r="I46" i="5"/>
  <c r="H76" i="9"/>
  <c r="H65" i="11"/>
  <c r="F102" i="4"/>
  <c r="H32" i="5"/>
  <c r="G80" i="8"/>
  <c r="I65" i="11"/>
  <c r="H57" i="5"/>
  <c r="I124" i="6"/>
  <c r="H54" i="4"/>
  <c r="F85" i="4"/>
  <c r="I62" i="4"/>
  <c r="F77" i="4"/>
  <c r="G82" i="5"/>
  <c r="I82" i="5" s="1"/>
  <c r="F82" i="9"/>
  <c r="F56" i="4"/>
  <c r="F124" i="10"/>
  <c r="F130" i="4"/>
  <c r="I91" i="4"/>
  <c r="G91" i="4"/>
  <c r="H81" i="8"/>
  <c r="I65" i="8"/>
  <c r="H65" i="10"/>
  <c r="F65" i="8"/>
  <c r="I65" i="10"/>
  <c r="I21" i="8"/>
  <c r="I21" i="10"/>
  <c r="I21" i="12"/>
  <c r="F21" i="8"/>
  <c r="H21" i="12"/>
  <c r="H141" i="4"/>
  <c r="G124" i="8"/>
  <c r="G124" i="10"/>
  <c r="I124" i="12"/>
  <c r="I124" i="5"/>
  <c r="H124" i="8"/>
  <c r="F124" i="12"/>
  <c r="I116" i="4"/>
  <c r="F116" i="12"/>
  <c r="I102" i="8"/>
  <c r="F102" i="6"/>
  <c r="F91" i="10"/>
  <c r="I45" i="4"/>
  <c r="I45" i="6"/>
  <c r="I31" i="4"/>
  <c r="F13" i="9"/>
  <c r="I38" i="9"/>
  <c r="H109" i="9"/>
  <c r="G56" i="10"/>
  <c r="I54" i="4"/>
  <c r="I143" i="4"/>
  <c r="H39" i="5"/>
  <c r="F46" i="5"/>
  <c r="G53" i="5"/>
  <c r="I61" i="5"/>
  <c r="F109" i="5"/>
  <c r="F20" i="6"/>
  <c r="F57" i="6"/>
  <c r="H65" i="6"/>
  <c r="F116" i="6"/>
  <c r="F13" i="7"/>
  <c r="G65" i="7"/>
  <c r="H72" i="7"/>
  <c r="G21" i="8"/>
  <c r="H32" i="8"/>
  <c r="H56" i="8"/>
  <c r="I57" i="8"/>
  <c r="G65" i="8"/>
  <c r="I124" i="8"/>
  <c r="I131" i="8"/>
  <c r="G142" i="8"/>
  <c r="F24" i="9"/>
  <c r="H60" i="9"/>
  <c r="G65" i="9"/>
  <c r="H32" i="10"/>
  <c r="I45" i="10"/>
  <c r="I46" i="10"/>
  <c r="I57" i="10"/>
  <c r="G61" i="10"/>
  <c r="F65" i="10"/>
  <c r="H124" i="10"/>
  <c r="H131" i="10"/>
  <c r="F65" i="11"/>
  <c r="I32" i="12"/>
  <c r="G39" i="12"/>
  <c r="G57" i="12"/>
  <c r="G61" i="12"/>
  <c r="F65" i="12"/>
  <c r="G84" i="12"/>
  <c r="H116" i="8"/>
  <c r="I38" i="5"/>
  <c r="G99" i="5"/>
  <c r="H14" i="6"/>
  <c r="I64" i="6"/>
  <c r="H141" i="6"/>
  <c r="G99" i="7"/>
  <c r="I64" i="8"/>
  <c r="H98" i="9"/>
  <c r="G31" i="10"/>
  <c r="F84" i="10"/>
  <c r="G56" i="12"/>
  <c r="I80" i="12"/>
  <c r="H62" i="4"/>
  <c r="P143" i="3"/>
  <c r="P144" i="3"/>
  <c r="I99" i="4"/>
  <c r="F102" i="10"/>
  <c r="I46" i="4"/>
  <c r="F116" i="10"/>
  <c r="G64" i="12"/>
  <c r="G141" i="10"/>
  <c r="G20" i="12"/>
  <c r="H102" i="12"/>
  <c r="I100" i="4"/>
  <c r="F21" i="12"/>
  <c r="H20" i="4"/>
  <c r="F52" i="9"/>
  <c r="F87" i="9"/>
  <c r="G87" i="11"/>
  <c r="I80" i="5"/>
  <c r="H84" i="9"/>
  <c r="I75" i="10"/>
  <c r="G71" i="11"/>
  <c r="I79" i="11"/>
  <c r="G76" i="12"/>
  <c r="G72" i="7"/>
  <c r="G79" i="9"/>
  <c r="G83" i="10"/>
  <c r="I80" i="11"/>
  <c r="G84" i="11"/>
  <c r="F99" i="5"/>
  <c r="H95" i="12"/>
  <c r="P126" i="3"/>
  <c r="I142" i="4"/>
  <c r="G24" i="5"/>
  <c r="G45" i="6"/>
  <c r="G102" i="6"/>
  <c r="H109" i="7"/>
  <c r="I56" i="8"/>
  <c r="H102" i="8"/>
  <c r="I116" i="8"/>
  <c r="G13" i="9"/>
  <c r="G24" i="9"/>
  <c r="F38" i="9"/>
  <c r="G52" i="9"/>
  <c r="I60" i="9"/>
  <c r="H79" i="9"/>
  <c r="G87" i="9"/>
  <c r="I109" i="9"/>
  <c r="F20" i="10"/>
  <c r="I31" i="10"/>
  <c r="F64" i="10"/>
  <c r="F75" i="10"/>
  <c r="G91" i="10"/>
  <c r="G102" i="10"/>
  <c r="G116" i="10"/>
  <c r="G13" i="11"/>
  <c r="I71" i="11"/>
  <c r="F79" i="11"/>
  <c r="H87" i="11"/>
  <c r="F109" i="11"/>
  <c r="I20" i="12"/>
  <c r="I56" i="12"/>
  <c r="H64" i="12"/>
  <c r="F102" i="12"/>
  <c r="G116" i="12"/>
  <c r="H116" i="3"/>
  <c r="H32" i="4"/>
  <c r="H39" i="4"/>
  <c r="G61" i="4"/>
  <c r="H84" i="4"/>
  <c r="G98" i="5"/>
  <c r="H31" i="6"/>
  <c r="F56" i="6"/>
  <c r="F64" i="6"/>
  <c r="I75" i="6"/>
  <c r="I91" i="6"/>
  <c r="I102" i="6"/>
  <c r="I141" i="6"/>
  <c r="H24" i="7"/>
  <c r="H38" i="7"/>
  <c r="F87" i="7"/>
  <c r="G123" i="7"/>
  <c r="F20" i="8"/>
  <c r="F56" i="8"/>
  <c r="F64" i="8"/>
  <c r="F102" i="8"/>
  <c r="F116" i="8"/>
  <c r="G38" i="9"/>
  <c r="F60" i="9"/>
  <c r="G71" i="9"/>
  <c r="I79" i="9"/>
  <c r="H87" i="9"/>
  <c r="I98" i="9"/>
  <c r="F109" i="9"/>
  <c r="G20" i="10"/>
  <c r="G75" i="10"/>
  <c r="H91" i="10"/>
  <c r="I102" i="10"/>
  <c r="I116" i="10"/>
  <c r="G79" i="11"/>
  <c r="I87" i="11"/>
  <c r="G109" i="11"/>
  <c r="I64" i="12"/>
  <c r="G102" i="12"/>
  <c r="P37" i="3"/>
  <c r="P101" i="3"/>
  <c r="H61" i="4"/>
  <c r="I84" i="4"/>
  <c r="G79" i="7"/>
  <c r="G123" i="9"/>
  <c r="I74" i="5"/>
  <c r="I71" i="9"/>
  <c r="H71" i="9"/>
  <c r="G76" i="10"/>
  <c r="F71" i="5"/>
  <c r="F72" i="6"/>
  <c r="I72" i="7"/>
  <c r="F123" i="5"/>
  <c r="H123" i="9"/>
  <c r="G123" i="11"/>
  <c r="I123" i="11" s="1"/>
  <c r="I83" i="11"/>
  <c r="I123" i="9"/>
  <c r="F137" i="9"/>
  <c r="H123" i="11"/>
  <c r="I73" i="7"/>
  <c r="I73" i="12"/>
  <c r="F63" i="4"/>
  <c r="I63" i="4"/>
  <c r="H63" i="4"/>
  <c r="G82" i="4"/>
  <c r="I82" i="4" s="1"/>
  <c r="F82" i="4"/>
  <c r="G126" i="4"/>
  <c r="F126" i="4"/>
  <c r="F55" i="4"/>
  <c r="G55" i="4"/>
  <c r="G70" i="4"/>
  <c r="F70" i="4"/>
  <c r="F115" i="4"/>
  <c r="I115" i="4"/>
  <c r="H115" i="4"/>
  <c r="I140" i="4"/>
  <c r="H140" i="4"/>
  <c r="G140" i="4"/>
  <c r="G115" i="4"/>
  <c r="I126" i="4"/>
  <c r="G44" i="4"/>
  <c r="I44" i="4"/>
  <c r="F44" i="4"/>
  <c r="H90" i="4"/>
  <c r="G90" i="4"/>
  <c r="F90" i="4"/>
  <c r="F108" i="4"/>
  <c r="G108" i="4"/>
  <c r="F37" i="4"/>
  <c r="F30" i="4"/>
  <c r="F74" i="4"/>
  <c r="F144" i="4"/>
  <c r="I144" i="4"/>
  <c r="F19" i="4"/>
  <c r="G63" i="4"/>
  <c r="P38" i="3"/>
  <c r="P107" i="3"/>
  <c r="P125" i="3"/>
  <c r="G74" i="4"/>
  <c r="I74" i="4" s="1"/>
  <c r="P102" i="3"/>
  <c r="F20" i="4"/>
  <c r="G56" i="4"/>
  <c r="I58" i="10"/>
  <c r="H58" i="10"/>
  <c r="G22" i="11"/>
  <c r="F22" i="11"/>
  <c r="F29" i="11"/>
  <c r="I29" i="11"/>
  <c r="H58" i="11"/>
  <c r="I58" i="11"/>
  <c r="H66" i="11"/>
  <c r="I66" i="11"/>
  <c r="H81" i="11"/>
  <c r="F81" i="11"/>
  <c r="G85" i="11"/>
  <c r="I85" i="11"/>
  <c r="I125" i="11"/>
  <c r="G125" i="11"/>
  <c r="F132" i="11"/>
  <c r="H132" i="11"/>
  <c r="F139" i="11"/>
  <c r="I58" i="12"/>
  <c r="H58" i="12"/>
  <c r="G62" i="12"/>
  <c r="I62" i="12"/>
  <c r="G77" i="12"/>
  <c r="I77" i="12"/>
  <c r="I81" i="12"/>
  <c r="H81" i="12"/>
  <c r="I125" i="12"/>
  <c r="H125" i="12"/>
  <c r="I132" i="12"/>
  <c r="H132" i="12"/>
  <c r="P142" i="3"/>
  <c r="P133" i="3"/>
  <c r="G31" i="4"/>
  <c r="G75" i="4"/>
  <c r="F116" i="4"/>
  <c r="P100" i="3"/>
  <c r="P108" i="3"/>
  <c r="P116" i="3"/>
  <c r="H64" i="4"/>
  <c r="H100" i="10"/>
  <c r="G29" i="11"/>
  <c r="F66" i="11"/>
  <c r="I96" i="11"/>
  <c r="G132" i="11"/>
  <c r="G11" i="12"/>
  <c r="I29" i="12"/>
  <c r="H73" i="12"/>
  <c r="I89" i="12"/>
  <c r="I101" i="9"/>
  <c r="F101" i="9"/>
  <c r="I126" i="9"/>
  <c r="H126" i="9"/>
  <c r="F126" i="9"/>
  <c r="F133" i="9"/>
  <c r="I133" i="9"/>
  <c r="F144" i="9"/>
  <c r="I144" i="9"/>
  <c r="G23" i="10"/>
  <c r="F23" i="10"/>
  <c r="H37" i="10"/>
  <c r="G37" i="10"/>
  <c r="H44" i="10"/>
  <c r="G44" i="10"/>
  <c r="G51" i="10"/>
  <c r="I51" i="10" s="1"/>
  <c r="F51" i="10"/>
  <c r="F86" i="10"/>
  <c r="I86" i="10"/>
  <c r="H90" i="10"/>
  <c r="I90" i="10"/>
  <c r="F97" i="10"/>
  <c r="H97" i="10"/>
  <c r="F108" i="10"/>
  <c r="I108" i="10"/>
  <c r="I126" i="10"/>
  <c r="F126" i="10"/>
  <c r="I133" i="10"/>
  <c r="F133" i="10"/>
  <c r="F144" i="10"/>
  <c r="I144" i="10"/>
  <c r="G30" i="11"/>
  <c r="G37" i="11"/>
  <c r="F37" i="11"/>
  <c r="F44" i="11"/>
  <c r="I44" i="11"/>
  <c r="G51" i="11"/>
  <c r="F51" i="11"/>
  <c r="G78" i="11"/>
  <c r="I78" i="11"/>
  <c r="H82" i="11"/>
  <c r="G82" i="11"/>
  <c r="I90" i="11"/>
  <c r="F90" i="11"/>
  <c r="H101" i="11"/>
  <c r="G101" i="11"/>
  <c r="H108" i="11"/>
  <c r="G108" i="11"/>
  <c r="G115" i="11"/>
  <c r="I115" i="11"/>
  <c r="G122" i="11"/>
  <c r="I126" i="11"/>
  <c r="H126" i="11"/>
  <c r="G133" i="11"/>
  <c r="F133" i="11"/>
  <c r="H140" i="11"/>
  <c r="G140" i="11"/>
  <c r="G23" i="12"/>
  <c r="F30" i="12"/>
  <c r="I37" i="12"/>
  <c r="H37" i="12"/>
  <c r="I44" i="12"/>
  <c r="H44" i="12"/>
  <c r="F51" i="12"/>
  <c r="G51" i="12"/>
  <c r="I51" i="12" s="1"/>
  <c r="I59" i="12"/>
  <c r="H59" i="12"/>
  <c r="F74" i="12"/>
  <c r="I74" i="12"/>
  <c r="I82" i="12"/>
  <c r="H82" i="12"/>
  <c r="I90" i="12"/>
  <c r="G90" i="12"/>
  <c r="F97" i="12"/>
  <c r="G97" i="12"/>
  <c r="I126" i="12"/>
  <c r="H126" i="12"/>
  <c r="I133" i="12"/>
  <c r="H133" i="12"/>
  <c r="I140" i="12"/>
  <c r="H140" i="12"/>
  <c r="H142" i="4"/>
  <c r="I131" i="5"/>
  <c r="I131" i="9"/>
  <c r="I131" i="11"/>
  <c r="G131" i="9"/>
  <c r="I108" i="11"/>
  <c r="H101" i="4"/>
  <c r="F101" i="4"/>
  <c r="G101" i="4"/>
  <c r="H99" i="10"/>
  <c r="H90" i="11"/>
  <c r="H90" i="12"/>
  <c r="I88" i="6"/>
  <c r="F88" i="8"/>
  <c r="H88" i="8"/>
  <c r="I88" i="8" s="1"/>
  <c r="F88" i="10"/>
  <c r="F88" i="12"/>
  <c r="G88" i="10"/>
  <c r="I88" i="10" s="1"/>
  <c r="G88" i="12"/>
  <c r="H88" i="10"/>
  <c r="F88" i="6"/>
  <c r="G88" i="6"/>
  <c r="F80" i="8"/>
  <c r="H80" i="10"/>
  <c r="H80" i="8"/>
  <c r="F80" i="12"/>
  <c r="G80" i="6"/>
  <c r="G80" i="12"/>
  <c r="F80" i="6"/>
  <c r="H80" i="6"/>
  <c r="F80" i="10"/>
  <c r="H77" i="4"/>
  <c r="G76" i="4"/>
  <c r="I76" i="4" s="1"/>
  <c r="H76" i="4"/>
  <c r="H57" i="9"/>
  <c r="I57" i="11"/>
  <c r="H57" i="7"/>
  <c r="H57" i="11"/>
  <c r="G57" i="7"/>
  <c r="I57" i="9"/>
  <c r="F57" i="11"/>
  <c r="F144" i="3"/>
  <c r="H143" i="3"/>
  <c r="G142" i="5"/>
  <c r="G142" i="7"/>
  <c r="G142" i="9"/>
  <c r="H133" i="3"/>
  <c r="I133" i="3"/>
  <c r="H132" i="4"/>
  <c r="I126" i="3"/>
  <c r="G125" i="3"/>
  <c r="H125" i="5"/>
  <c r="F125" i="3"/>
  <c r="H125" i="4"/>
  <c r="G116" i="3"/>
  <c r="I114" i="4"/>
  <c r="G102" i="4"/>
  <c r="H102" i="4"/>
  <c r="G99" i="8"/>
  <c r="G99" i="12"/>
  <c r="G99" i="4"/>
  <c r="I84" i="5"/>
  <c r="G84" i="5"/>
  <c r="F84" i="5"/>
  <c r="F78" i="4"/>
  <c r="H73" i="7"/>
  <c r="H73" i="11"/>
  <c r="F73" i="11"/>
  <c r="F72" i="8"/>
  <c r="H72" i="12"/>
  <c r="I72" i="12" s="1"/>
  <c r="F72" i="10"/>
  <c r="G72" i="10"/>
  <c r="G72" i="6"/>
  <c r="I72" i="6" s="1"/>
  <c r="H72" i="10"/>
  <c r="I72" i="10" s="1"/>
  <c r="F72" i="12"/>
  <c r="F64" i="4"/>
  <c r="G64" i="4"/>
  <c r="H56" i="7"/>
  <c r="H39" i="10"/>
  <c r="G39" i="8"/>
  <c r="F32" i="5"/>
  <c r="I32" i="5"/>
  <c r="F32" i="9"/>
  <c r="G32" i="9"/>
  <c r="H32" i="9"/>
  <c r="F23" i="4"/>
  <c r="H22" i="6"/>
  <c r="F22" i="6"/>
  <c r="I21" i="7"/>
  <c r="I21" i="11"/>
  <c r="H21" i="7"/>
  <c r="I14" i="8"/>
  <c r="H14" i="12"/>
  <c r="F14" i="8"/>
  <c r="G14" i="8"/>
  <c r="G23" i="4"/>
  <c r="G37" i="4"/>
  <c r="G78" i="4"/>
  <c r="F86" i="4"/>
  <c r="I97" i="4"/>
  <c r="I108" i="4"/>
  <c r="G56" i="5"/>
  <c r="H91" i="5"/>
  <c r="G75" i="9"/>
  <c r="I132" i="3"/>
  <c r="G144" i="3"/>
  <c r="P115" i="3"/>
  <c r="I12" i="4"/>
  <c r="H37" i="4"/>
  <c r="F51" i="4"/>
  <c r="H78" i="4"/>
  <c r="G86" i="4"/>
  <c r="F97" i="4"/>
  <c r="P39" i="3"/>
  <c r="F109" i="3"/>
  <c r="G143" i="3"/>
  <c r="G124" i="3"/>
  <c r="P114" i="3"/>
  <c r="F12" i="4"/>
  <c r="I59" i="4"/>
  <c r="H86" i="4"/>
  <c r="G97" i="4"/>
  <c r="G45" i="7"/>
  <c r="H64" i="9"/>
  <c r="H115" i="3"/>
  <c r="H124" i="3"/>
  <c r="F59" i="4"/>
  <c r="G31" i="9"/>
  <c r="P124" i="3"/>
  <c r="F122" i="4"/>
  <c r="I133" i="4"/>
  <c r="H13" i="8"/>
  <c r="H83" i="9"/>
  <c r="P109" i="3"/>
  <c r="F131" i="3"/>
  <c r="P132" i="3"/>
  <c r="H108" i="4"/>
  <c r="G122" i="4"/>
  <c r="F133" i="4"/>
  <c r="I24" i="6"/>
  <c r="G56" i="11"/>
  <c r="H142" i="3"/>
  <c r="G131" i="3"/>
  <c r="P131" i="3"/>
  <c r="H131" i="3" s="1"/>
  <c r="I131" i="3" s="1"/>
  <c r="G64" i="7"/>
  <c r="H109" i="3"/>
  <c r="F116" i="3"/>
  <c r="G133" i="3"/>
  <c r="F143" i="3"/>
  <c r="I144" i="3"/>
  <c r="F124" i="3"/>
  <c r="I125" i="3"/>
  <c r="F64" i="5"/>
  <c r="G91" i="5"/>
  <c r="F13" i="6"/>
  <c r="H45" i="7"/>
  <c r="F71" i="8"/>
  <c r="H75" i="9"/>
  <c r="I56" i="11"/>
  <c r="F107" i="3"/>
  <c r="F115" i="3"/>
  <c r="G132" i="3"/>
  <c r="F142" i="3"/>
  <c r="G126" i="3"/>
  <c r="H45" i="5"/>
  <c r="H75" i="5"/>
  <c r="F116" i="5"/>
  <c r="I141" i="5"/>
  <c r="G79" i="6"/>
  <c r="I31" i="7"/>
  <c r="G71" i="10"/>
  <c r="F64" i="11"/>
  <c r="F116" i="11"/>
  <c r="F114" i="3"/>
  <c r="I115" i="3"/>
  <c r="I142" i="3"/>
  <c r="H31" i="5"/>
  <c r="G45" i="5"/>
  <c r="G75" i="5"/>
  <c r="F102" i="5"/>
  <c r="F31" i="7"/>
  <c r="F75" i="7"/>
  <c r="I91" i="7"/>
  <c r="F102" i="7"/>
  <c r="F116" i="7"/>
  <c r="G123" i="8"/>
  <c r="I45" i="9"/>
  <c r="I91" i="9"/>
  <c r="H102" i="9"/>
  <c r="G64" i="11"/>
  <c r="G116" i="11"/>
  <c r="H38" i="4"/>
  <c r="G31" i="5"/>
  <c r="G31" i="7"/>
  <c r="G75" i="7"/>
  <c r="I83" i="7"/>
  <c r="G102" i="7"/>
  <c r="G116" i="7"/>
  <c r="F87" i="8"/>
  <c r="F45" i="9"/>
  <c r="F91" i="9"/>
  <c r="F102" i="9"/>
  <c r="F116" i="9"/>
  <c r="H102" i="11"/>
  <c r="H116" i="11"/>
  <c r="I114" i="3"/>
  <c r="H132" i="3"/>
  <c r="H126" i="3"/>
  <c r="H83" i="5"/>
  <c r="H75" i="7"/>
  <c r="H102" i="7"/>
  <c r="G45" i="9"/>
  <c r="F56" i="9"/>
  <c r="I83" i="9"/>
  <c r="G91" i="9"/>
  <c r="G102" i="9"/>
  <c r="G116" i="9"/>
  <c r="F102" i="11"/>
  <c r="F71" i="12"/>
  <c r="G83" i="5"/>
  <c r="I83" i="5" s="1"/>
  <c r="G20" i="7"/>
  <c r="I45" i="7"/>
  <c r="F56" i="7"/>
  <c r="I31" i="9"/>
  <c r="G56" i="9"/>
  <c r="F64" i="9"/>
  <c r="I75" i="9"/>
  <c r="F83" i="9"/>
  <c r="H116" i="9"/>
  <c r="F130" i="9"/>
  <c r="I141" i="9"/>
  <c r="G102" i="11"/>
  <c r="F87" i="12"/>
  <c r="I60" i="6"/>
  <c r="F109" i="10"/>
  <c r="H20" i="7"/>
  <c r="I20" i="9"/>
  <c r="F20" i="9"/>
  <c r="G20" i="11"/>
  <c r="G71" i="12"/>
  <c r="G87" i="12"/>
  <c r="F109" i="12"/>
  <c r="F13" i="12"/>
  <c r="H71" i="12"/>
  <c r="H87" i="12"/>
  <c r="G109" i="12"/>
  <c r="G13" i="12"/>
  <c r="H109" i="12"/>
  <c r="F79" i="12"/>
  <c r="F123" i="12"/>
  <c r="G79" i="12"/>
  <c r="G123" i="12"/>
  <c r="H79" i="12"/>
  <c r="F14" i="11"/>
  <c r="F80" i="11"/>
  <c r="H72" i="11"/>
  <c r="H124" i="11"/>
  <c r="F72" i="11"/>
  <c r="F124" i="11"/>
  <c r="I79" i="10"/>
  <c r="G109" i="10"/>
  <c r="F79" i="10"/>
  <c r="I98" i="10"/>
  <c r="I109" i="10"/>
  <c r="H38" i="10"/>
  <c r="G79" i="10"/>
  <c r="F98" i="10"/>
  <c r="F123" i="10"/>
  <c r="F13" i="10"/>
  <c r="G38" i="10"/>
  <c r="G98" i="10"/>
  <c r="G13" i="10"/>
  <c r="G60" i="10"/>
  <c r="I24" i="10"/>
  <c r="F87" i="10"/>
  <c r="I14" i="9"/>
  <c r="F30" i="9"/>
  <c r="H44" i="9"/>
  <c r="H82" i="9"/>
  <c r="I82" i="9" s="1"/>
  <c r="F88" i="9"/>
  <c r="I90" i="9"/>
  <c r="H99" i="9"/>
  <c r="F140" i="9"/>
  <c r="G72" i="9"/>
  <c r="I72" i="9" s="1"/>
  <c r="H88" i="9"/>
  <c r="I88" i="9" s="1"/>
  <c r="G126" i="9"/>
  <c r="G39" i="9"/>
  <c r="I80" i="9"/>
  <c r="H74" i="9"/>
  <c r="G80" i="9"/>
  <c r="G90" i="9"/>
  <c r="I124" i="9"/>
  <c r="G61" i="9"/>
  <c r="F74" i="9"/>
  <c r="F90" i="9"/>
  <c r="I115" i="9"/>
  <c r="G124" i="9"/>
  <c r="I13" i="8"/>
  <c r="G71" i="8"/>
  <c r="G87" i="8"/>
  <c r="F109" i="8"/>
  <c r="H87" i="8"/>
  <c r="G109" i="8"/>
  <c r="H109" i="8"/>
  <c r="F79" i="8"/>
  <c r="G79" i="8"/>
  <c r="F13" i="8"/>
  <c r="G13" i="7"/>
  <c r="H79" i="7"/>
  <c r="I109" i="7"/>
  <c r="H123" i="7"/>
  <c r="F60" i="7"/>
  <c r="F71" i="7"/>
  <c r="I24" i="7"/>
  <c r="I38" i="7"/>
  <c r="I98" i="7"/>
  <c r="F24" i="7"/>
  <c r="F38" i="7"/>
  <c r="F52" i="7"/>
  <c r="I79" i="7"/>
  <c r="F109" i="7"/>
  <c r="H79" i="6"/>
  <c r="F71" i="6"/>
  <c r="I79" i="6"/>
  <c r="I38" i="6"/>
  <c r="G71" i="6"/>
  <c r="I98" i="6"/>
  <c r="F123" i="6"/>
  <c r="H87" i="6"/>
  <c r="F87" i="6"/>
  <c r="G87" i="6"/>
  <c r="F109" i="6"/>
  <c r="I24" i="5"/>
  <c r="G52" i="5"/>
  <c r="G123" i="5"/>
  <c r="F87" i="5"/>
  <c r="H60" i="5"/>
  <c r="F79" i="5"/>
  <c r="H24" i="5"/>
  <c r="H38" i="5"/>
  <c r="G60" i="5"/>
  <c r="F137" i="10"/>
  <c r="G137" i="10"/>
  <c r="F137" i="8"/>
  <c r="G137" i="6"/>
  <c r="G137" i="7"/>
  <c r="G137" i="8"/>
  <c r="G137" i="11"/>
  <c r="G137" i="5"/>
  <c r="G137" i="9"/>
  <c r="G137" i="12"/>
  <c r="F138" i="8"/>
  <c r="G138" i="8"/>
  <c r="F138" i="10"/>
  <c r="F138" i="11"/>
  <c r="G138" i="10"/>
  <c r="F138" i="12"/>
  <c r="F138" i="9"/>
  <c r="G138" i="12"/>
  <c r="G130" i="5"/>
  <c r="G130" i="7"/>
  <c r="F130" i="8"/>
  <c r="G130" i="8"/>
  <c r="G130" i="12"/>
  <c r="G130" i="10"/>
  <c r="G130" i="11"/>
  <c r="G130" i="6"/>
  <c r="G130" i="9"/>
  <c r="F120" i="5"/>
  <c r="G120" i="8"/>
  <c r="H120" i="9"/>
  <c r="H120" i="7"/>
  <c r="H113" i="10"/>
  <c r="H113" i="12"/>
  <c r="F113" i="5"/>
  <c r="H113" i="8"/>
  <c r="I113" i="8" s="1"/>
  <c r="F106" i="5"/>
  <c r="I95" i="9"/>
  <c r="G95" i="12"/>
  <c r="F95" i="6"/>
  <c r="F95" i="10"/>
  <c r="G95" i="6"/>
  <c r="G95" i="10"/>
  <c r="H95" i="5"/>
  <c r="H95" i="10"/>
  <c r="I95" i="10" s="1"/>
  <c r="F95" i="7"/>
  <c r="F95" i="8"/>
  <c r="G95" i="7"/>
  <c r="I95" i="7" s="1"/>
  <c r="G95" i="8"/>
  <c r="I95" i="8" s="1"/>
  <c r="F95" i="9"/>
  <c r="I95" i="12"/>
  <c r="F70" i="5"/>
  <c r="G70" i="7"/>
  <c r="I70" i="7" s="1"/>
  <c r="F70" i="6"/>
  <c r="G70" i="6"/>
  <c r="F70" i="8"/>
  <c r="G70" i="11"/>
  <c r="I70" i="11" s="1"/>
  <c r="F70" i="10"/>
  <c r="F50" i="11"/>
  <c r="F50" i="7"/>
  <c r="G50" i="11"/>
  <c r="I50" i="11" s="1"/>
  <c r="G50" i="5"/>
  <c r="F50" i="6"/>
  <c r="F43" i="6"/>
  <c r="G43" i="5"/>
  <c r="F43" i="11"/>
  <c r="F43" i="7"/>
  <c r="G43" i="11"/>
  <c r="F36" i="6"/>
  <c r="F36" i="11"/>
  <c r="F36" i="7"/>
  <c r="G36" i="5"/>
  <c r="I36" i="5" s="1"/>
  <c r="G28" i="9"/>
  <c r="G28" i="12"/>
  <c r="G28" i="7"/>
  <c r="F28" i="8"/>
  <c r="F28" i="11"/>
  <c r="G18" i="12"/>
  <c r="G18" i="8"/>
  <c r="G18" i="11"/>
  <c r="G19" i="6"/>
  <c r="F19" i="10"/>
  <c r="F19" i="8"/>
  <c r="H19" i="10"/>
  <c r="F19" i="5"/>
  <c r="H19" i="11"/>
  <c r="I19" i="11" s="1"/>
  <c r="H19" i="5"/>
  <c r="G9" i="9"/>
  <c r="G9" i="10"/>
  <c r="G9" i="5"/>
  <c r="F9" i="7"/>
  <c r="G9" i="7"/>
  <c r="F10" i="10"/>
  <c r="G10" i="9"/>
  <c r="G10" i="10"/>
  <c r="F10" i="5"/>
  <c r="G10" i="5"/>
  <c r="G10" i="12"/>
  <c r="G10" i="8"/>
  <c r="F11" i="12"/>
  <c r="H13" i="12"/>
  <c r="F18" i="12"/>
  <c r="H20" i="12"/>
  <c r="I39" i="12"/>
  <c r="I46" i="12"/>
  <c r="F54" i="12"/>
  <c r="H56" i="12"/>
  <c r="I61" i="12"/>
  <c r="F62" i="12"/>
  <c r="I76" i="12"/>
  <c r="F77" i="12"/>
  <c r="I84" i="12"/>
  <c r="F85" i="12"/>
  <c r="I99" i="12"/>
  <c r="F100" i="12"/>
  <c r="F107" i="12"/>
  <c r="I113" i="12"/>
  <c r="H118" i="12" s="1"/>
  <c r="X145" i="1" s="1"/>
  <c r="F114" i="12"/>
  <c r="H116" i="12"/>
  <c r="F121" i="12"/>
  <c r="I142" i="12"/>
  <c r="F143" i="12"/>
  <c r="F9" i="12"/>
  <c r="F24" i="12"/>
  <c r="F31" i="12"/>
  <c r="F38" i="12"/>
  <c r="F45" i="12"/>
  <c r="F52" i="12"/>
  <c r="H54" i="12"/>
  <c r="F60" i="12"/>
  <c r="H62" i="12"/>
  <c r="F75" i="12"/>
  <c r="H77" i="12"/>
  <c r="F83" i="12"/>
  <c r="H85" i="12"/>
  <c r="F91" i="12"/>
  <c r="F98" i="12"/>
  <c r="H100" i="12"/>
  <c r="H114" i="12"/>
  <c r="F141" i="12"/>
  <c r="H143" i="12"/>
  <c r="G9" i="12"/>
  <c r="F12" i="12"/>
  <c r="F19" i="12"/>
  <c r="G24" i="12"/>
  <c r="G31" i="12"/>
  <c r="G38" i="12"/>
  <c r="G45" i="12"/>
  <c r="G52" i="12"/>
  <c r="F55" i="12"/>
  <c r="G60" i="12"/>
  <c r="F63" i="12"/>
  <c r="F70" i="12"/>
  <c r="G75" i="12"/>
  <c r="F78" i="12"/>
  <c r="G83" i="12"/>
  <c r="I83" i="12" s="1"/>
  <c r="F86" i="12"/>
  <c r="G91" i="12"/>
  <c r="G98" i="12"/>
  <c r="F101" i="12"/>
  <c r="F108" i="12"/>
  <c r="F115" i="12"/>
  <c r="F122" i="12"/>
  <c r="H124" i="12"/>
  <c r="H131" i="12"/>
  <c r="G141" i="12"/>
  <c r="F144" i="12"/>
  <c r="G12" i="12"/>
  <c r="G19" i="12"/>
  <c r="F22" i="12"/>
  <c r="H24" i="12"/>
  <c r="F29" i="12"/>
  <c r="H31" i="12"/>
  <c r="F36" i="12"/>
  <c r="H38" i="12"/>
  <c r="F43" i="12"/>
  <c r="H45" i="12"/>
  <c r="F50" i="12"/>
  <c r="G55" i="12"/>
  <c r="F58" i="12"/>
  <c r="H60" i="12"/>
  <c r="G63" i="12"/>
  <c r="F66" i="12"/>
  <c r="G70" i="12"/>
  <c r="F73" i="12"/>
  <c r="H75" i="12"/>
  <c r="G78" i="12"/>
  <c r="F81" i="12"/>
  <c r="H83" i="12"/>
  <c r="G86" i="12"/>
  <c r="F89" i="12"/>
  <c r="H91" i="12"/>
  <c r="F96" i="12"/>
  <c r="H98" i="12"/>
  <c r="G101" i="12"/>
  <c r="G108" i="12"/>
  <c r="G115" i="12"/>
  <c r="G122" i="12"/>
  <c r="F125" i="12"/>
  <c r="F132" i="12"/>
  <c r="F139" i="12"/>
  <c r="H141" i="12"/>
  <c r="G144" i="12"/>
  <c r="H12" i="12"/>
  <c r="G22" i="12"/>
  <c r="G29" i="12"/>
  <c r="G36" i="12"/>
  <c r="F39" i="12"/>
  <c r="G43" i="12"/>
  <c r="F46" i="12"/>
  <c r="G50" i="12"/>
  <c r="I50" i="12" s="1"/>
  <c r="F53" i="12"/>
  <c r="G58" i="12"/>
  <c r="F61" i="12"/>
  <c r="H63" i="12"/>
  <c r="G66" i="12"/>
  <c r="G73" i="12"/>
  <c r="F76" i="12"/>
  <c r="H78" i="12"/>
  <c r="G81" i="12"/>
  <c r="F84" i="12"/>
  <c r="H86" i="12"/>
  <c r="G89" i="12"/>
  <c r="G96" i="12"/>
  <c r="F99" i="12"/>
  <c r="H101" i="12"/>
  <c r="F106" i="12"/>
  <c r="H108" i="12"/>
  <c r="F113" i="12"/>
  <c r="H115" i="12"/>
  <c r="F120" i="12"/>
  <c r="G125" i="12"/>
  <c r="G132" i="12"/>
  <c r="G139" i="12"/>
  <c r="F142" i="12"/>
  <c r="H144" i="12"/>
  <c r="F11" i="11"/>
  <c r="H13" i="11"/>
  <c r="F18" i="11"/>
  <c r="H20" i="11"/>
  <c r="I32" i="11"/>
  <c r="I39" i="11"/>
  <c r="I46" i="11"/>
  <c r="I53" i="11"/>
  <c r="F54" i="11"/>
  <c r="H56" i="11"/>
  <c r="G59" i="11"/>
  <c r="I61" i="11"/>
  <c r="F62" i="11"/>
  <c r="H64" i="11"/>
  <c r="H71" i="11"/>
  <c r="G74" i="11"/>
  <c r="I74" i="11" s="1"/>
  <c r="F77" i="11"/>
  <c r="I84" i="11"/>
  <c r="F85" i="11"/>
  <c r="I99" i="11"/>
  <c r="F100" i="11"/>
  <c r="F107" i="11"/>
  <c r="H109" i="11"/>
  <c r="F114" i="11"/>
  <c r="F121" i="11"/>
  <c r="I142" i="11"/>
  <c r="F143" i="11"/>
  <c r="F9" i="11"/>
  <c r="G14" i="11"/>
  <c r="G21" i="11"/>
  <c r="F24" i="11"/>
  <c r="G28" i="11"/>
  <c r="F31" i="11"/>
  <c r="I37" i="11"/>
  <c r="F38" i="11"/>
  <c r="F45" i="11"/>
  <c r="F52" i="11"/>
  <c r="H54" i="11"/>
  <c r="F60" i="11"/>
  <c r="H62" i="11"/>
  <c r="G72" i="11"/>
  <c r="I72" i="11" s="1"/>
  <c r="F75" i="11"/>
  <c r="G80" i="11"/>
  <c r="F83" i="11"/>
  <c r="H85" i="11"/>
  <c r="G88" i="11"/>
  <c r="F91" i="11"/>
  <c r="G95" i="11"/>
  <c r="I95" i="11" s="1"/>
  <c r="F98" i="11"/>
  <c r="H100" i="11"/>
  <c r="H114" i="11"/>
  <c r="H121" i="11"/>
  <c r="I121" i="11" s="1"/>
  <c r="G124" i="11"/>
  <c r="G131" i="11"/>
  <c r="G138" i="11"/>
  <c r="F141" i="11"/>
  <c r="H143" i="11"/>
  <c r="G9" i="11"/>
  <c r="F12" i="11"/>
  <c r="F19" i="11"/>
  <c r="H21" i="11"/>
  <c r="G24" i="11"/>
  <c r="G31" i="11"/>
  <c r="G38" i="11"/>
  <c r="G45" i="11"/>
  <c r="G52" i="11"/>
  <c r="F55" i="11"/>
  <c r="G60" i="11"/>
  <c r="F63" i="11"/>
  <c r="F70" i="11"/>
  <c r="G75" i="11"/>
  <c r="F78" i="11"/>
  <c r="G83" i="11"/>
  <c r="F86" i="11"/>
  <c r="G91" i="11"/>
  <c r="H95" i="11"/>
  <c r="G98" i="11"/>
  <c r="F108" i="11"/>
  <c r="F115" i="11"/>
  <c r="F122" i="11"/>
  <c r="H131" i="11"/>
  <c r="G141" i="11"/>
  <c r="F144" i="11"/>
  <c r="H24" i="11"/>
  <c r="H31" i="11"/>
  <c r="H38" i="11"/>
  <c r="H45" i="11"/>
  <c r="H60" i="11"/>
  <c r="H75" i="11"/>
  <c r="H83" i="11"/>
  <c r="G86" i="11"/>
  <c r="F89" i="11"/>
  <c r="H91" i="11"/>
  <c r="H98" i="11"/>
  <c r="H141" i="11"/>
  <c r="G144" i="11"/>
  <c r="F10" i="11"/>
  <c r="H12" i="11"/>
  <c r="F32" i="11"/>
  <c r="G36" i="11"/>
  <c r="F39" i="11"/>
  <c r="F46" i="11"/>
  <c r="F53" i="11"/>
  <c r="F61" i="11"/>
  <c r="H63" i="11"/>
  <c r="H70" i="11"/>
  <c r="G73" i="11"/>
  <c r="I73" i="11" s="1"/>
  <c r="F76" i="11"/>
  <c r="H78" i="11"/>
  <c r="F84" i="11"/>
  <c r="H86" i="11"/>
  <c r="G89" i="11"/>
  <c r="F99" i="11"/>
  <c r="F106" i="11"/>
  <c r="F113" i="11"/>
  <c r="F120" i="11"/>
  <c r="H122" i="11"/>
  <c r="I122" i="11" s="1"/>
  <c r="G139" i="11"/>
  <c r="F142" i="11"/>
  <c r="H144" i="11"/>
  <c r="G10" i="11"/>
  <c r="F13" i="11"/>
  <c r="F20" i="11"/>
  <c r="H22" i="11"/>
  <c r="H29" i="11"/>
  <c r="G32" i="11"/>
  <c r="G39" i="11"/>
  <c r="G46" i="11"/>
  <c r="G53" i="11"/>
  <c r="G61" i="11"/>
  <c r="G76" i="11"/>
  <c r="H96" i="11"/>
  <c r="G99" i="11"/>
  <c r="G106" i="11"/>
  <c r="G113" i="11"/>
  <c r="G120" i="11"/>
  <c r="I120" i="11" s="1"/>
  <c r="G142" i="11"/>
  <c r="F11" i="10"/>
  <c r="F18" i="10"/>
  <c r="F54" i="10"/>
  <c r="H56" i="10"/>
  <c r="G59" i="10"/>
  <c r="I61" i="10"/>
  <c r="F62" i="10"/>
  <c r="H64" i="10"/>
  <c r="H71" i="10"/>
  <c r="G74" i="10"/>
  <c r="I74" i="10" s="1"/>
  <c r="I76" i="10"/>
  <c r="F77" i="10"/>
  <c r="G82" i="10"/>
  <c r="I84" i="10"/>
  <c r="F85" i="10"/>
  <c r="H87" i="10"/>
  <c r="G90" i="10"/>
  <c r="G97" i="10"/>
  <c r="I97" i="10" s="1"/>
  <c r="I99" i="10"/>
  <c r="F100" i="10"/>
  <c r="F107" i="10"/>
  <c r="I113" i="10"/>
  <c r="F114" i="10"/>
  <c r="F121" i="10"/>
  <c r="G126" i="10"/>
  <c r="G133" i="10"/>
  <c r="G140" i="10"/>
  <c r="I142" i="10"/>
  <c r="F143" i="10"/>
  <c r="G11" i="10"/>
  <c r="I13" i="10"/>
  <c r="F14" i="10"/>
  <c r="G18" i="10"/>
  <c r="I20" i="10"/>
  <c r="F21" i="10"/>
  <c r="F28" i="10"/>
  <c r="G54" i="10"/>
  <c r="I56" i="10"/>
  <c r="F57" i="10"/>
  <c r="H59" i="10"/>
  <c r="G62" i="10"/>
  <c r="I64" i="10"/>
  <c r="I71" i="10"/>
  <c r="H74" i="10"/>
  <c r="G77" i="10"/>
  <c r="H82" i="10"/>
  <c r="G85" i="10"/>
  <c r="I87" i="10"/>
  <c r="G100" i="10"/>
  <c r="G107" i="10"/>
  <c r="G114" i="10"/>
  <c r="G121" i="10"/>
  <c r="H140" i="10"/>
  <c r="G143" i="10"/>
  <c r="F9" i="10"/>
  <c r="G14" i="10"/>
  <c r="G21" i="10"/>
  <c r="F24" i="10"/>
  <c r="G28" i="10"/>
  <c r="F31" i="10"/>
  <c r="F38" i="10"/>
  <c r="F45" i="10"/>
  <c r="F52" i="10"/>
  <c r="H54" i="10"/>
  <c r="G57" i="10"/>
  <c r="F60" i="10"/>
  <c r="H62" i="10"/>
  <c r="H77" i="10"/>
  <c r="H85" i="10"/>
  <c r="H114" i="10"/>
  <c r="F141" i="10"/>
  <c r="H143" i="10"/>
  <c r="G12" i="10"/>
  <c r="G19" i="10"/>
  <c r="I19" i="10" s="1"/>
  <c r="F22" i="10"/>
  <c r="H24" i="10"/>
  <c r="F29" i="10"/>
  <c r="F36" i="10"/>
  <c r="F43" i="10"/>
  <c r="H45" i="10"/>
  <c r="F50" i="10"/>
  <c r="G55" i="10"/>
  <c r="F58" i="10"/>
  <c r="G63" i="10"/>
  <c r="F66" i="10"/>
  <c r="F73" i="10"/>
  <c r="G78" i="10"/>
  <c r="F81" i="10"/>
  <c r="G86" i="10"/>
  <c r="F89" i="10"/>
  <c r="F96" i="10"/>
  <c r="G101" i="10"/>
  <c r="G108" i="10"/>
  <c r="G115" i="10"/>
  <c r="G122" i="10"/>
  <c r="F125" i="10"/>
  <c r="F132" i="10"/>
  <c r="F139" i="10"/>
  <c r="H141" i="10"/>
  <c r="G144" i="10"/>
  <c r="G22" i="10"/>
  <c r="G29" i="10"/>
  <c r="G36" i="10"/>
  <c r="G43" i="10"/>
  <c r="G50" i="10"/>
  <c r="I50" i="10" s="1"/>
  <c r="F53" i="10"/>
  <c r="G58" i="10"/>
  <c r="F61" i="10"/>
  <c r="H63" i="10"/>
  <c r="G66" i="10"/>
  <c r="H70" i="10"/>
  <c r="I70" i="10" s="1"/>
  <c r="G73" i="10"/>
  <c r="I73" i="10" s="1"/>
  <c r="F76" i="10"/>
  <c r="H78" i="10"/>
  <c r="G81" i="10"/>
  <c r="H86" i="10"/>
  <c r="G89" i="10"/>
  <c r="G96" i="10"/>
  <c r="F99" i="10"/>
  <c r="H101" i="10"/>
  <c r="F106" i="10"/>
  <c r="H108" i="10"/>
  <c r="F113" i="10"/>
  <c r="H115" i="10"/>
  <c r="F120" i="10"/>
  <c r="G125" i="10"/>
  <c r="G132" i="10"/>
  <c r="G139" i="10"/>
  <c r="F142" i="10"/>
  <c r="H144" i="10"/>
  <c r="H22" i="10"/>
  <c r="H29" i="10"/>
  <c r="H36" i="10"/>
  <c r="H73" i="10"/>
  <c r="H81" i="10"/>
  <c r="H89" i="10"/>
  <c r="H96" i="10"/>
  <c r="H132" i="10"/>
  <c r="F11" i="9"/>
  <c r="H13" i="9"/>
  <c r="F18" i="9"/>
  <c r="H20" i="9"/>
  <c r="G23" i="9"/>
  <c r="G30" i="9"/>
  <c r="G37" i="9"/>
  <c r="I39" i="9"/>
  <c r="G44" i="9"/>
  <c r="I46" i="9"/>
  <c r="G51" i="9"/>
  <c r="I53" i="9"/>
  <c r="F54" i="9"/>
  <c r="G59" i="9"/>
  <c r="I61" i="9"/>
  <c r="F62" i="9"/>
  <c r="G74" i="9"/>
  <c r="I74" i="9" s="1"/>
  <c r="I76" i="9"/>
  <c r="F77" i="9"/>
  <c r="I84" i="9"/>
  <c r="F85" i="9"/>
  <c r="G97" i="9"/>
  <c r="I99" i="9"/>
  <c r="F100" i="9"/>
  <c r="F107" i="9"/>
  <c r="F114" i="9"/>
  <c r="I120" i="9"/>
  <c r="F121" i="9"/>
  <c r="G140" i="9"/>
  <c r="I142" i="9"/>
  <c r="F143" i="9"/>
  <c r="G11" i="9"/>
  <c r="F14" i="9"/>
  <c r="G18" i="9"/>
  <c r="F21" i="9"/>
  <c r="F28" i="9"/>
  <c r="G54" i="9"/>
  <c r="I56" i="9"/>
  <c r="F57" i="9"/>
  <c r="G62" i="9"/>
  <c r="I64" i="9"/>
  <c r="F65" i="9"/>
  <c r="F72" i="9"/>
  <c r="G77" i="9"/>
  <c r="F80" i="9"/>
  <c r="G85" i="9"/>
  <c r="G100" i="9"/>
  <c r="G107" i="9"/>
  <c r="G114" i="9"/>
  <c r="G121" i="9"/>
  <c r="I121" i="9" s="1"/>
  <c r="F124" i="9"/>
  <c r="F131" i="9"/>
  <c r="G143" i="9"/>
  <c r="H54" i="9"/>
  <c r="H77" i="9"/>
  <c r="H85" i="9"/>
  <c r="F98" i="9"/>
  <c r="H100" i="9"/>
  <c r="H114" i="9"/>
  <c r="H121" i="9"/>
  <c r="G138" i="9"/>
  <c r="F141" i="9"/>
  <c r="H143" i="9"/>
  <c r="F12" i="9"/>
  <c r="F19" i="9"/>
  <c r="F55" i="9"/>
  <c r="F63" i="9"/>
  <c r="F70" i="9"/>
  <c r="F78" i="9"/>
  <c r="F86" i="9"/>
  <c r="F122" i="9"/>
  <c r="G12" i="9"/>
  <c r="G19" i="9"/>
  <c r="I19" i="9" s="1"/>
  <c r="F22" i="9"/>
  <c r="H24" i="9"/>
  <c r="F29" i="9"/>
  <c r="H31" i="9"/>
  <c r="F36" i="9"/>
  <c r="F43" i="9"/>
  <c r="F50" i="9"/>
  <c r="G55" i="9"/>
  <c r="F58" i="9"/>
  <c r="G63" i="9"/>
  <c r="F66" i="9"/>
  <c r="G70" i="9"/>
  <c r="F73" i="9"/>
  <c r="G78" i="9"/>
  <c r="F81" i="9"/>
  <c r="G86" i="9"/>
  <c r="F89" i="9"/>
  <c r="F96" i="9"/>
  <c r="G101" i="9"/>
  <c r="G108" i="9"/>
  <c r="G115" i="9"/>
  <c r="G122" i="9"/>
  <c r="F125" i="9"/>
  <c r="F132" i="9"/>
  <c r="F139" i="9"/>
  <c r="H141" i="9"/>
  <c r="G144" i="9"/>
  <c r="H12" i="9"/>
  <c r="H19" i="9"/>
  <c r="G22" i="9"/>
  <c r="G29" i="9"/>
  <c r="G36" i="9"/>
  <c r="I36" i="9" s="1"/>
  <c r="F39" i="9"/>
  <c r="G43" i="9"/>
  <c r="F46" i="9"/>
  <c r="G50" i="9"/>
  <c r="I50" i="9" s="1"/>
  <c r="F53" i="9"/>
  <c r="G58" i="9"/>
  <c r="F61" i="9"/>
  <c r="H63" i="9"/>
  <c r="G66" i="9"/>
  <c r="H70" i="9"/>
  <c r="G73" i="9"/>
  <c r="I73" i="9" s="1"/>
  <c r="F76" i="9"/>
  <c r="H78" i="9"/>
  <c r="G81" i="9"/>
  <c r="F84" i="9"/>
  <c r="H86" i="9"/>
  <c r="G89" i="9"/>
  <c r="G96" i="9"/>
  <c r="F99" i="9"/>
  <c r="H101" i="9"/>
  <c r="F106" i="9"/>
  <c r="H108" i="9"/>
  <c r="F113" i="9"/>
  <c r="H115" i="9"/>
  <c r="F120" i="9"/>
  <c r="H122" i="9"/>
  <c r="G125" i="9"/>
  <c r="G132" i="9"/>
  <c r="G139" i="9"/>
  <c r="F142" i="9"/>
  <c r="H144" i="9"/>
  <c r="H22" i="9"/>
  <c r="H29" i="9"/>
  <c r="H73" i="9"/>
  <c r="H81" i="9"/>
  <c r="H89" i="9"/>
  <c r="H96" i="9"/>
  <c r="H125" i="9"/>
  <c r="H132" i="9"/>
  <c r="F11" i="8"/>
  <c r="F18" i="8"/>
  <c r="I39" i="8"/>
  <c r="I46" i="8"/>
  <c r="F54" i="8"/>
  <c r="I61" i="8"/>
  <c r="F62" i="8"/>
  <c r="H64" i="8"/>
  <c r="H71" i="8"/>
  <c r="F77" i="8"/>
  <c r="H79" i="8"/>
  <c r="F85" i="8"/>
  <c r="G97" i="8"/>
  <c r="I99" i="8"/>
  <c r="F100" i="8"/>
  <c r="F107" i="8"/>
  <c r="F114" i="8"/>
  <c r="F121" i="8"/>
  <c r="G140" i="8"/>
  <c r="I142" i="8"/>
  <c r="F143" i="8"/>
  <c r="F9" i="8"/>
  <c r="F24" i="8"/>
  <c r="F31" i="8"/>
  <c r="F38" i="8"/>
  <c r="F45" i="8"/>
  <c r="F52" i="8"/>
  <c r="H54" i="8"/>
  <c r="F60" i="8"/>
  <c r="H62" i="8"/>
  <c r="F75" i="8"/>
  <c r="F83" i="8"/>
  <c r="H85" i="8"/>
  <c r="F91" i="8"/>
  <c r="F98" i="8"/>
  <c r="H100" i="8"/>
  <c r="H114" i="8"/>
  <c r="F141" i="8"/>
  <c r="H143" i="8"/>
  <c r="G9" i="8"/>
  <c r="G24" i="8"/>
  <c r="G31" i="8"/>
  <c r="G38" i="8"/>
  <c r="G45" i="8"/>
  <c r="G52" i="8"/>
  <c r="G60" i="8"/>
  <c r="G75" i="8"/>
  <c r="G83" i="8"/>
  <c r="G91" i="8"/>
  <c r="G98" i="8"/>
  <c r="G141" i="8"/>
  <c r="G12" i="8"/>
  <c r="G19" i="8"/>
  <c r="I19" i="8" s="1"/>
  <c r="F22" i="8"/>
  <c r="H24" i="8"/>
  <c r="F29" i="8"/>
  <c r="H31" i="8"/>
  <c r="F36" i="8"/>
  <c r="H38" i="8"/>
  <c r="F43" i="8"/>
  <c r="H45" i="8"/>
  <c r="F50" i="8"/>
  <c r="F58" i="8"/>
  <c r="H60" i="8"/>
  <c r="G63" i="8"/>
  <c r="F66" i="8"/>
  <c r="G70" i="8"/>
  <c r="F73" i="8"/>
  <c r="H75" i="8"/>
  <c r="G78" i="8"/>
  <c r="F81" i="8"/>
  <c r="G86" i="8"/>
  <c r="F89" i="8"/>
  <c r="H91" i="8"/>
  <c r="F96" i="8"/>
  <c r="H98" i="8"/>
  <c r="G101" i="8"/>
  <c r="G108" i="8"/>
  <c r="G115" i="8"/>
  <c r="G122" i="8"/>
  <c r="F125" i="8"/>
  <c r="F132" i="8"/>
  <c r="F139" i="8"/>
  <c r="H141" i="8"/>
  <c r="G144" i="8"/>
  <c r="H12" i="8"/>
  <c r="H19" i="8"/>
  <c r="G22" i="8"/>
  <c r="G29" i="8"/>
  <c r="F32" i="8"/>
  <c r="G36" i="8"/>
  <c r="F39" i="8"/>
  <c r="G43" i="8"/>
  <c r="F46" i="8"/>
  <c r="G50" i="8"/>
  <c r="I50" i="8" s="1"/>
  <c r="F53" i="8"/>
  <c r="G58" i="8"/>
  <c r="F61" i="8"/>
  <c r="H63" i="8"/>
  <c r="G66" i="8"/>
  <c r="G73" i="8"/>
  <c r="F76" i="8"/>
  <c r="H78" i="8"/>
  <c r="G81" i="8"/>
  <c r="F84" i="8"/>
  <c r="H86" i="8"/>
  <c r="G89" i="8"/>
  <c r="G96" i="8"/>
  <c r="F99" i="8"/>
  <c r="H101" i="8"/>
  <c r="F106" i="8"/>
  <c r="H108" i="8"/>
  <c r="F113" i="8"/>
  <c r="H115" i="8"/>
  <c r="G125" i="8"/>
  <c r="G132" i="8"/>
  <c r="G139" i="8"/>
  <c r="F142" i="8"/>
  <c r="H144" i="8"/>
  <c r="F11" i="7"/>
  <c r="F18" i="7"/>
  <c r="I32" i="7"/>
  <c r="I39" i="7"/>
  <c r="I46" i="7"/>
  <c r="I53" i="7"/>
  <c r="F54" i="7"/>
  <c r="I61" i="7"/>
  <c r="F62" i="7"/>
  <c r="H64" i="7"/>
  <c r="H71" i="7"/>
  <c r="G74" i="7"/>
  <c r="F77" i="7"/>
  <c r="G82" i="7"/>
  <c r="I84" i="7"/>
  <c r="F85" i="7"/>
  <c r="H87" i="7"/>
  <c r="G90" i="7"/>
  <c r="G97" i="7"/>
  <c r="I99" i="7"/>
  <c r="F100" i="7"/>
  <c r="F107" i="7"/>
  <c r="F114" i="7"/>
  <c r="I120" i="7"/>
  <c r="F121" i="7"/>
  <c r="I142" i="7"/>
  <c r="F143" i="7"/>
  <c r="G11" i="7"/>
  <c r="I13" i="7"/>
  <c r="F14" i="7"/>
  <c r="G18" i="7"/>
  <c r="I20" i="7"/>
  <c r="F21" i="7"/>
  <c r="G54" i="7"/>
  <c r="I56" i="7"/>
  <c r="F57" i="7"/>
  <c r="G62" i="7"/>
  <c r="I64" i="7"/>
  <c r="I71" i="7"/>
  <c r="H74" i="7"/>
  <c r="G77" i="7"/>
  <c r="F80" i="7"/>
  <c r="H82" i="7"/>
  <c r="G85" i="7"/>
  <c r="I87" i="7"/>
  <c r="F88" i="7"/>
  <c r="G100" i="7"/>
  <c r="G107" i="7"/>
  <c r="G114" i="7"/>
  <c r="I116" i="7"/>
  <c r="G121" i="7"/>
  <c r="I121" i="7" s="1"/>
  <c r="I123" i="7"/>
  <c r="F124" i="7"/>
  <c r="F131" i="7"/>
  <c r="F138" i="7"/>
  <c r="G143" i="7"/>
  <c r="H54" i="7"/>
  <c r="H62" i="7"/>
  <c r="G80" i="7"/>
  <c r="F83" i="7"/>
  <c r="H85" i="7"/>
  <c r="G88" i="7"/>
  <c r="I88" i="7" s="1"/>
  <c r="F91" i="7"/>
  <c r="F98" i="7"/>
  <c r="H100" i="7"/>
  <c r="H114" i="7"/>
  <c r="H121" i="7"/>
  <c r="G124" i="7"/>
  <c r="G131" i="7"/>
  <c r="G138" i="7"/>
  <c r="F141" i="7"/>
  <c r="H143" i="7"/>
  <c r="F12" i="7"/>
  <c r="F19" i="7"/>
  <c r="G52" i="7"/>
  <c r="F55" i="7"/>
  <c r="G60" i="7"/>
  <c r="F63" i="7"/>
  <c r="F70" i="7"/>
  <c r="F78" i="7"/>
  <c r="G83" i="7"/>
  <c r="F86" i="7"/>
  <c r="G91" i="7"/>
  <c r="G98" i="7"/>
  <c r="F101" i="7"/>
  <c r="F108" i="7"/>
  <c r="F115" i="7"/>
  <c r="F122" i="7"/>
  <c r="H124" i="7"/>
  <c r="H131" i="7"/>
  <c r="G141" i="7"/>
  <c r="F144" i="7"/>
  <c r="G12" i="7"/>
  <c r="G19" i="7"/>
  <c r="I19" i="7" s="1"/>
  <c r="G115" i="7"/>
  <c r="G122" i="7"/>
  <c r="F139" i="7"/>
  <c r="H141" i="7"/>
  <c r="G144" i="7"/>
  <c r="F10" i="7"/>
  <c r="H12" i="7"/>
  <c r="H19" i="7"/>
  <c r="G22" i="7"/>
  <c r="G29" i="7"/>
  <c r="F32" i="7"/>
  <c r="G36" i="7"/>
  <c r="I36" i="7" s="1"/>
  <c r="F39" i="7"/>
  <c r="G43" i="7"/>
  <c r="F46" i="7"/>
  <c r="G50" i="7"/>
  <c r="I50" i="7" s="1"/>
  <c r="F53" i="7"/>
  <c r="G58" i="7"/>
  <c r="F61" i="7"/>
  <c r="H63" i="7"/>
  <c r="G66" i="7"/>
  <c r="H70" i="7"/>
  <c r="G73" i="7"/>
  <c r="F76" i="7"/>
  <c r="H78" i="7"/>
  <c r="F84" i="7"/>
  <c r="H86" i="7"/>
  <c r="G89" i="7"/>
  <c r="G96" i="7"/>
  <c r="F99" i="7"/>
  <c r="H101" i="7"/>
  <c r="F106" i="7"/>
  <c r="H108" i="7"/>
  <c r="F113" i="7"/>
  <c r="H115" i="7"/>
  <c r="F120" i="7"/>
  <c r="H122" i="7"/>
  <c r="G139" i="7"/>
  <c r="F142" i="7"/>
  <c r="H144" i="7"/>
  <c r="G10" i="7"/>
  <c r="H22" i="7"/>
  <c r="H29" i="7"/>
  <c r="G32" i="7"/>
  <c r="H36" i="7"/>
  <c r="G39" i="7"/>
  <c r="G46" i="7"/>
  <c r="G53" i="7"/>
  <c r="G61" i="7"/>
  <c r="G76" i="7"/>
  <c r="G84" i="7"/>
  <c r="F11" i="6"/>
  <c r="H13" i="6"/>
  <c r="F18" i="6"/>
  <c r="H20" i="6"/>
  <c r="I32" i="6"/>
  <c r="G37" i="6"/>
  <c r="I39" i="6"/>
  <c r="G44" i="6"/>
  <c r="I46" i="6"/>
  <c r="G51" i="6"/>
  <c r="I51" i="6" s="1"/>
  <c r="F54" i="6"/>
  <c r="H56" i="6"/>
  <c r="G59" i="6"/>
  <c r="I61" i="6"/>
  <c r="F62" i="6"/>
  <c r="H64" i="6"/>
  <c r="H71" i="6"/>
  <c r="G74" i="6"/>
  <c r="I74" i="6" s="1"/>
  <c r="F77" i="6"/>
  <c r="G82" i="6"/>
  <c r="I82" i="6" s="1"/>
  <c r="I84" i="6"/>
  <c r="F85" i="6"/>
  <c r="G90" i="6"/>
  <c r="G97" i="6"/>
  <c r="I99" i="6"/>
  <c r="F100" i="6"/>
  <c r="F107" i="6"/>
  <c r="H109" i="6"/>
  <c r="F114" i="6"/>
  <c r="H116" i="6"/>
  <c r="F121" i="6"/>
  <c r="G140" i="6"/>
  <c r="I142" i="6"/>
  <c r="F143" i="6"/>
  <c r="G11" i="6"/>
  <c r="I13" i="6"/>
  <c r="F14" i="6"/>
  <c r="G18" i="6"/>
  <c r="I20" i="6"/>
  <c r="F21" i="6"/>
  <c r="F28" i="6"/>
  <c r="H37" i="6"/>
  <c r="H44" i="6"/>
  <c r="G54" i="6"/>
  <c r="I56" i="6"/>
  <c r="G62" i="6"/>
  <c r="G77" i="6"/>
  <c r="G85" i="6"/>
  <c r="H97" i="6"/>
  <c r="G100" i="6"/>
  <c r="G107" i="6"/>
  <c r="I109" i="6"/>
  <c r="G114" i="6"/>
  <c r="I116" i="6"/>
  <c r="G121" i="6"/>
  <c r="F124" i="6"/>
  <c r="F131" i="6"/>
  <c r="F138" i="6"/>
  <c r="G143" i="6"/>
  <c r="F9" i="6"/>
  <c r="G14" i="6"/>
  <c r="G21" i="6"/>
  <c r="F24" i="6"/>
  <c r="G28" i="6"/>
  <c r="F31" i="6"/>
  <c r="F38" i="6"/>
  <c r="F45" i="6"/>
  <c r="F52" i="6"/>
  <c r="H54" i="6"/>
  <c r="F60" i="6"/>
  <c r="H62" i="6"/>
  <c r="F75" i="6"/>
  <c r="H77" i="6"/>
  <c r="F83" i="6"/>
  <c r="H85" i="6"/>
  <c r="F91" i="6"/>
  <c r="F98" i="6"/>
  <c r="H100" i="6"/>
  <c r="H114" i="6"/>
  <c r="G124" i="6"/>
  <c r="F141" i="6"/>
  <c r="H143" i="6"/>
  <c r="G9" i="6"/>
  <c r="F12" i="6"/>
  <c r="F19" i="6"/>
  <c r="G24" i="6"/>
  <c r="G31" i="6"/>
  <c r="G38" i="6"/>
  <c r="G52" i="6"/>
  <c r="G60" i="6"/>
  <c r="F63" i="6"/>
  <c r="G75" i="6"/>
  <c r="G83" i="6"/>
  <c r="I83" i="6" s="1"/>
  <c r="G91" i="6"/>
  <c r="G98" i="6"/>
  <c r="F10" i="6"/>
  <c r="H12" i="6"/>
  <c r="H19" i="6"/>
  <c r="G22" i="6"/>
  <c r="G29" i="6"/>
  <c r="F32" i="6"/>
  <c r="G36" i="6"/>
  <c r="F39" i="6"/>
  <c r="G43" i="6"/>
  <c r="F46" i="6"/>
  <c r="G50" i="6"/>
  <c r="F53" i="6"/>
  <c r="G58" i="6"/>
  <c r="F61" i="6"/>
  <c r="H63" i="6"/>
  <c r="G66" i="6"/>
  <c r="G73" i="6"/>
  <c r="I73" i="6" s="1"/>
  <c r="F76" i="6"/>
  <c r="G81" i="6"/>
  <c r="F84" i="6"/>
  <c r="H86" i="6"/>
  <c r="G89" i="6"/>
  <c r="G96" i="6"/>
  <c r="F99" i="6"/>
  <c r="F106" i="6"/>
  <c r="H108" i="6"/>
  <c r="F113" i="6"/>
  <c r="F120" i="6"/>
  <c r="G125" i="6"/>
  <c r="G132" i="6"/>
  <c r="G139" i="6"/>
  <c r="F142" i="6"/>
  <c r="H144" i="6"/>
  <c r="G10" i="6"/>
  <c r="G32" i="6"/>
  <c r="G39" i="6"/>
  <c r="G46" i="6"/>
  <c r="G53" i="6"/>
  <c r="G61" i="6"/>
  <c r="G76" i="6"/>
  <c r="I76" i="6" s="1"/>
  <c r="G84" i="6"/>
  <c r="G99" i="6"/>
  <c r="G106" i="6"/>
  <c r="G113" i="6"/>
  <c r="F11" i="5"/>
  <c r="H13" i="5"/>
  <c r="F18" i="5"/>
  <c r="H20" i="5"/>
  <c r="F54" i="5"/>
  <c r="H56" i="5"/>
  <c r="F62" i="5"/>
  <c r="H64" i="5"/>
  <c r="F77" i="5"/>
  <c r="H79" i="5"/>
  <c r="F85" i="5"/>
  <c r="H87" i="5"/>
  <c r="I99" i="5"/>
  <c r="F100" i="5"/>
  <c r="H102" i="5"/>
  <c r="F107" i="5"/>
  <c r="H109" i="5"/>
  <c r="F114" i="5"/>
  <c r="H116" i="5"/>
  <c r="F121" i="5"/>
  <c r="G140" i="5"/>
  <c r="I142" i="5"/>
  <c r="F143" i="5"/>
  <c r="G11" i="5"/>
  <c r="I13" i="5"/>
  <c r="F14" i="5"/>
  <c r="G18" i="5"/>
  <c r="I20" i="5"/>
  <c r="F21" i="5"/>
  <c r="F28" i="5"/>
  <c r="H37" i="5"/>
  <c r="H44" i="5"/>
  <c r="H51" i="5"/>
  <c r="G54" i="5"/>
  <c r="I56" i="5"/>
  <c r="F57" i="5"/>
  <c r="G62" i="5"/>
  <c r="I64" i="5"/>
  <c r="F65" i="5"/>
  <c r="F72" i="5"/>
  <c r="G77" i="5"/>
  <c r="I79" i="5"/>
  <c r="F80" i="5"/>
  <c r="G85" i="5"/>
  <c r="I87" i="5"/>
  <c r="F88" i="5"/>
  <c r="F95" i="5"/>
  <c r="G100" i="5"/>
  <c r="I102" i="5"/>
  <c r="G107" i="5"/>
  <c r="I109" i="5"/>
  <c r="G114" i="5"/>
  <c r="I116" i="5"/>
  <c r="G121" i="5"/>
  <c r="I123" i="5"/>
  <c r="F124" i="5"/>
  <c r="F131" i="5"/>
  <c r="H133" i="5"/>
  <c r="F138" i="5"/>
  <c r="H140" i="5"/>
  <c r="G143" i="5"/>
  <c r="F9" i="5"/>
  <c r="G14" i="5"/>
  <c r="G21" i="5"/>
  <c r="G28" i="5"/>
  <c r="F31" i="5"/>
  <c r="F38" i="5"/>
  <c r="F45" i="5"/>
  <c r="F52" i="5"/>
  <c r="H54" i="5"/>
  <c r="G57" i="5"/>
  <c r="F60" i="5"/>
  <c r="H62" i="5"/>
  <c r="G65" i="5"/>
  <c r="G72" i="5"/>
  <c r="F75" i="5"/>
  <c r="G80" i="5"/>
  <c r="F83" i="5"/>
  <c r="H85" i="5"/>
  <c r="G88" i="5"/>
  <c r="I88" i="5" s="1"/>
  <c r="F91" i="5"/>
  <c r="G95" i="5"/>
  <c r="I95" i="5" s="1"/>
  <c r="F98" i="5"/>
  <c r="H100" i="5"/>
  <c r="H114" i="5"/>
  <c r="H121" i="5"/>
  <c r="G124" i="5"/>
  <c r="G131" i="5"/>
  <c r="G138" i="5"/>
  <c r="F141" i="5"/>
  <c r="H14" i="5"/>
  <c r="H21" i="5"/>
  <c r="G12" i="5"/>
  <c r="G19" i="5"/>
  <c r="I19" i="5" s="1"/>
  <c r="F22" i="5"/>
  <c r="F29" i="5"/>
  <c r="F36" i="5"/>
  <c r="F43" i="5"/>
  <c r="F50" i="5"/>
  <c r="G55" i="5"/>
  <c r="F58" i="5"/>
  <c r="G63" i="5"/>
  <c r="F66" i="5"/>
  <c r="G70" i="5"/>
  <c r="F73" i="5"/>
  <c r="G78" i="5"/>
  <c r="F81" i="5"/>
  <c r="G86" i="5"/>
  <c r="F89" i="5"/>
  <c r="F96" i="5"/>
  <c r="H98" i="5"/>
  <c r="G101" i="5"/>
  <c r="G108" i="5"/>
  <c r="G115" i="5"/>
  <c r="G122" i="5"/>
  <c r="F125" i="5"/>
  <c r="F132" i="5"/>
  <c r="F139" i="5"/>
  <c r="H141" i="5"/>
  <c r="G144" i="5"/>
  <c r="G58" i="5"/>
  <c r="G66" i="5"/>
  <c r="G73" i="5"/>
  <c r="G81" i="5"/>
  <c r="G89" i="5"/>
  <c r="G96" i="5"/>
  <c r="H108" i="5"/>
  <c r="H115" i="5"/>
  <c r="H122" i="5"/>
  <c r="G125" i="5"/>
  <c r="G132" i="5"/>
  <c r="G139" i="5"/>
  <c r="F142" i="5"/>
  <c r="H144" i="5"/>
  <c r="F13" i="5"/>
  <c r="F20" i="5"/>
  <c r="H22" i="5"/>
  <c r="H29" i="5"/>
  <c r="H132" i="5"/>
  <c r="F109" i="4"/>
  <c r="F123" i="4"/>
  <c r="F71" i="4"/>
  <c r="G109" i="4"/>
  <c r="G123" i="4"/>
  <c r="G71" i="4"/>
  <c r="F79" i="4"/>
  <c r="F87" i="4"/>
  <c r="H109" i="4"/>
  <c r="H71" i="4"/>
  <c r="G79" i="4"/>
  <c r="G87" i="4"/>
  <c r="I98" i="4"/>
  <c r="F13" i="4"/>
  <c r="I24" i="4"/>
  <c r="H79" i="4"/>
  <c r="H87" i="4"/>
  <c r="G98" i="4"/>
  <c r="F137" i="4"/>
  <c r="G13" i="4"/>
  <c r="G24" i="4"/>
  <c r="I38" i="4"/>
  <c r="G137" i="4"/>
  <c r="G11" i="4"/>
  <c r="I13" i="4"/>
  <c r="F14" i="4"/>
  <c r="G18" i="4"/>
  <c r="I20" i="4"/>
  <c r="F21" i="4"/>
  <c r="F28" i="4"/>
  <c r="H44" i="4"/>
  <c r="H51" i="4"/>
  <c r="I51" i="4" s="1"/>
  <c r="G54" i="4"/>
  <c r="I56" i="4"/>
  <c r="F57" i="4"/>
  <c r="H59" i="4"/>
  <c r="G62" i="4"/>
  <c r="F65" i="4"/>
  <c r="F72" i="4"/>
  <c r="H74" i="4"/>
  <c r="G77" i="4"/>
  <c r="F80" i="4"/>
  <c r="H82" i="4"/>
  <c r="G85" i="4"/>
  <c r="F88" i="4"/>
  <c r="F95" i="4"/>
  <c r="G100" i="4"/>
  <c r="G107" i="4"/>
  <c r="G114" i="4"/>
  <c r="G121" i="4"/>
  <c r="F124" i="4"/>
  <c r="H126" i="4"/>
  <c r="F131" i="4"/>
  <c r="H133" i="4"/>
  <c r="F138" i="4"/>
  <c r="G143" i="4"/>
  <c r="F9" i="4"/>
  <c r="G14" i="4"/>
  <c r="G21" i="4"/>
  <c r="I21" i="4" s="1"/>
  <c r="F24" i="4"/>
  <c r="G28" i="4"/>
  <c r="F31" i="4"/>
  <c r="F38" i="4"/>
  <c r="F45" i="4"/>
  <c r="F52" i="4"/>
  <c r="G57" i="4"/>
  <c r="F60" i="4"/>
  <c r="G65" i="4"/>
  <c r="G72" i="4"/>
  <c r="F75" i="4"/>
  <c r="G80" i="4"/>
  <c r="F83" i="4"/>
  <c r="H85" i="4"/>
  <c r="G88" i="4"/>
  <c r="I88" i="4" s="1"/>
  <c r="F91" i="4"/>
  <c r="G95" i="4"/>
  <c r="F98" i="4"/>
  <c r="H100" i="4"/>
  <c r="H114" i="4"/>
  <c r="G124" i="4"/>
  <c r="G131" i="4"/>
  <c r="G138" i="4"/>
  <c r="F141" i="4"/>
  <c r="H143" i="4"/>
  <c r="H14" i="4"/>
  <c r="H21" i="4"/>
  <c r="H57" i="4"/>
  <c r="H65" i="4"/>
  <c r="H72" i="4"/>
  <c r="H80" i="4"/>
  <c r="H88" i="4"/>
  <c r="H124" i="4"/>
  <c r="H131" i="4"/>
  <c r="F22" i="4"/>
  <c r="F29" i="4"/>
  <c r="F36" i="4"/>
  <c r="F43" i="4"/>
  <c r="F50" i="4"/>
  <c r="F58" i="4"/>
  <c r="F66" i="4"/>
  <c r="F73" i="4"/>
  <c r="F81" i="4"/>
  <c r="F89" i="4"/>
  <c r="F96" i="4"/>
  <c r="F125" i="4"/>
  <c r="F132" i="4"/>
  <c r="F139" i="4"/>
  <c r="G144" i="4"/>
  <c r="F10" i="4"/>
  <c r="H12" i="4"/>
  <c r="H19" i="4"/>
  <c r="I19" i="4" s="1"/>
  <c r="G22" i="4"/>
  <c r="G29" i="4"/>
  <c r="F32" i="4"/>
  <c r="G36" i="4"/>
  <c r="F39" i="4"/>
  <c r="G43" i="4"/>
  <c r="F46" i="4"/>
  <c r="G50" i="4"/>
  <c r="F53" i="4"/>
  <c r="G58" i="4"/>
  <c r="F61" i="4"/>
  <c r="G66" i="4"/>
  <c r="G73" i="4"/>
  <c r="I73" i="4" s="1"/>
  <c r="F76" i="4"/>
  <c r="G81" i="4"/>
  <c r="F84" i="4"/>
  <c r="G89" i="4"/>
  <c r="G96" i="4"/>
  <c r="F99" i="4"/>
  <c r="F106" i="4"/>
  <c r="F113" i="4"/>
  <c r="F120" i="4"/>
  <c r="G125" i="4"/>
  <c r="G132" i="4"/>
  <c r="G139" i="4"/>
  <c r="F142" i="4"/>
  <c r="H144" i="4"/>
  <c r="H22" i="4"/>
  <c r="H29" i="4"/>
  <c r="G32" i="4"/>
  <c r="H36" i="4"/>
  <c r="G39" i="4"/>
  <c r="G46" i="4"/>
  <c r="H58" i="4"/>
  <c r="H66" i="4"/>
  <c r="H73" i="4"/>
  <c r="H81" i="4"/>
  <c r="H89" i="4"/>
  <c r="G109" i="3"/>
  <c r="G108" i="3"/>
  <c r="H108" i="3"/>
  <c r="H107" i="3"/>
  <c r="I107" i="3" s="1"/>
  <c r="E12" i="3"/>
  <c r="F12" i="3" s="1"/>
  <c r="E13" i="3"/>
  <c r="F13" i="3" s="1"/>
  <c r="E14" i="3"/>
  <c r="E100" i="3"/>
  <c r="I100" i="3" s="1"/>
  <c r="E101" i="3"/>
  <c r="H101" i="3" s="1"/>
  <c r="E102" i="3"/>
  <c r="H102" i="3" s="1"/>
  <c r="C100" i="3"/>
  <c r="C101" i="3"/>
  <c r="C102" i="3"/>
  <c r="B100" i="3"/>
  <c r="B101" i="3"/>
  <c r="B102" i="3"/>
  <c r="O89" i="3"/>
  <c r="O90" i="3"/>
  <c r="O91" i="3"/>
  <c r="N89" i="3"/>
  <c r="N90" i="3"/>
  <c r="N91" i="3"/>
  <c r="M89" i="3"/>
  <c r="M90" i="3"/>
  <c r="M91" i="3"/>
  <c r="E89" i="3"/>
  <c r="H89" i="3" s="1"/>
  <c r="E90" i="3"/>
  <c r="H90" i="3" s="1"/>
  <c r="E91" i="3"/>
  <c r="F91" i="3" s="1"/>
  <c r="C89" i="3"/>
  <c r="C90" i="3"/>
  <c r="C91" i="3"/>
  <c r="B89" i="3"/>
  <c r="B90" i="3"/>
  <c r="B91" i="3"/>
  <c r="O64" i="3"/>
  <c r="O65" i="3"/>
  <c r="O66" i="3"/>
  <c r="N64" i="3"/>
  <c r="N65" i="3"/>
  <c r="N66" i="3"/>
  <c r="M64" i="3"/>
  <c r="M65" i="3"/>
  <c r="M66" i="3"/>
  <c r="E64" i="3"/>
  <c r="H64" i="3" s="1"/>
  <c r="E65" i="3"/>
  <c r="F65" i="3" s="1"/>
  <c r="E66" i="3"/>
  <c r="I66" i="3" s="1"/>
  <c r="C64" i="3"/>
  <c r="C65" i="3"/>
  <c r="C66" i="3"/>
  <c r="B64" i="3"/>
  <c r="B65" i="3"/>
  <c r="B66" i="3"/>
  <c r="O44" i="3"/>
  <c r="O45" i="3"/>
  <c r="O46" i="3"/>
  <c r="N44" i="3"/>
  <c r="N45" i="3"/>
  <c r="N46" i="3"/>
  <c r="M44" i="3"/>
  <c r="M45" i="3"/>
  <c r="M46" i="3"/>
  <c r="E44" i="3"/>
  <c r="F44" i="3" s="1"/>
  <c r="E45" i="3"/>
  <c r="I45" i="3" s="1"/>
  <c r="E46" i="3"/>
  <c r="G46" i="3" s="1"/>
  <c r="C44" i="3"/>
  <c r="C45" i="3"/>
  <c r="C46" i="3"/>
  <c r="C43" i="3"/>
  <c r="B44" i="3"/>
  <c r="B45" i="3"/>
  <c r="B46" i="3"/>
  <c r="E37" i="3"/>
  <c r="H37" i="3" s="1"/>
  <c r="E38" i="3"/>
  <c r="H38" i="3" s="1"/>
  <c r="E39" i="3"/>
  <c r="F39" i="3" s="1"/>
  <c r="C37" i="3"/>
  <c r="C38" i="3"/>
  <c r="C39" i="3"/>
  <c r="B37" i="3"/>
  <c r="B38" i="3"/>
  <c r="B39" i="3"/>
  <c r="O30" i="3"/>
  <c r="O31" i="3"/>
  <c r="O32" i="3"/>
  <c r="N30" i="3"/>
  <c r="N31" i="3"/>
  <c r="N32" i="3"/>
  <c r="M30" i="3"/>
  <c r="M31" i="3"/>
  <c r="M32" i="3"/>
  <c r="E30" i="3"/>
  <c r="H30" i="3" s="1"/>
  <c r="E31" i="3"/>
  <c r="F31" i="3" s="1"/>
  <c r="E32" i="3"/>
  <c r="I32" i="3" s="1"/>
  <c r="C30" i="3"/>
  <c r="C31" i="3"/>
  <c r="C32" i="3"/>
  <c r="B30" i="3"/>
  <c r="B31" i="3"/>
  <c r="B32" i="3"/>
  <c r="O22" i="3"/>
  <c r="O23" i="3"/>
  <c r="O24" i="3"/>
  <c r="N22" i="3"/>
  <c r="N23" i="3"/>
  <c r="N24" i="3"/>
  <c r="M22" i="3"/>
  <c r="M23" i="3"/>
  <c r="M24" i="3"/>
  <c r="O12" i="3"/>
  <c r="O13" i="3"/>
  <c r="O14" i="3"/>
  <c r="N12" i="3"/>
  <c r="N13" i="3"/>
  <c r="N14" i="3"/>
  <c r="M12" i="3"/>
  <c r="M13" i="3"/>
  <c r="M14" i="3"/>
  <c r="E22" i="3"/>
  <c r="H22" i="3" s="1"/>
  <c r="E23" i="3"/>
  <c r="E24" i="3"/>
  <c r="H24" i="3" s="1"/>
  <c r="E177" i="1"/>
  <c r="E178" i="1"/>
  <c r="E179" i="1"/>
  <c r="D177" i="1"/>
  <c r="D178" i="1"/>
  <c r="D179" i="1"/>
  <c r="E163" i="1"/>
  <c r="E164" i="1"/>
  <c r="E165" i="1"/>
  <c r="D163" i="1"/>
  <c r="D164" i="1"/>
  <c r="D165" i="1"/>
  <c r="E153" i="1"/>
  <c r="E154" i="1"/>
  <c r="E155" i="1"/>
  <c r="D153" i="1"/>
  <c r="D154" i="1"/>
  <c r="D155" i="1"/>
  <c r="E140" i="1"/>
  <c r="E141" i="1"/>
  <c r="E142" i="1"/>
  <c r="D140" i="1"/>
  <c r="D141" i="1"/>
  <c r="D142" i="1"/>
  <c r="E131" i="1"/>
  <c r="E132" i="1"/>
  <c r="D130" i="1"/>
  <c r="D131" i="1"/>
  <c r="D132" i="1"/>
  <c r="E120" i="1"/>
  <c r="E121" i="1"/>
  <c r="E122" i="1"/>
  <c r="D120" i="1"/>
  <c r="D121" i="1"/>
  <c r="D122" i="1"/>
  <c r="E106" i="1"/>
  <c r="E107" i="1"/>
  <c r="E108" i="1"/>
  <c r="D106" i="1"/>
  <c r="D107" i="1"/>
  <c r="D108" i="1"/>
  <c r="E78" i="1"/>
  <c r="E79" i="1"/>
  <c r="E80" i="1"/>
  <c r="D78" i="1"/>
  <c r="D79" i="1"/>
  <c r="D80" i="1"/>
  <c r="E55" i="1"/>
  <c r="E56" i="1"/>
  <c r="E57" i="1"/>
  <c r="D55" i="1"/>
  <c r="D56" i="1"/>
  <c r="D57" i="1"/>
  <c r="E45" i="1"/>
  <c r="E46" i="1"/>
  <c r="E47" i="1"/>
  <c r="D45" i="1"/>
  <c r="D46" i="1"/>
  <c r="D47" i="1"/>
  <c r="E35" i="1"/>
  <c r="E36" i="1"/>
  <c r="E37" i="1"/>
  <c r="D35" i="1"/>
  <c r="D36" i="1"/>
  <c r="D37" i="1"/>
  <c r="E25" i="1"/>
  <c r="E26" i="1"/>
  <c r="E11" i="1"/>
  <c r="E12" i="1"/>
  <c r="E13" i="1"/>
  <c r="D24" i="1"/>
  <c r="D25" i="1"/>
  <c r="D26" i="1"/>
  <c r="D11" i="1"/>
  <c r="D12" i="1"/>
  <c r="D13" i="1"/>
  <c r="C22" i="3"/>
  <c r="C23" i="3"/>
  <c r="C24" i="3"/>
  <c r="B22" i="3"/>
  <c r="B23" i="3"/>
  <c r="B24" i="3"/>
  <c r="C12" i="3"/>
  <c r="C13" i="3"/>
  <c r="C14" i="3"/>
  <c r="B12" i="3"/>
  <c r="B13" i="3"/>
  <c r="B14" i="3"/>
  <c r="AA177" i="1"/>
  <c r="AA178" i="1"/>
  <c r="AA179" i="1"/>
  <c r="AA163" i="1"/>
  <c r="AA164" i="1"/>
  <c r="AA165" i="1"/>
  <c r="AA153" i="1"/>
  <c r="AA154" i="1"/>
  <c r="AA155" i="1"/>
  <c r="AA140" i="1"/>
  <c r="AA141" i="1"/>
  <c r="AA142" i="1"/>
  <c r="AA130" i="1"/>
  <c r="AA131" i="1"/>
  <c r="AA132" i="1"/>
  <c r="AA120" i="1"/>
  <c r="AA121" i="1"/>
  <c r="AA122" i="1"/>
  <c r="AA106" i="1"/>
  <c r="AA107" i="1"/>
  <c r="AA108" i="1"/>
  <c r="AA80" i="1"/>
  <c r="AA78" i="1"/>
  <c r="AA79" i="1"/>
  <c r="AA55" i="1"/>
  <c r="AA56" i="1"/>
  <c r="AA57" i="1"/>
  <c r="AA45" i="1"/>
  <c r="AA46" i="1"/>
  <c r="AA47" i="1"/>
  <c r="AA35" i="1"/>
  <c r="AA36" i="1"/>
  <c r="AA37" i="1"/>
  <c r="AA24" i="1"/>
  <c r="AA25" i="1"/>
  <c r="AA26" i="1"/>
  <c r="AA11" i="1"/>
  <c r="AA12" i="1"/>
  <c r="AA13" i="1"/>
  <c r="I108" i="3" l="1"/>
  <c r="I36" i="10"/>
  <c r="H41" i="10" s="1"/>
  <c r="T50" i="1" s="1"/>
  <c r="I19" i="6"/>
  <c r="H41" i="5"/>
  <c r="J50" i="1" s="1"/>
  <c r="X145" i="13"/>
  <c r="H118" i="10"/>
  <c r="T145" i="1" s="1"/>
  <c r="H118" i="8"/>
  <c r="P145" i="1" s="1"/>
  <c r="P32" i="3"/>
  <c r="P64" i="3"/>
  <c r="P91" i="3"/>
  <c r="P90" i="3"/>
  <c r="H23" i="3"/>
  <c r="P30" i="3"/>
  <c r="P89" i="3"/>
  <c r="I82" i="10"/>
  <c r="I74" i="7"/>
  <c r="I122" i="9"/>
  <c r="H128" i="9" s="1"/>
  <c r="R158" i="1" s="1"/>
  <c r="I72" i="4"/>
  <c r="I122" i="5"/>
  <c r="I121" i="5"/>
  <c r="I97" i="6"/>
  <c r="I122" i="7"/>
  <c r="H128" i="7" s="1"/>
  <c r="N158" i="1" s="1"/>
  <c r="I82" i="7"/>
  <c r="I70" i="9"/>
  <c r="H93" i="9" s="1"/>
  <c r="R111" i="1" s="1"/>
  <c r="I82" i="11"/>
  <c r="H128" i="11"/>
  <c r="V158" i="1" s="1"/>
  <c r="P44" i="3"/>
  <c r="I38" i="3"/>
  <c r="F22" i="3"/>
  <c r="F37" i="3"/>
  <c r="F24" i="3"/>
  <c r="G23" i="3"/>
  <c r="P31" i="3"/>
  <c r="P65" i="3"/>
  <c r="I102" i="3"/>
  <c r="P14" i="3"/>
  <c r="F46" i="3"/>
  <c r="F66" i="3"/>
  <c r="H91" i="3"/>
  <c r="I22" i="3"/>
  <c r="F45" i="3"/>
  <c r="P46" i="3"/>
  <c r="G66" i="3"/>
  <c r="I90" i="3"/>
  <c r="G45" i="3"/>
  <c r="P45" i="3"/>
  <c r="H66" i="3"/>
  <c r="F23" i="3"/>
  <c r="H46" i="3"/>
  <c r="I64" i="3"/>
  <c r="H45" i="3"/>
  <c r="F32" i="3"/>
  <c r="I46" i="3"/>
  <c r="G22" i="3"/>
  <c r="P24" i="3"/>
  <c r="G32" i="3"/>
  <c r="F101" i="3"/>
  <c r="P13" i="3"/>
  <c r="P12" i="3"/>
  <c r="P23" i="3"/>
  <c r="H32" i="3"/>
  <c r="P66" i="3"/>
  <c r="F89" i="3"/>
  <c r="G100" i="3"/>
  <c r="I36" i="4"/>
  <c r="H41" i="4" s="1"/>
  <c r="H50" i="1" s="1"/>
  <c r="H104" i="10"/>
  <c r="T125" i="1" s="1"/>
  <c r="H41" i="7"/>
  <c r="N50" i="1" s="1"/>
  <c r="H41" i="9"/>
  <c r="R50" i="1" s="1"/>
  <c r="P22" i="3"/>
  <c r="F30" i="3"/>
  <c r="I31" i="3"/>
  <c r="F38" i="3"/>
  <c r="I39" i="3"/>
  <c r="I44" i="3"/>
  <c r="F64" i="3"/>
  <c r="I65" i="3"/>
  <c r="F90" i="3"/>
  <c r="I91" i="3"/>
  <c r="F102" i="3"/>
  <c r="H100" i="3"/>
  <c r="I24" i="3"/>
  <c r="G31" i="3"/>
  <c r="G39" i="3"/>
  <c r="I37" i="3"/>
  <c r="G44" i="3"/>
  <c r="G65" i="3"/>
  <c r="G91" i="3"/>
  <c r="I89" i="3"/>
  <c r="F100" i="3"/>
  <c r="I101" i="3"/>
  <c r="G30" i="3"/>
  <c r="I30" i="3" s="1"/>
  <c r="G38" i="3"/>
  <c r="G64" i="3"/>
  <c r="G90" i="3"/>
  <c r="G102" i="3"/>
  <c r="G24" i="3"/>
  <c r="G37" i="3"/>
  <c r="G89" i="3"/>
  <c r="G101" i="3"/>
  <c r="H31" i="3"/>
  <c r="H39" i="3"/>
  <c r="H44" i="3"/>
  <c r="H65" i="3"/>
  <c r="G13" i="3"/>
  <c r="G12" i="3"/>
  <c r="H13" i="3"/>
  <c r="H12" i="3"/>
  <c r="I13" i="3"/>
  <c r="I12" i="3"/>
  <c r="T50" i="13" l="1"/>
  <c r="J50" i="13"/>
  <c r="N158" i="13"/>
  <c r="N50" i="13"/>
  <c r="R50" i="13"/>
  <c r="P145" i="13"/>
  <c r="T125" i="13"/>
  <c r="R111" i="13"/>
  <c r="H50" i="13"/>
  <c r="T145" i="13"/>
  <c r="V158" i="13"/>
  <c r="R158" i="13"/>
  <c r="I23" i="3"/>
  <c r="D1" i="1"/>
  <c r="B2" i="8" l="1"/>
  <c r="B2" i="9"/>
  <c r="B2" i="4"/>
  <c r="B2" i="6"/>
  <c r="B2" i="5"/>
  <c r="B2" i="11"/>
  <c r="B2" i="10"/>
  <c r="B2" i="7"/>
  <c r="B2" i="12"/>
  <c r="B149" i="11" l="1"/>
  <c r="B149" i="10"/>
  <c r="B149" i="12"/>
  <c r="B149" i="8"/>
  <c r="B149" i="7"/>
  <c r="B149" i="9"/>
  <c r="B149" i="6"/>
  <c r="B149" i="4"/>
  <c r="B149" i="5"/>
  <c r="O124" i="4" l="1"/>
  <c r="O100" i="4"/>
  <c r="O90" i="4"/>
  <c r="O44" i="4"/>
  <c r="O30" i="4"/>
  <c r="O109" i="4"/>
  <c r="O89" i="4"/>
  <c r="O144" i="4"/>
  <c r="O133" i="4"/>
  <c r="O108" i="4"/>
  <c r="O39" i="4"/>
  <c r="O14" i="4"/>
  <c r="O143" i="4"/>
  <c r="O132" i="4"/>
  <c r="O107" i="4"/>
  <c r="O38" i="4"/>
  <c r="O13" i="4"/>
  <c r="O142" i="4"/>
  <c r="O131" i="4"/>
  <c r="O37" i="4"/>
  <c r="O24" i="4"/>
  <c r="O12" i="4"/>
  <c r="O116" i="4"/>
  <c r="O66" i="4"/>
  <c r="O23" i="4"/>
  <c r="O125" i="4"/>
  <c r="O114" i="4"/>
  <c r="O101" i="4"/>
  <c r="O91" i="4"/>
  <c r="O64" i="4"/>
  <c r="O45" i="4"/>
  <c r="O31" i="4"/>
  <c r="O126" i="4"/>
  <c r="O46" i="4"/>
  <c r="O115" i="4"/>
  <c r="O32" i="4"/>
  <c r="O102" i="4"/>
  <c r="O65" i="4"/>
  <c r="O22" i="4"/>
  <c r="D190" i="1"/>
  <c r="O91" i="5" l="1"/>
  <c r="P91" i="4"/>
  <c r="O38" i="5"/>
  <c r="P38" i="4"/>
  <c r="O109" i="5"/>
  <c r="P109" i="4"/>
  <c r="O107" i="5"/>
  <c r="P107" i="4"/>
  <c r="H107" i="4" s="1"/>
  <c r="I107" i="4" s="1"/>
  <c r="O102" i="5"/>
  <c r="P102" i="4"/>
  <c r="O132" i="5"/>
  <c r="P132" i="4"/>
  <c r="O31" i="5"/>
  <c r="P31" i="4"/>
  <c r="P114" i="4"/>
  <c r="O114" i="5"/>
  <c r="O66" i="5"/>
  <c r="P66" i="4"/>
  <c r="O12" i="5"/>
  <c r="P12" i="4"/>
  <c r="O143" i="5"/>
  <c r="P143" i="4"/>
  <c r="O90" i="5"/>
  <c r="P90" i="4"/>
  <c r="O32" i="5"/>
  <c r="P32" i="4"/>
  <c r="O115" i="5"/>
  <c r="P115" i="4"/>
  <c r="O45" i="5"/>
  <c r="P45" i="4"/>
  <c r="P125" i="4"/>
  <c r="O125" i="5"/>
  <c r="O24" i="5"/>
  <c r="P24" i="4"/>
  <c r="O14" i="5"/>
  <c r="P14" i="4"/>
  <c r="O108" i="5"/>
  <c r="P108" i="4"/>
  <c r="O100" i="5"/>
  <c r="P100" i="4"/>
  <c r="O101" i="5"/>
  <c r="P101" i="4"/>
  <c r="O37" i="5"/>
  <c r="P37" i="4"/>
  <c r="P131" i="4"/>
  <c r="O131" i="5"/>
  <c r="O39" i="5"/>
  <c r="P39" i="4"/>
  <c r="O30" i="5"/>
  <c r="P30" i="4"/>
  <c r="H30" i="4" s="1"/>
  <c r="I30" i="4" s="1"/>
  <c r="O22" i="5"/>
  <c r="P22" i="4"/>
  <c r="P46" i="4"/>
  <c r="O46" i="5"/>
  <c r="O126" i="5"/>
  <c r="P126" i="4"/>
  <c r="O64" i="5"/>
  <c r="P64" i="4"/>
  <c r="P142" i="4"/>
  <c r="O142" i="5"/>
  <c r="O133" i="5"/>
  <c r="P133" i="4"/>
  <c r="O44" i="5"/>
  <c r="P44" i="4"/>
  <c r="O124" i="5"/>
  <c r="P124" i="4"/>
  <c r="O116" i="5"/>
  <c r="P116" i="4"/>
  <c r="O65" i="5"/>
  <c r="P65" i="4"/>
  <c r="O23" i="5"/>
  <c r="P23" i="4"/>
  <c r="H23" i="4" s="1"/>
  <c r="I23" i="4" s="1"/>
  <c r="O13" i="5"/>
  <c r="P13" i="4"/>
  <c r="O144" i="5"/>
  <c r="P144" i="4"/>
  <c r="P89" i="4"/>
  <c r="O89" i="5"/>
  <c r="O46" i="6" l="1"/>
  <c r="P46" i="5"/>
  <c r="O144" i="6"/>
  <c r="P144" i="5"/>
  <c r="O44" i="6"/>
  <c r="P44" i="5"/>
  <c r="O37" i="6"/>
  <c r="P37" i="5"/>
  <c r="O101" i="6"/>
  <c r="P101" i="5"/>
  <c r="O132" i="6"/>
  <c r="P132" i="5"/>
  <c r="O102" i="6"/>
  <c r="P102" i="5"/>
  <c r="O114" i="6"/>
  <c r="P114" i="5"/>
  <c r="O142" i="6"/>
  <c r="P142" i="5"/>
  <c r="O65" i="6"/>
  <c r="P65" i="5"/>
  <c r="O64" i="6"/>
  <c r="P64" i="5"/>
  <c r="O22" i="6"/>
  <c r="P22" i="5"/>
  <c r="O39" i="6"/>
  <c r="P39" i="5"/>
  <c r="O45" i="6"/>
  <c r="P45" i="5"/>
  <c r="O31" i="6"/>
  <c r="P31" i="5"/>
  <c r="O107" i="6"/>
  <c r="P107" i="5"/>
  <c r="H107" i="5" s="1"/>
  <c r="I107" i="5" s="1"/>
  <c r="O125" i="6"/>
  <c r="P125" i="5"/>
  <c r="O23" i="6"/>
  <c r="P23" i="5"/>
  <c r="H23" i="5" s="1"/>
  <c r="I23" i="5" s="1"/>
  <c r="O116" i="6"/>
  <c r="P116" i="5"/>
  <c r="O133" i="6"/>
  <c r="P133" i="5"/>
  <c r="O126" i="6"/>
  <c r="P126" i="5"/>
  <c r="O30" i="6"/>
  <c r="P30" i="5"/>
  <c r="H30" i="5" s="1"/>
  <c r="I30" i="5" s="1"/>
  <c r="P108" i="5"/>
  <c r="O108" i="6"/>
  <c r="O24" i="6"/>
  <c r="P24" i="5"/>
  <c r="O115" i="6"/>
  <c r="P115" i="5"/>
  <c r="O12" i="6"/>
  <c r="P12" i="5"/>
  <c r="P89" i="5"/>
  <c r="O89" i="6"/>
  <c r="P131" i="5"/>
  <c r="O131" i="6"/>
  <c r="O13" i="6"/>
  <c r="P13" i="5"/>
  <c r="O124" i="6"/>
  <c r="P124" i="5"/>
  <c r="O100" i="6"/>
  <c r="P100" i="5"/>
  <c r="O14" i="6"/>
  <c r="P14" i="5"/>
  <c r="O32" i="6"/>
  <c r="P32" i="5"/>
  <c r="O90" i="6"/>
  <c r="P90" i="5"/>
  <c r="P143" i="5"/>
  <c r="O143" i="6"/>
  <c r="O66" i="6"/>
  <c r="P66" i="5"/>
  <c r="O109" i="6"/>
  <c r="P109" i="5"/>
  <c r="O38" i="6"/>
  <c r="P38" i="5"/>
  <c r="O91" i="6"/>
  <c r="P91" i="5"/>
  <c r="E118" i="1"/>
  <c r="O90" i="7" l="1"/>
  <c r="P90" i="6"/>
  <c r="O100" i="7"/>
  <c r="P100" i="6"/>
  <c r="O125" i="7"/>
  <c r="P125" i="6"/>
  <c r="O31" i="7"/>
  <c r="P31" i="6"/>
  <c r="O45" i="7"/>
  <c r="P45" i="6"/>
  <c r="O64" i="7"/>
  <c r="P64" i="6"/>
  <c r="O44" i="7"/>
  <c r="P44" i="6"/>
  <c r="O24" i="7"/>
  <c r="P24" i="6"/>
  <c r="O30" i="7"/>
  <c r="P30" i="6"/>
  <c r="H30" i="6" s="1"/>
  <c r="I30" i="6" s="1"/>
  <c r="O133" i="7"/>
  <c r="P133" i="6"/>
  <c r="O37" i="7"/>
  <c r="P37" i="6"/>
  <c r="O124" i="7"/>
  <c r="P124" i="6"/>
  <c r="O91" i="7"/>
  <c r="P91" i="6"/>
  <c r="O32" i="7"/>
  <c r="P32" i="6"/>
  <c r="O108" i="7"/>
  <c r="P108" i="6"/>
  <c r="O107" i="7"/>
  <c r="P107" i="6"/>
  <c r="H107" i="6" s="1"/>
  <c r="I107" i="6" s="1"/>
  <c r="O39" i="7"/>
  <c r="P39" i="6"/>
  <c r="O114" i="7"/>
  <c r="P114" i="6"/>
  <c r="O12" i="7"/>
  <c r="P12" i="6"/>
  <c r="O116" i="7"/>
  <c r="P116" i="6"/>
  <c r="O132" i="7"/>
  <c r="P132" i="6"/>
  <c r="O38" i="7"/>
  <c r="P38" i="6"/>
  <c r="O66" i="7"/>
  <c r="P66" i="6"/>
  <c r="O65" i="7"/>
  <c r="P65" i="6"/>
  <c r="O144" i="7"/>
  <c r="P144" i="6"/>
  <c r="O115" i="7"/>
  <c r="P115" i="6"/>
  <c r="P143" i="6"/>
  <c r="O143" i="7"/>
  <c r="O13" i="7"/>
  <c r="P13" i="6"/>
  <c r="O131" i="7"/>
  <c r="P131" i="6"/>
  <c r="O89" i="7"/>
  <c r="P89" i="6"/>
  <c r="O126" i="7"/>
  <c r="P126" i="6"/>
  <c r="O23" i="7"/>
  <c r="P23" i="6"/>
  <c r="H23" i="6" s="1"/>
  <c r="I23" i="6" s="1"/>
  <c r="O142" i="7"/>
  <c r="P142" i="6"/>
  <c r="O102" i="7"/>
  <c r="P102" i="6"/>
  <c r="O101" i="7"/>
  <c r="P101" i="6"/>
  <c r="O109" i="7"/>
  <c r="P109" i="6"/>
  <c r="O14" i="7"/>
  <c r="P14" i="6"/>
  <c r="P22" i="6"/>
  <c r="O22" i="7"/>
  <c r="O46" i="7"/>
  <c r="P46" i="6"/>
  <c r="E21" i="1"/>
  <c r="O46" i="8" l="1"/>
  <c r="P46" i="7"/>
  <c r="O126" i="8"/>
  <c r="P126" i="7"/>
  <c r="O89" i="8"/>
  <c r="P89" i="7"/>
  <c r="P108" i="7"/>
  <c r="O108" i="8"/>
  <c r="O32" i="8"/>
  <c r="P32" i="7"/>
  <c r="O37" i="8"/>
  <c r="P37" i="7"/>
  <c r="O133" i="8"/>
  <c r="P133" i="7"/>
  <c r="O65" i="8"/>
  <c r="P65" i="7"/>
  <c r="O131" i="8"/>
  <c r="P131" i="7"/>
  <c r="P115" i="7"/>
  <c r="O115" i="8"/>
  <c r="O66" i="8"/>
  <c r="P66" i="7"/>
  <c r="O12" i="8"/>
  <c r="P12" i="7"/>
  <c r="O107" i="8"/>
  <c r="P107" i="7"/>
  <c r="H107" i="7" s="1"/>
  <c r="I107" i="7" s="1"/>
  <c r="O30" i="8"/>
  <c r="P30" i="7"/>
  <c r="H30" i="7" s="1"/>
  <c r="I30" i="7" s="1"/>
  <c r="O44" i="8"/>
  <c r="P44" i="7"/>
  <c r="O142" i="8"/>
  <c r="P142" i="7"/>
  <c r="O45" i="8"/>
  <c r="P45" i="7"/>
  <c r="O102" i="8"/>
  <c r="P102" i="7"/>
  <c r="O13" i="8"/>
  <c r="P13" i="7"/>
  <c r="O144" i="8"/>
  <c r="P144" i="7"/>
  <c r="O38" i="8"/>
  <c r="P38" i="7"/>
  <c r="O91" i="8"/>
  <c r="P91" i="7"/>
  <c r="O24" i="8"/>
  <c r="P24" i="7"/>
  <c r="O14" i="8"/>
  <c r="P14" i="7"/>
  <c r="O101" i="8"/>
  <c r="P101" i="7"/>
  <c r="O143" i="8"/>
  <c r="P143" i="7"/>
  <c r="O31" i="8"/>
  <c r="P31" i="7"/>
  <c r="P100" i="7"/>
  <c r="O100" i="8"/>
  <c r="O23" i="8"/>
  <c r="P23" i="7"/>
  <c r="H23" i="7" s="1"/>
  <c r="I23" i="7" s="1"/>
  <c r="O132" i="8"/>
  <c r="P132" i="7"/>
  <c r="O116" i="8"/>
  <c r="P116" i="7"/>
  <c r="O114" i="8"/>
  <c r="P114" i="7"/>
  <c r="P39" i="7"/>
  <c r="O39" i="8"/>
  <c r="P124" i="7"/>
  <c r="O124" i="8"/>
  <c r="O64" i="8"/>
  <c r="P64" i="7"/>
  <c r="O22" i="8"/>
  <c r="P22" i="7"/>
  <c r="O109" i="8"/>
  <c r="P109" i="7"/>
  <c r="O125" i="8"/>
  <c r="P125" i="7"/>
  <c r="O90" i="8"/>
  <c r="P90" i="7"/>
  <c r="B149" i="3"/>
  <c r="O125" i="9" l="1"/>
  <c r="P125" i="8"/>
  <c r="O124" i="9"/>
  <c r="P124" i="8"/>
  <c r="O31" i="9"/>
  <c r="P31" i="8"/>
  <c r="P101" i="8"/>
  <c r="O101" i="9"/>
  <c r="O24" i="9"/>
  <c r="P24" i="8"/>
  <c r="O144" i="9"/>
  <c r="P144" i="8"/>
  <c r="O142" i="9"/>
  <c r="P142" i="8"/>
  <c r="O37" i="9"/>
  <c r="P37" i="8"/>
  <c r="O116" i="9"/>
  <c r="P116" i="8"/>
  <c r="O23" i="9"/>
  <c r="P23" i="8"/>
  <c r="H23" i="8" s="1"/>
  <c r="I23" i="8" s="1"/>
  <c r="O30" i="9"/>
  <c r="P30" i="8"/>
  <c r="H30" i="8" s="1"/>
  <c r="I30" i="8" s="1"/>
  <c r="O46" i="9"/>
  <c r="P46" i="8"/>
  <c r="O131" i="9"/>
  <c r="P131" i="8"/>
  <c r="O32" i="9"/>
  <c r="P32" i="8"/>
  <c r="O22" i="9"/>
  <c r="P22" i="8"/>
  <c r="O100" i="9"/>
  <c r="P100" i="8"/>
  <c r="P107" i="8"/>
  <c r="H107" i="8" s="1"/>
  <c r="I107" i="8" s="1"/>
  <c r="O107" i="9"/>
  <c r="O108" i="9"/>
  <c r="P108" i="8"/>
  <c r="O14" i="9"/>
  <c r="P14" i="8"/>
  <c r="O13" i="9"/>
  <c r="P13" i="8"/>
  <c r="O90" i="9"/>
  <c r="P90" i="8"/>
  <c r="O39" i="9"/>
  <c r="P39" i="8"/>
  <c r="P38" i="8"/>
  <c r="O38" i="9"/>
  <c r="O45" i="9"/>
  <c r="P45" i="8"/>
  <c r="O133" i="9"/>
  <c r="P133" i="8"/>
  <c r="O89" i="9"/>
  <c r="P89" i="8"/>
  <c r="O109" i="9"/>
  <c r="P109" i="8"/>
  <c r="P143" i="8"/>
  <c r="O143" i="9"/>
  <c r="O64" i="9"/>
  <c r="P64" i="8"/>
  <c r="O132" i="9"/>
  <c r="P132" i="8"/>
  <c r="O66" i="9"/>
  <c r="P66" i="8"/>
  <c r="O102" i="9"/>
  <c r="P102" i="8"/>
  <c r="O65" i="9"/>
  <c r="P65" i="8"/>
  <c r="O126" i="9"/>
  <c r="P126" i="8"/>
  <c r="O91" i="9"/>
  <c r="P91" i="8"/>
  <c r="O114" i="9"/>
  <c r="P114" i="8"/>
  <c r="O44" i="9"/>
  <c r="P44" i="8"/>
  <c r="P12" i="8"/>
  <c r="O12" i="9"/>
  <c r="O115" i="9"/>
  <c r="P115" i="8"/>
  <c r="O9" i="3"/>
  <c r="O9" i="4" s="1"/>
  <c r="E138" i="3"/>
  <c r="H138" i="3" s="1"/>
  <c r="E139" i="3"/>
  <c r="H139" i="3" s="1"/>
  <c r="E140" i="3"/>
  <c r="H140" i="3" s="1"/>
  <c r="E141" i="3"/>
  <c r="H141" i="3" s="1"/>
  <c r="E137" i="3"/>
  <c r="E130" i="3"/>
  <c r="E121" i="3"/>
  <c r="E122" i="3"/>
  <c r="E123" i="3"/>
  <c r="E120" i="3"/>
  <c r="E113" i="3"/>
  <c r="E106" i="3"/>
  <c r="E96" i="3"/>
  <c r="E97" i="3"/>
  <c r="E98" i="3"/>
  <c r="E99" i="3"/>
  <c r="H99" i="3" s="1"/>
  <c r="E95" i="3"/>
  <c r="E71" i="3"/>
  <c r="E72" i="3"/>
  <c r="E73" i="3"/>
  <c r="E74" i="3"/>
  <c r="E75" i="3"/>
  <c r="E76" i="3"/>
  <c r="E77" i="3"/>
  <c r="E78" i="3"/>
  <c r="H78" i="3" s="1"/>
  <c r="E79" i="3"/>
  <c r="H79" i="3" s="1"/>
  <c r="E80" i="3"/>
  <c r="H80" i="3" s="1"/>
  <c r="E81" i="3"/>
  <c r="H81" i="3" s="1"/>
  <c r="E82" i="3"/>
  <c r="H82" i="3" s="1"/>
  <c r="E83" i="3"/>
  <c r="H83" i="3" s="1"/>
  <c r="E84" i="3"/>
  <c r="H84" i="3" s="1"/>
  <c r="E85" i="3"/>
  <c r="H85" i="3" s="1"/>
  <c r="E86" i="3"/>
  <c r="H86" i="3" s="1"/>
  <c r="E87" i="3"/>
  <c r="H87" i="3" s="1"/>
  <c r="E88" i="3"/>
  <c r="H88" i="3" s="1"/>
  <c r="E7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50" i="3"/>
  <c r="E43" i="3"/>
  <c r="E36" i="3"/>
  <c r="E29" i="3"/>
  <c r="E28" i="3"/>
  <c r="E19" i="3"/>
  <c r="E20" i="3"/>
  <c r="E21" i="3"/>
  <c r="E18" i="3"/>
  <c r="E10" i="3"/>
  <c r="E11" i="3"/>
  <c r="F11" i="3" s="1"/>
  <c r="E9" i="3"/>
  <c r="O9" i="5" l="1"/>
  <c r="P9" i="4"/>
  <c r="H36" i="8"/>
  <c r="I36" i="8" s="1"/>
  <c r="H41" i="8" s="1"/>
  <c r="P50" i="1" s="1"/>
  <c r="O89" i="10"/>
  <c r="P89" i="9"/>
  <c r="O39" i="10"/>
  <c r="P39" i="9"/>
  <c r="O108" i="10"/>
  <c r="P108" i="9"/>
  <c r="O100" i="10"/>
  <c r="P100" i="9"/>
  <c r="O22" i="10"/>
  <c r="P22" i="9"/>
  <c r="O46" i="10"/>
  <c r="P46" i="9"/>
  <c r="O14" i="10"/>
  <c r="P14" i="9"/>
  <c r="O131" i="10"/>
  <c r="P131" i="9"/>
  <c r="O30" i="10"/>
  <c r="P30" i="9"/>
  <c r="H30" i="9" s="1"/>
  <c r="I30" i="9" s="1"/>
  <c r="O65" i="10"/>
  <c r="P65" i="9"/>
  <c r="O24" i="10"/>
  <c r="P24" i="9"/>
  <c r="O45" i="10"/>
  <c r="P45" i="9"/>
  <c r="P107" i="9"/>
  <c r="H107" i="9" s="1"/>
  <c r="I107" i="9" s="1"/>
  <c r="O107" i="10"/>
  <c r="O12" i="10"/>
  <c r="P12" i="9"/>
  <c r="O126" i="10"/>
  <c r="P126" i="9"/>
  <c r="O102" i="10"/>
  <c r="P102" i="9"/>
  <c r="P66" i="9"/>
  <c r="O66" i="10"/>
  <c r="O64" i="10"/>
  <c r="P64" i="9"/>
  <c r="O32" i="10"/>
  <c r="P32" i="9"/>
  <c r="O31" i="10"/>
  <c r="P31" i="9"/>
  <c r="O90" i="10"/>
  <c r="P90" i="9"/>
  <c r="O133" i="10"/>
  <c r="P133" i="9"/>
  <c r="O13" i="10"/>
  <c r="P13" i="9"/>
  <c r="P23" i="9"/>
  <c r="H23" i="9" s="1"/>
  <c r="I23" i="9" s="1"/>
  <c r="O23" i="10"/>
  <c r="O101" i="10"/>
  <c r="P101" i="9"/>
  <c r="P115" i="9"/>
  <c r="O115" i="10"/>
  <c r="O109" i="10"/>
  <c r="P109" i="9"/>
  <c r="O37" i="10"/>
  <c r="P37" i="9"/>
  <c r="O114" i="10"/>
  <c r="P114" i="9"/>
  <c r="O144" i="10"/>
  <c r="P144" i="9"/>
  <c r="O124" i="10"/>
  <c r="P124" i="9"/>
  <c r="O116" i="10"/>
  <c r="P116" i="9"/>
  <c r="O44" i="10"/>
  <c r="P44" i="9"/>
  <c r="O91" i="10"/>
  <c r="P91" i="9"/>
  <c r="O132" i="10"/>
  <c r="P132" i="9"/>
  <c r="P143" i="9"/>
  <c r="O143" i="10"/>
  <c r="O38" i="10"/>
  <c r="P38" i="9"/>
  <c r="O142" i="10"/>
  <c r="P142" i="9"/>
  <c r="O125" i="10"/>
  <c r="P125" i="9"/>
  <c r="O138" i="3"/>
  <c r="O138" i="4" s="1"/>
  <c r="O139" i="3"/>
  <c r="O139" i="4" s="1"/>
  <c r="O140" i="3"/>
  <c r="O140" i="4" s="1"/>
  <c r="O141" i="3"/>
  <c r="O141" i="4" s="1"/>
  <c r="O137" i="3"/>
  <c r="O137" i="4" s="1"/>
  <c r="O130" i="3"/>
  <c r="O130" i="4" s="1"/>
  <c r="O121" i="3"/>
  <c r="O121" i="4" s="1"/>
  <c r="O122" i="3"/>
  <c r="O122" i="4" s="1"/>
  <c r="O123" i="3"/>
  <c r="O123" i="4" s="1"/>
  <c r="O120" i="3"/>
  <c r="O120" i="4" s="1"/>
  <c r="O113" i="3"/>
  <c r="O113" i="4" s="1"/>
  <c r="O106" i="3"/>
  <c r="O106" i="4" s="1"/>
  <c r="O96" i="3"/>
  <c r="O96" i="4" s="1"/>
  <c r="O97" i="3"/>
  <c r="O97" i="4" s="1"/>
  <c r="O98" i="3"/>
  <c r="O98" i="4" s="1"/>
  <c r="O99" i="3"/>
  <c r="O99" i="4" s="1"/>
  <c r="O95" i="3"/>
  <c r="O95" i="4" s="1"/>
  <c r="O71" i="3"/>
  <c r="O71" i="4" s="1"/>
  <c r="O72" i="3"/>
  <c r="O72" i="4" s="1"/>
  <c r="O73" i="3"/>
  <c r="O73" i="4" s="1"/>
  <c r="O74" i="3"/>
  <c r="O74" i="4" s="1"/>
  <c r="O75" i="3"/>
  <c r="O75" i="4" s="1"/>
  <c r="O76" i="3"/>
  <c r="O76" i="4" s="1"/>
  <c r="O77" i="3"/>
  <c r="O77" i="4" s="1"/>
  <c r="O78" i="3"/>
  <c r="O78" i="4" s="1"/>
  <c r="O79" i="3"/>
  <c r="O79" i="4" s="1"/>
  <c r="O80" i="3"/>
  <c r="O80" i="4" s="1"/>
  <c r="O81" i="3"/>
  <c r="O81" i="4" s="1"/>
  <c r="O82" i="3"/>
  <c r="O82" i="4" s="1"/>
  <c r="O83" i="3"/>
  <c r="O83" i="4" s="1"/>
  <c r="O84" i="3"/>
  <c r="O84" i="4" s="1"/>
  <c r="O85" i="3"/>
  <c r="O85" i="4" s="1"/>
  <c r="O86" i="3"/>
  <c r="O86" i="4" s="1"/>
  <c r="O87" i="3"/>
  <c r="O87" i="4" s="1"/>
  <c r="O88" i="3"/>
  <c r="O88" i="4" s="1"/>
  <c r="O70" i="3"/>
  <c r="O70" i="4" s="1"/>
  <c r="O51" i="3"/>
  <c r="O51" i="4" s="1"/>
  <c r="O52" i="3"/>
  <c r="O52" i="4" s="1"/>
  <c r="O53" i="3"/>
  <c r="O53" i="4" s="1"/>
  <c r="O54" i="3"/>
  <c r="O54" i="4" s="1"/>
  <c r="O55" i="3"/>
  <c r="O55" i="4" s="1"/>
  <c r="O56" i="3"/>
  <c r="O56" i="4" s="1"/>
  <c r="O57" i="3"/>
  <c r="O57" i="4" s="1"/>
  <c r="O58" i="3"/>
  <c r="O58" i="4" s="1"/>
  <c r="O59" i="3"/>
  <c r="O59" i="4" s="1"/>
  <c r="O60" i="3"/>
  <c r="O60" i="4" s="1"/>
  <c r="O61" i="3"/>
  <c r="O61" i="4" s="1"/>
  <c r="O62" i="3"/>
  <c r="O62" i="4" s="1"/>
  <c r="O63" i="3"/>
  <c r="O63" i="4" s="1"/>
  <c r="O50" i="3"/>
  <c r="O50" i="4" s="1"/>
  <c r="O43" i="3"/>
  <c r="O43" i="4" s="1"/>
  <c r="O36" i="3"/>
  <c r="O36" i="4" s="1"/>
  <c r="O29" i="3"/>
  <c r="O29" i="4" s="1"/>
  <c r="O28" i="3"/>
  <c r="O28" i="4" s="1"/>
  <c r="O19" i="3"/>
  <c r="O19" i="4" s="1"/>
  <c r="O20" i="3"/>
  <c r="O20" i="4" s="1"/>
  <c r="O21" i="3"/>
  <c r="O21" i="4" s="1"/>
  <c r="O18" i="3"/>
  <c r="O18" i="4" s="1"/>
  <c r="O10" i="3"/>
  <c r="O10" i="4" s="1"/>
  <c r="O11" i="3"/>
  <c r="O11" i="4" s="1"/>
  <c r="O11" i="5" s="1"/>
  <c r="O11" i="6" s="1"/>
  <c r="O11" i="7" s="1"/>
  <c r="O11" i="8" s="1"/>
  <c r="O11" i="9" s="1"/>
  <c r="O11" i="10" s="1"/>
  <c r="O11" i="11" s="1"/>
  <c r="O11" i="12" s="1"/>
  <c r="M138" i="3"/>
  <c r="N138" i="3"/>
  <c r="M139" i="3"/>
  <c r="N139" i="3"/>
  <c r="M140" i="3"/>
  <c r="N140" i="3"/>
  <c r="M141" i="3"/>
  <c r="N141" i="3"/>
  <c r="N137" i="3"/>
  <c r="M137" i="3"/>
  <c r="N130" i="3"/>
  <c r="M130" i="3"/>
  <c r="M121" i="3"/>
  <c r="N121" i="3"/>
  <c r="M122" i="3"/>
  <c r="N122" i="3"/>
  <c r="M123" i="3"/>
  <c r="N123" i="3"/>
  <c r="N120" i="3"/>
  <c r="M120" i="3"/>
  <c r="N113" i="3"/>
  <c r="M113" i="3"/>
  <c r="N106" i="3"/>
  <c r="M106" i="3"/>
  <c r="N96" i="3"/>
  <c r="N97" i="3"/>
  <c r="N98" i="3"/>
  <c r="N99" i="3"/>
  <c r="N95" i="3"/>
  <c r="M96" i="3"/>
  <c r="M97" i="3"/>
  <c r="M98" i="3"/>
  <c r="M99" i="3"/>
  <c r="M95" i="3"/>
  <c r="M71" i="3"/>
  <c r="N71" i="3"/>
  <c r="M72" i="3"/>
  <c r="N72" i="3"/>
  <c r="M73" i="3"/>
  <c r="N73" i="3"/>
  <c r="M74" i="3"/>
  <c r="N74" i="3"/>
  <c r="M75" i="3"/>
  <c r="N75" i="3"/>
  <c r="M76" i="3"/>
  <c r="N76" i="3"/>
  <c r="M77" i="3"/>
  <c r="N77" i="3"/>
  <c r="M78" i="3"/>
  <c r="N78" i="3"/>
  <c r="M79" i="3"/>
  <c r="N79" i="3"/>
  <c r="M80" i="3"/>
  <c r="N80" i="3"/>
  <c r="M81" i="3"/>
  <c r="N81" i="3"/>
  <c r="M82" i="3"/>
  <c r="N82" i="3"/>
  <c r="M83" i="3"/>
  <c r="N83" i="3"/>
  <c r="M84" i="3"/>
  <c r="N84" i="3"/>
  <c r="M85" i="3"/>
  <c r="N85" i="3"/>
  <c r="M86" i="3"/>
  <c r="N86" i="3"/>
  <c r="M87" i="3"/>
  <c r="N87" i="3"/>
  <c r="M88" i="3"/>
  <c r="N88" i="3"/>
  <c r="M70" i="3"/>
  <c r="M51" i="3"/>
  <c r="N51" i="3"/>
  <c r="M52" i="3"/>
  <c r="N52" i="3"/>
  <c r="M53" i="3"/>
  <c r="N53" i="3"/>
  <c r="M54" i="3"/>
  <c r="N54" i="3"/>
  <c r="M55" i="3"/>
  <c r="N55" i="3"/>
  <c r="M56" i="3"/>
  <c r="N56" i="3"/>
  <c r="M57" i="3"/>
  <c r="N57" i="3"/>
  <c r="M58" i="3"/>
  <c r="N58" i="3"/>
  <c r="M59" i="3"/>
  <c r="N59" i="3"/>
  <c r="M60" i="3"/>
  <c r="N60" i="3"/>
  <c r="M61" i="3"/>
  <c r="N61" i="3"/>
  <c r="M62" i="3"/>
  <c r="N62" i="3"/>
  <c r="M63" i="3"/>
  <c r="N63" i="3"/>
  <c r="M50" i="3"/>
  <c r="M43" i="3"/>
  <c r="M36" i="3"/>
  <c r="M29" i="3"/>
  <c r="N29" i="3"/>
  <c r="M28" i="3"/>
  <c r="M19" i="3"/>
  <c r="N19" i="3"/>
  <c r="M20" i="3"/>
  <c r="N20" i="3"/>
  <c r="M21" i="3"/>
  <c r="N21" i="3"/>
  <c r="M18" i="3"/>
  <c r="M10" i="3"/>
  <c r="N10" i="3"/>
  <c r="M11" i="3"/>
  <c r="N11" i="3"/>
  <c r="M9" i="3"/>
  <c r="N70" i="3"/>
  <c r="N50" i="3"/>
  <c r="N43" i="3"/>
  <c r="N36" i="3"/>
  <c r="N28" i="3"/>
  <c r="N18" i="3"/>
  <c r="N9" i="3"/>
  <c r="AA176" i="1"/>
  <c r="AA175" i="1"/>
  <c r="AA174" i="1"/>
  <c r="AA173" i="1"/>
  <c r="AA152" i="1"/>
  <c r="AA151" i="1"/>
  <c r="AA150" i="1"/>
  <c r="AA119" i="1"/>
  <c r="AA118" i="1"/>
  <c r="AA117" i="1"/>
  <c r="AA116" i="1"/>
  <c r="AA105" i="1"/>
  <c r="AA104" i="1"/>
  <c r="AA103" i="1"/>
  <c r="AA102" i="1"/>
  <c r="AA101" i="1"/>
  <c r="AA100" i="1"/>
  <c r="AA99" i="1"/>
  <c r="AA98" i="1"/>
  <c r="AA97" i="1"/>
  <c r="AA96" i="1"/>
  <c r="AA95" i="1"/>
  <c r="AA94" i="1"/>
  <c r="AA93" i="1"/>
  <c r="AA92" i="1"/>
  <c r="AA91" i="1"/>
  <c r="AA90" i="1"/>
  <c r="AA89" i="1"/>
  <c r="AA88" i="1"/>
  <c r="AA77" i="1"/>
  <c r="AA76" i="1"/>
  <c r="AA75" i="1"/>
  <c r="AA74" i="1"/>
  <c r="AA73" i="1"/>
  <c r="AA72" i="1"/>
  <c r="AA71" i="1"/>
  <c r="AA70" i="1"/>
  <c r="AA69" i="1"/>
  <c r="AA68" i="1"/>
  <c r="AA67" i="1"/>
  <c r="AA65" i="1"/>
  <c r="AA64" i="1"/>
  <c r="AA34" i="1"/>
  <c r="AA23" i="1"/>
  <c r="AA22" i="1"/>
  <c r="AA21" i="1"/>
  <c r="AA10" i="1"/>
  <c r="AA9" i="1"/>
  <c r="P50" i="13" l="1"/>
  <c r="O21" i="5"/>
  <c r="P21" i="4"/>
  <c r="O63" i="5"/>
  <c r="P63" i="4"/>
  <c r="O55" i="5"/>
  <c r="P55" i="4"/>
  <c r="H55" i="4" s="1"/>
  <c r="I55" i="4" s="1"/>
  <c r="O86" i="5"/>
  <c r="P86" i="4"/>
  <c r="O78" i="5"/>
  <c r="P78" i="4"/>
  <c r="P95" i="4"/>
  <c r="O95" i="5"/>
  <c r="O123" i="5"/>
  <c r="P123" i="4"/>
  <c r="H123" i="4" s="1"/>
  <c r="I123" i="4" s="1"/>
  <c r="O138" i="5"/>
  <c r="P138" i="4"/>
  <c r="H138" i="4" s="1"/>
  <c r="I138" i="4" s="1"/>
  <c r="O20" i="5"/>
  <c r="P20" i="4"/>
  <c r="P62" i="4"/>
  <c r="O62" i="5"/>
  <c r="O54" i="5"/>
  <c r="P54" i="4"/>
  <c r="P85" i="4"/>
  <c r="O85" i="5"/>
  <c r="O77" i="5"/>
  <c r="P77" i="4"/>
  <c r="O99" i="5"/>
  <c r="P99" i="4"/>
  <c r="O122" i="5"/>
  <c r="P122" i="4"/>
  <c r="H122" i="4" s="1"/>
  <c r="I122" i="4" s="1"/>
  <c r="O19" i="5"/>
  <c r="P19" i="4"/>
  <c r="P61" i="4"/>
  <c r="O61" i="5"/>
  <c r="P53" i="4"/>
  <c r="H53" i="4" s="1"/>
  <c r="I53" i="4" s="1"/>
  <c r="O53" i="5"/>
  <c r="P84" i="4"/>
  <c r="O84" i="5"/>
  <c r="O76" i="5"/>
  <c r="P76" i="4"/>
  <c r="O98" i="5"/>
  <c r="P98" i="4"/>
  <c r="P121" i="4"/>
  <c r="H121" i="4" s="1"/>
  <c r="I121" i="4" s="1"/>
  <c r="O121" i="5"/>
  <c r="O28" i="5"/>
  <c r="P28" i="4"/>
  <c r="O60" i="5"/>
  <c r="P60" i="4"/>
  <c r="H60" i="4" s="1"/>
  <c r="I60" i="4" s="1"/>
  <c r="O52" i="5"/>
  <c r="P52" i="4"/>
  <c r="H52" i="4" s="1"/>
  <c r="I52" i="4" s="1"/>
  <c r="O83" i="5"/>
  <c r="P83" i="4"/>
  <c r="H83" i="4" s="1"/>
  <c r="I83" i="4" s="1"/>
  <c r="O75" i="5"/>
  <c r="P75" i="4"/>
  <c r="O97" i="5"/>
  <c r="P97" i="4"/>
  <c r="O130" i="5"/>
  <c r="P130" i="4"/>
  <c r="P29" i="4"/>
  <c r="O29" i="5"/>
  <c r="O59" i="5"/>
  <c r="P59" i="4"/>
  <c r="O51" i="5"/>
  <c r="P51" i="4"/>
  <c r="O82" i="5"/>
  <c r="P82" i="4"/>
  <c r="O74" i="5"/>
  <c r="P74" i="4"/>
  <c r="O96" i="5"/>
  <c r="P96" i="4"/>
  <c r="H96" i="4" s="1"/>
  <c r="I96" i="4" s="1"/>
  <c r="O137" i="5"/>
  <c r="P137" i="4"/>
  <c r="P11" i="4"/>
  <c r="H11" i="4" s="1"/>
  <c r="I11" i="4" s="1"/>
  <c r="P36" i="4"/>
  <c r="O41" i="4" s="1"/>
  <c r="O36" i="5"/>
  <c r="O58" i="5"/>
  <c r="P58" i="4"/>
  <c r="O70" i="5"/>
  <c r="P70" i="4"/>
  <c r="O81" i="5"/>
  <c r="P81" i="4"/>
  <c r="P73" i="4"/>
  <c r="O73" i="5"/>
  <c r="P106" i="4"/>
  <c r="O106" i="5"/>
  <c r="O141" i="5"/>
  <c r="P141" i="4"/>
  <c r="O10" i="5"/>
  <c r="P10" i="4"/>
  <c r="H10" i="4" s="1"/>
  <c r="I10" i="4" s="1"/>
  <c r="O43" i="5"/>
  <c r="P43" i="4"/>
  <c r="P57" i="4"/>
  <c r="O57" i="5"/>
  <c r="P88" i="4"/>
  <c r="O88" i="5"/>
  <c r="O80" i="5"/>
  <c r="P80" i="4"/>
  <c r="P72" i="4"/>
  <c r="O72" i="5"/>
  <c r="O113" i="5"/>
  <c r="P113" i="4"/>
  <c r="O140" i="5"/>
  <c r="P140" i="4"/>
  <c r="H9" i="4"/>
  <c r="I9" i="4" s="1"/>
  <c r="P18" i="4"/>
  <c r="H18" i="4" s="1"/>
  <c r="I18" i="4" s="1"/>
  <c r="H26" i="4" s="1"/>
  <c r="H29" i="1" s="1"/>
  <c r="O18" i="5"/>
  <c r="P50" i="4"/>
  <c r="O50" i="5"/>
  <c r="O56" i="5"/>
  <c r="P56" i="4"/>
  <c r="O87" i="5"/>
  <c r="P87" i="4"/>
  <c r="O79" i="5"/>
  <c r="P79" i="4"/>
  <c r="O71" i="5"/>
  <c r="P71" i="4"/>
  <c r="P120" i="4"/>
  <c r="O120" i="5"/>
  <c r="P139" i="4"/>
  <c r="H139" i="4" s="1"/>
  <c r="I139" i="4" s="1"/>
  <c r="O139" i="5"/>
  <c r="O9" i="6"/>
  <c r="P9" i="5"/>
  <c r="H9" i="5" s="1"/>
  <c r="AA172" i="1"/>
  <c r="M145" i="2"/>
  <c r="P145" i="2" s="1"/>
  <c r="AA149" i="1"/>
  <c r="AA115" i="1"/>
  <c r="AA87" i="1"/>
  <c r="O144" i="11"/>
  <c r="P144" i="10"/>
  <c r="O109" i="11"/>
  <c r="P109" i="10"/>
  <c r="O38" i="11"/>
  <c r="P38" i="10"/>
  <c r="O44" i="11"/>
  <c r="P44" i="10"/>
  <c r="O14" i="11"/>
  <c r="P14" i="10"/>
  <c r="O46" i="11"/>
  <c r="P46" i="10"/>
  <c r="O22" i="11"/>
  <c r="P22" i="10"/>
  <c r="O37" i="11"/>
  <c r="P37" i="10"/>
  <c r="O66" i="11"/>
  <c r="P66" i="10"/>
  <c r="O39" i="11"/>
  <c r="P39" i="10"/>
  <c r="P143" i="10"/>
  <c r="O143" i="11"/>
  <c r="O102" i="11"/>
  <c r="P102" i="10"/>
  <c r="O12" i="11"/>
  <c r="P12" i="10"/>
  <c r="O24" i="11"/>
  <c r="P24" i="10"/>
  <c r="O65" i="11"/>
  <c r="P65" i="10"/>
  <c r="O142" i="11"/>
  <c r="P142" i="10"/>
  <c r="O90" i="11"/>
  <c r="P90" i="10"/>
  <c r="O126" i="11"/>
  <c r="P126" i="10"/>
  <c r="O101" i="11"/>
  <c r="P101" i="10"/>
  <c r="O107" i="11"/>
  <c r="P107" i="10"/>
  <c r="H107" i="10" s="1"/>
  <c r="I107" i="10" s="1"/>
  <c r="P89" i="10"/>
  <c r="O89" i="11"/>
  <c r="P132" i="10"/>
  <c r="O132" i="11"/>
  <c r="O91" i="11"/>
  <c r="P91" i="10"/>
  <c r="O124" i="11"/>
  <c r="P124" i="10"/>
  <c r="P114" i="10"/>
  <c r="O114" i="11"/>
  <c r="O131" i="11"/>
  <c r="P131" i="10"/>
  <c r="P108" i="10"/>
  <c r="O108" i="11"/>
  <c r="O116" i="11"/>
  <c r="P116" i="10"/>
  <c r="O30" i="11"/>
  <c r="P30" i="10"/>
  <c r="H30" i="10" s="1"/>
  <c r="I30" i="10" s="1"/>
  <c r="O100" i="11"/>
  <c r="P100" i="10"/>
  <c r="O13" i="11"/>
  <c r="P13" i="10"/>
  <c r="O64" i="11"/>
  <c r="P64" i="10"/>
  <c r="O45" i="11"/>
  <c r="P45" i="10"/>
  <c r="P125" i="10"/>
  <c r="O125" i="11"/>
  <c r="O115" i="11"/>
  <c r="P115" i="10"/>
  <c r="P23" i="10"/>
  <c r="H23" i="10" s="1"/>
  <c r="I23" i="10" s="1"/>
  <c r="O23" i="11"/>
  <c r="O133" i="11"/>
  <c r="P133" i="10"/>
  <c r="O31" i="11"/>
  <c r="P31" i="10"/>
  <c r="O32" i="11"/>
  <c r="P32" i="10"/>
  <c r="AA66" i="1"/>
  <c r="AA33" i="1"/>
  <c r="AA8" i="1"/>
  <c r="AA20" i="1"/>
  <c r="AA129" i="1"/>
  <c r="AA139" i="1"/>
  <c r="AA44" i="1"/>
  <c r="AA162" i="1"/>
  <c r="AA54" i="1"/>
  <c r="D173" i="1"/>
  <c r="D174" i="1"/>
  <c r="D175" i="1"/>
  <c r="D176" i="1"/>
  <c r="D172" i="1"/>
  <c r="D171" i="1"/>
  <c r="D162" i="1"/>
  <c r="D161" i="1"/>
  <c r="D150" i="1"/>
  <c r="D151" i="1"/>
  <c r="D152" i="1"/>
  <c r="D149" i="1"/>
  <c r="D148" i="1"/>
  <c r="D139" i="1"/>
  <c r="D138" i="1"/>
  <c r="D129" i="1"/>
  <c r="D128" i="1"/>
  <c r="D116" i="1"/>
  <c r="D117" i="1"/>
  <c r="D118" i="1"/>
  <c r="D119" i="1"/>
  <c r="D115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87" i="1"/>
  <c r="D86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64" i="1"/>
  <c r="D63" i="1"/>
  <c r="D54" i="1"/>
  <c r="D53" i="1"/>
  <c r="D44" i="1"/>
  <c r="D43" i="1"/>
  <c r="D34" i="1"/>
  <c r="D33" i="1"/>
  <c r="D32" i="1"/>
  <c r="D21" i="1"/>
  <c r="D22" i="1"/>
  <c r="D23" i="1"/>
  <c r="D20" i="1"/>
  <c r="D9" i="1"/>
  <c r="D10" i="1"/>
  <c r="D8" i="1"/>
  <c r="D7" i="1"/>
  <c r="B141" i="3"/>
  <c r="B140" i="3"/>
  <c r="B139" i="3"/>
  <c r="B138" i="3"/>
  <c r="B137" i="3"/>
  <c r="B136" i="3"/>
  <c r="B130" i="3"/>
  <c r="B129" i="3"/>
  <c r="B123" i="3"/>
  <c r="B122" i="3"/>
  <c r="B121" i="3"/>
  <c r="B120" i="3"/>
  <c r="B119" i="3"/>
  <c r="B113" i="3"/>
  <c r="B112" i="3"/>
  <c r="B106" i="3"/>
  <c r="B105" i="3"/>
  <c r="B99" i="3"/>
  <c r="B98" i="3"/>
  <c r="B97" i="3"/>
  <c r="B96" i="3"/>
  <c r="B95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3" i="3"/>
  <c r="B42" i="3"/>
  <c r="B36" i="3"/>
  <c r="B35" i="3"/>
  <c r="B29" i="3"/>
  <c r="B28" i="3"/>
  <c r="B27" i="3"/>
  <c r="B21" i="3"/>
  <c r="B20" i="3"/>
  <c r="B19" i="3"/>
  <c r="B18" i="3"/>
  <c r="B17" i="3"/>
  <c r="B11" i="3"/>
  <c r="B10" i="3"/>
  <c r="C10" i="3"/>
  <c r="B9" i="3"/>
  <c r="B8" i="3"/>
  <c r="H29" i="13" l="1"/>
  <c r="O16" i="4"/>
  <c r="O111" i="4"/>
  <c r="H106" i="4"/>
  <c r="I106" i="4" s="1"/>
  <c r="H111" i="4" s="1"/>
  <c r="H135" i="1" s="1"/>
  <c r="O26" i="4"/>
  <c r="H16" i="4"/>
  <c r="H16" i="1" s="1"/>
  <c r="P120" i="5"/>
  <c r="O120" i="6"/>
  <c r="P88" i="5"/>
  <c r="O88" i="6"/>
  <c r="H70" i="4"/>
  <c r="I70" i="4" s="1"/>
  <c r="H93" i="4" s="1"/>
  <c r="H111" i="1" s="1"/>
  <c r="O93" i="4"/>
  <c r="H137" i="4"/>
  <c r="I137" i="4" s="1"/>
  <c r="H146" i="4" s="1"/>
  <c r="H182" i="1" s="1"/>
  <c r="O146" i="4"/>
  <c r="O85" i="6"/>
  <c r="P85" i="5"/>
  <c r="H120" i="4"/>
  <c r="I120" i="4" s="1"/>
  <c r="H128" i="4" s="1"/>
  <c r="H158" i="1" s="1"/>
  <c r="O128" i="4"/>
  <c r="O56" i="6"/>
  <c r="P56" i="5"/>
  <c r="P140" i="5"/>
  <c r="O140" i="6"/>
  <c r="P141" i="5"/>
  <c r="O141" i="6"/>
  <c r="O70" i="6"/>
  <c r="P70" i="5"/>
  <c r="P137" i="5"/>
  <c r="O137" i="6"/>
  <c r="O51" i="6"/>
  <c r="P51" i="5"/>
  <c r="O97" i="6"/>
  <c r="P97" i="5"/>
  <c r="H97" i="5" s="1"/>
  <c r="I97" i="5" s="1"/>
  <c r="H104" i="5" s="1"/>
  <c r="J125" i="1" s="1"/>
  <c r="O60" i="6"/>
  <c r="P60" i="5"/>
  <c r="O76" i="6"/>
  <c r="P76" i="5"/>
  <c r="H76" i="5" s="1"/>
  <c r="I76" i="5" s="1"/>
  <c r="O19" i="6"/>
  <c r="P19" i="5"/>
  <c r="P138" i="5"/>
  <c r="H138" i="5" s="1"/>
  <c r="I138" i="5" s="1"/>
  <c r="O138" i="6"/>
  <c r="P86" i="5"/>
  <c r="O86" i="6"/>
  <c r="O50" i="6"/>
  <c r="P50" i="5"/>
  <c r="H113" i="4"/>
  <c r="I113" i="4" s="1"/>
  <c r="H118" i="4" s="1"/>
  <c r="H145" i="1" s="1"/>
  <c r="O118" i="4"/>
  <c r="O57" i="6"/>
  <c r="P57" i="5"/>
  <c r="O106" i="6"/>
  <c r="P106" i="5"/>
  <c r="H28" i="4"/>
  <c r="I28" i="4" s="1"/>
  <c r="H34" i="4" s="1"/>
  <c r="H40" i="1" s="1"/>
  <c r="O34" i="4"/>
  <c r="O84" i="6"/>
  <c r="P84" i="5"/>
  <c r="O71" i="6"/>
  <c r="P71" i="5"/>
  <c r="H71" i="5" s="1"/>
  <c r="I71" i="5" s="1"/>
  <c r="H50" i="4"/>
  <c r="I50" i="4" s="1"/>
  <c r="H68" i="4" s="1"/>
  <c r="H83" i="1" s="1"/>
  <c r="O68" i="4"/>
  <c r="O113" i="6"/>
  <c r="P113" i="5"/>
  <c r="O58" i="6"/>
  <c r="P58" i="5"/>
  <c r="O96" i="6"/>
  <c r="P96" i="5"/>
  <c r="O59" i="6"/>
  <c r="P59" i="5"/>
  <c r="O75" i="6"/>
  <c r="P75" i="5"/>
  <c r="O28" i="6"/>
  <c r="P28" i="5"/>
  <c r="O122" i="6"/>
  <c r="P122" i="5"/>
  <c r="P54" i="5"/>
  <c r="O54" i="6"/>
  <c r="O123" i="6"/>
  <c r="P123" i="5"/>
  <c r="O55" i="6"/>
  <c r="P55" i="5"/>
  <c r="H55" i="5" s="1"/>
  <c r="I55" i="5" s="1"/>
  <c r="I9" i="5"/>
  <c r="O18" i="6"/>
  <c r="P18" i="5"/>
  <c r="P72" i="5"/>
  <c r="H72" i="5" s="1"/>
  <c r="I72" i="5" s="1"/>
  <c r="O72" i="6"/>
  <c r="H43" i="4"/>
  <c r="I43" i="4" s="1"/>
  <c r="H48" i="4" s="1"/>
  <c r="H60" i="1" s="1"/>
  <c r="O48" i="4"/>
  <c r="P73" i="5"/>
  <c r="H73" i="5" s="1"/>
  <c r="I73" i="5" s="1"/>
  <c r="O73" i="6"/>
  <c r="O36" i="6"/>
  <c r="P36" i="5"/>
  <c r="O41" i="5" s="1"/>
  <c r="O29" i="6"/>
  <c r="P29" i="5"/>
  <c r="P121" i="5"/>
  <c r="O121" i="6"/>
  <c r="O53" i="6"/>
  <c r="P53" i="5"/>
  <c r="P62" i="5"/>
  <c r="O62" i="6"/>
  <c r="O95" i="6"/>
  <c r="P95" i="5"/>
  <c r="P9" i="6"/>
  <c r="O9" i="7"/>
  <c r="O79" i="6"/>
  <c r="P79" i="5"/>
  <c r="O43" i="6"/>
  <c r="P43" i="5"/>
  <c r="O74" i="6"/>
  <c r="P74" i="5"/>
  <c r="P83" i="5"/>
  <c r="O83" i="6"/>
  <c r="O99" i="6"/>
  <c r="P99" i="5"/>
  <c r="H95" i="4"/>
  <c r="I95" i="4" s="1"/>
  <c r="H104" i="4" s="1"/>
  <c r="H125" i="1" s="1"/>
  <c r="O104" i="4"/>
  <c r="O63" i="6"/>
  <c r="P63" i="5"/>
  <c r="P139" i="5"/>
  <c r="H139" i="5" s="1"/>
  <c r="I139" i="5" s="1"/>
  <c r="O139" i="6"/>
  <c r="H130" i="4"/>
  <c r="I130" i="4" s="1"/>
  <c r="H135" i="4" s="1"/>
  <c r="H168" i="1" s="1"/>
  <c r="O135" i="4"/>
  <c r="O61" i="6"/>
  <c r="P61" i="5"/>
  <c r="O87" i="6"/>
  <c r="P87" i="5"/>
  <c r="P80" i="5"/>
  <c r="O80" i="6"/>
  <c r="O10" i="6"/>
  <c r="P10" i="5"/>
  <c r="H10" i="5" s="1"/>
  <c r="I10" i="5" s="1"/>
  <c r="P81" i="5"/>
  <c r="O81" i="6"/>
  <c r="P11" i="5"/>
  <c r="H11" i="5" s="1"/>
  <c r="I11" i="5" s="1"/>
  <c r="O82" i="6"/>
  <c r="P82" i="5"/>
  <c r="O130" i="6"/>
  <c r="P130" i="5"/>
  <c r="O52" i="6"/>
  <c r="P52" i="5"/>
  <c r="H52" i="5" s="1"/>
  <c r="I52" i="5" s="1"/>
  <c r="P98" i="5"/>
  <c r="O98" i="6"/>
  <c r="O77" i="6"/>
  <c r="P77" i="5"/>
  <c r="H77" i="5" s="1"/>
  <c r="I77" i="5" s="1"/>
  <c r="O20" i="6"/>
  <c r="P20" i="5"/>
  <c r="O78" i="6"/>
  <c r="P78" i="5"/>
  <c r="O21" i="6"/>
  <c r="P21" i="5"/>
  <c r="O133" i="12"/>
  <c r="P133" i="12" s="1"/>
  <c r="P133" i="11"/>
  <c r="O46" i="12"/>
  <c r="P46" i="12" s="1"/>
  <c r="P46" i="11"/>
  <c r="O32" i="12"/>
  <c r="P32" i="12" s="1"/>
  <c r="P32" i="11"/>
  <c r="O23" i="12"/>
  <c r="P23" i="12" s="1"/>
  <c r="H23" i="12" s="1"/>
  <c r="I23" i="12" s="1"/>
  <c r="P23" i="11"/>
  <c r="H23" i="11" s="1"/>
  <c r="I23" i="11" s="1"/>
  <c r="O124" i="12"/>
  <c r="P124" i="12" s="1"/>
  <c r="P124" i="11"/>
  <c r="O107" i="12"/>
  <c r="P107" i="12" s="1"/>
  <c r="H107" i="12" s="1"/>
  <c r="I107" i="12" s="1"/>
  <c r="P107" i="11"/>
  <c r="H107" i="11" s="1"/>
  <c r="I107" i="11" s="1"/>
  <c r="O14" i="12"/>
  <c r="P14" i="12" s="1"/>
  <c r="P14" i="11"/>
  <c r="O126" i="12"/>
  <c r="P126" i="12" s="1"/>
  <c r="P126" i="11"/>
  <c r="O13" i="12"/>
  <c r="P13" i="12" s="1"/>
  <c r="P13" i="11"/>
  <c r="O116" i="12"/>
  <c r="P116" i="12" s="1"/>
  <c r="P116" i="11"/>
  <c r="O12" i="12"/>
  <c r="P12" i="12" s="1"/>
  <c r="P12" i="11"/>
  <c r="O38" i="12"/>
  <c r="P38" i="12" s="1"/>
  <c r="P38" i="11"/>
  <c r="O115" i="12"/>
  <c r="P115" i="12" s="1"/>
  <c r="P115" i="11"/>
  <c r="O30" i="12"/>
  <c r="P30" i="12" s="1"/>
  <c r="H30" i="12" s="1"/>
  <c r="I30" i="12" s="1"/>
  <c r="P30" i="11"/>
  <c r="H30" i="11" s="1"/>
  <c r="I30" i="11" s="1"/>
  <c r="O108" i="12"/>
  <c r="P108" i="12" s="1"/>
  <c r="P108" i="11"/>
  <c r="O114" i="12"/>
  <c r="P114" i="12" s="1"/>
  <c r="P114" i="11"/>
  <c r="O132" i="12"/>
  <c r="P132" i="12" s="1"/>
  <c r="P132" i="11"/>
  <c r="O65" i="12"/>
  <c r="P65" i="12" s="1"/>
  <c r="P65" i="11"/>
  <c r="P102" i="11"/>
  <c r="O102" i="12"/>
  <c r="P102" i="12" s="1"/>
  <c r="O37" i="12"/>
  <c r="P37" i="12" s="1"/>
  <c r="P37" i="11"/>
  <c r="P109" i="11"/>
  <c r="O109" i="12"/>
  <c r="P109" i="12" s="1"/>
  <c r="P31" i="11"/>
  <c r="O31" i="12"/>
  <c r="P31" i="12" s="1"/>
  <c r="O101" i="12"/>
  <c r="P101" i="12" s="1"/>
  <c r="P101" i="11"/>
  <c r="O142" i="12"/>
  <c r="P142" i="12" s="1"/>
  <c r="P142" i="11"/>
  <c r="O90" i="12"/>
  <c r="P90" i="12" s="1"/>
  <c r="P90" i="11"/>
  <c r="P22" i="11"/>
  <c r="O22" i="12"/>
  <c r="P22" i="12" s="1"/>
  <c r="P45" i="11"/>
  <c r="O45" i="12"/>
  <c r="P45" i="12" s="1"/>
  <c r="O131" i="12"/>
  <c r="P131" i="12" s="1"/>
  <c r="P131" i="11"/>
  <c r="O91" i="12"/>
  <c r="P91" i="12" s="1"/>
  <c r="P91" i="11"/>
  <c r="P143" i="11"/>
  <c r="O143" i="12"/>
  <c r="P143" i="12" s="1"/>
  <c r="O125" i="12"/>
  <c r="P125" i="12" s="1"/>
  <c r="P125" i="11"/>
  <c r="O64" i="12"/>
  <c r="P64" i="12" s="1"/>
  <c r="P64" i="11"/>
  <c r="P100" i="11"/>
  <c r="O100" i="12"/>
  <c r="P100" i="12" s="1"/>
  <c r="O89" i="12"/>
  <c r="P89" i="12" s="1"/>
  <c r="P89" i="11"/>
  <c r="P39" i="11"/>
  <c r="O39" i="12"/>
  <c r="P39" i="12" s="1"/>
  <c r="O66" i="12"/>
  <c r="P66" i="12" s="1"/>
  <c r="P66" i="11"/>
  <c r="O44" i="12"/>
  <c r="P44" i="12" s="1"/>
  <c r="P44" i="11"/>
  <c r="O24" i="12"/>
  <c r="P24" i="12" s="1"/>
  <c r="P24" i="11"/>
  <c r="O144" i="12"/>
  <c r="P144" i="12" s="1"/>
  <c r="P144" i="11"/>
  <c r="F147" i="2"/>
  <c r="E67" i="1"/>
  <c r="F138" i="3"/>
  <c r="F139" i="3"/>
  <c r="F140" i="3"/>
  <c r="F141" i="3"/>
  <c r="F121" i="3"/>
  <c r="F122" i="3"/>
  <c r="F123" i="3"/>
  <c r="F99" i="3"/>
  <c r="F98" i="3"/>
  <c r="F97" i="3"/>
  <c r="F96" i="3"/>
  <c r="F95" i="3"/>
  <c r="F88" i="3"/>
  <c r="F87" i="3"/>
  <c r="F86" i="3"/>
  <c r="F85" i="3"/>
  <c r="F84" i="3"/>
  <c r="F83" i="3"/>
  <c r="F82" i="3"/>
  <c r="F81" i="3"/>
  <c r="F80" i="3"/>
  <c r="F79" i="3"/>
  <c r="F78" i="3"/>
  <c r="F77" i="3"/>
  <c r="F76" i="3"/>
  <c r="F75" i="3"/>
  <c r="F74" i="3"/>
  <c r="F73" i="3"/>
  <c r="F72" i="3"/>
  <c r="F71" i="3"/>
  <c r="F70" i="3"/>
  <c r="F9" i="3"/>
  <c r="F63" i="3"/>
  <c r="F57" i="3"/>
  <c r="F58" i="3"/>
  <c r="F59" i="3"/>
  <c r="F56" i="3"/>
  <c r="F54" i="3"/>
  <c r="F53" i="3"/>
  <c r="F55" i="3"/>
  <c r="F60" i="3"/>
  <c r="F61" i="3"/>
  <c r="F62" i="3"/>
  <c r="F51" i="3"/>
  <c r="F52" i="3"/>
  <c r="F29" i="3"/>
  <c r="F19" i="3"/>
  <c r="F20" i="3"/>
  <c r="F21" i="3"/>
  <c r="F137" i="3"/>
  <c r="F130" i="3"/>
  <c r="F120" i="3"/>
  <c r="F113" i="3"/>
  <c r="F106" i="3"/>
  <c r="F50" i="3"/>
  <c r="F43" i="3"/>
  <c r="F36" i="3"/>
  <c r="F28" i="3"/>
  <c r="F18" i="3"/>
  <c r="F10" i="3"/>
  <c r="G138" i="3"/>
  <c r="G139" i="3"/>
  <c r="G140" i="3"/>
  <c r="G141" i="3"/>
  <c r="G121" i="3"/>
  <c r="G122" i="3"/>
  <c r="G123" i="3"/>
  <c r="G96" i="3"/>
  <c r="G97" i="3"/>
  <c r="G98" i="3"/>
  <c r="G99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29" i="3"/>
  <c r="G19" i="3"/>
  <c r="G20" i="3"/>
  <c r="G21" i="3"/>
  <c r="G10" i="3"/>
  <c r="G11" i="3"/>
  <c r="G137" i="3"/>
  <c r="G130" i="3"/>
  <c r="G120" i="3"/>
  <c r="G113" i="3"/>
  <c r="G106" i="3"/>
  <c r="G95" i="3"/>
  <c r="G50" i="3"/>
  <c r="G43" i="3"/>
  <c r="G36" i="3"/>
  <c r="G28" i="3"/>
  <c r="G18" i="3"/>
  <c r="G9" i="3"/>
  <c r="G70" i="3"/>
  <c r="H74" i="3"/>
  <c r="H168" i="13" l="1"/>
  <c r="H145" i="13"/>
  <c r="H182" i="13"/>
  <c r="H60" i="13"/>
  <c r="H135" i="13"/>
  <c r="H40" i="13"/>
  <c r="H111" i="13"/>
  <c r="H83" i="13"/>
  <c r="H158" i="13"/>
  <c r="H125" i="13"/>
  <c r="J125" i="13"/>
  <c r="H16" i="13"/>
  <c r="H16" i="5"/>
  <c r="J16" i="1" s="1"/>
  <c r="H148" i="4"/>
  <c r="O21" i="7"/>
  <c r="P21" i="6"/>
  <c r="P11" i="6"/>
  <c r="H11" i="6" s="1"/>
  <c r="I11" i="6" s="1"/>
  <c r="O87" i="7"/>
  <c r="P87" i="6"/>
  <c r="H9" i="6"/>
  <c r="I9" i="6" s="1"/>
  <c r="O55" i="7"/>
  <c r="P55" i="6"/>
  <c r="H55" i="6" s="1"/>
  <c r="I55" i="6" s="1"/>
  <c r="O28" i="7"/>
  <c r="P28" i="6"/>
  <c r="O58" i="7"/>
  <c r="P58" i="6"/>
  <c r="O84" i="7"/>
  <c r="P84" i="6"/>
  <c r="O19" i="7"/>
  <c r="P19" i="6"/>
  <c r="O51" i="7"/>
  <c r="P51" i="6"/>
  <c r="O81" i="7"/>
  <c r="P81" i="6"/>
  <c r="O104" i="5"/>
  <c r="O72" i="7"/>
  <c r="P72" i="6"/>
  <c r="H113" i="5"/>
  <c r="I113" i="5" s="1"/>
  <c r="H118" i="5" s="1"/>
  <c r="J145" i="1" s="1"/>
  <c r="O118" i="5"/>
  <c r="H50" i="5"/>
  <c r="I50" i="5" s="1"/>
  <c r="H68" i="5" s="1"/>
  <c r="J83" i="1" s="1"/>
  <c r="O68" i="5"/>
  <c r="O137" i="7"/>
  <c r="P137" i="6"/>
  <c r="O78" i="7"/>
  <c r="P78" i="6"/>
  <c r="O52" i="7"/>
  <c r="P52" i="6"/>
  <c r="H52" i="6" s="1"/>
  <c r="I52" i="6" s="1"/>
  <c r="O61" i="7"/>
  <c r="P61" i="6"/>
  <c r="O63" i="7"/>
  <c r="P63" i="6"/>
  <c r="O74" i="7"/>
  <c r="P74" i="6"/>
  <c r="P95" i="6"/>
  <c r="O95" i="7"/>
  <c r="O29" i="7"/>
  <c r="P29" i="6"/>
  <c r="O123" i="7"/>
  <c r="P123" i="6"/>
  <c r="H123" i="6" s="1"/>
  <c r="I123" i="6" s="1"/>
  <c r="O75" i="7"/>
  <c r="P75" i="6"/>
  <c r="O113" i="7"/>
  <c r="P113" i="6"/>
  <c r="O50" i="7"/>
  <c r="P50" i="6"/>
  <c r="O76" i="7"/>
  <c r="P76" i="6"/>
  <c r="H137" i="5"/>
  <c r="I137" i="5" s="1"/>
  <c r="H146" i="5" s="1"/>
  <c r="J182" i="1" s="1"/>
  <c r="O146" i="5"/>
  <c r="O56" i="7"/>
  <c r="P56" i="6"/>
  <c r="H130" i="5"/>
  <c r="I130" i="5" s="1"/>
  <c r="H135" i="5" s="1"/>
  <c r="J168" i="1" s="1"/>
  <c r="O135" i="5"/>
  <c r="H43" i="5"/>
  <c r="O48" i="5"/>
  <c r="O62" i="7"/>
  <c r="P62" i="6"/>
  <c r="H18" i="5"/>
  <c r="I18" i="5" s="1"/>
  <c r="H26" i="5" s="1"/>
  <c r="J29" i="1" s="1"/>
  <c r="O26" i="5"/>
  <c r="O54" i="7"/>
  <c r="P54" i="6"/>
  <c r="H106" i="5"/>
  <c r="I106" i="5" s="1"/>
  <c r="H111" i="5" s="1"/>
  <c r="J135" i="1" s="1"/>
  <c r="O111" i="5"/>
  <c r="O86" i="7"/>
  <c r="P86" i="6"/>
  <c r="H70" i="5"/>
  <c r="I70" i="5" s="1"/>
  <c r="H93" i="5" s="1"/>
  <c r="J111" i="1" s="1"/>
  <c r="O93" i="5"/>
  <c r="O20" i="7"/>
  <c r="P20" i="6"/>
  <c r="O130" i="7"/>
  <c r="P130" i="6"/>
  <c r="O10" i="7"/>
  <c r="P10" i="6"/>
  <c r="H10" i="6" s="1"/>
  <c r="I10" i="6" s="1"/>
  <c r="P43" i="6"/>
  <c r="O43" i="7"/>
  <c r="O36" i="7"/>
  <c r="P36" i="6"/>
  <c r="O18" i="7"/>
  <c r="P18" i="6"/>
  <c r="O59" i="7"/>
  <c r="P59" i="6"/>
  <c r="O106" i="7"/>
  <c r="P106" i="6"/>
  <c r="O60" i="7"/>
  <c r="P60" i="6"/>
  <c r="P70" i="6"/>
  <c r="O70" i="7"/>
  <c r="O88" i="7"/>
  <c r="P88" i="6"/>
  <c r="O80" i="7"/>
  <c r="P80" i="6"/>
  <c r="P73" i="6"/>
  <c r="O73" i="7"/>
  <c r="O16" i="5"/>
  <c r="O138" i="7"/>
  <c r="P138" i="6"/>
  <c r="H138" i="6" s="1"/>
  <c r="I138" i="6" s="1"/>
  <c r="O141" i="7"/>
  <c r="P141" i="6"/>
  <c r="O77" i="7"/>
  <c r="P77" i="6"/>
  <c r="O82" i="7"/>
  <c r="P82" i="6"/>
  <c r="O99" i="7"/>
  <c r="P99" i="6"/>
  <c r="P79" i="6"/>
  <c r="O79" i="7"/>
  <c r="O53" i="7"/>
  <c r="P53" i="6"/>
  <c r="H53" i="6" s="1"/>
  <c r="I53" i="6" s="1"/>
  <c r="O122" i="7"/>
  <c r="P122" i="6"/>
  <c r="H122" i="6" s="1"/>
  <c r="I122" i="6" s="1"/>
  <c r="O96" i="7"/>
  <c r="P96" i="6"/>
  <c r="O71" i="7"/>
  <c r="P71" i="6"/>
  <c r="O57" i="7"/>
  <c r="P57" i="6"/>
  <c r="O97" i="7"/>
  <c r="P97" i="6"/>
  <c r="O120" i="7"/>
  <c r="P120" i="6"/>
  <c r="O98" i="7"/>
  <c r="P98" i="6"/>
  <c r="O139" i="7"/>
  <c r="P139" i="6"/>
  <c r="H139" i="6" s="1"/>
  <c r="I139" i="6" s="1"/>
  <c r="P83" i="6"/>
  <c r="O83" i="7"/>
  <c r="O9" i="8"/>
  <c r="P9" i="7"/>
  <c r="P121" i="6"/>
  <c r="H121" i="6" s="1"/>
  <c r="I121" i="6" s="1"/>
  <c r="O121" i="7"/>
  <c r="H28" i="5"/>
  <c r="I28" i="5" s="1"/>
  <c r="H34" i="5" s="1"/>
  <c r="J40" i="1" s="1"/>
  <c r="O34" i="5"/>
  <c r="O140" i="7"/>
  <c r="P140" i="6"/>
  <c r="P85" i="6"/>
  <c r="O85" i="7"/>
  <c r="H120" i="5"/>
  <c r="I120" i="5" s="1"/>
  <c r="H128" i="5" s="1"/>
  <c r="J158" i="1" s="1"/>
  <c r="O128" i="5"/>
  <c r="F145" i="3"/>
  <c r="P141" i="3"/>
  <c r="I141" i="3"/>
  <c r="C141" i="3"/>
  <c r="P140" i="3"/>
  <c r="I140" i="3"/>
  <c r="C140" i="3"/>
  <c r="P139" i="3"/>
  <c r="I139" i="3"/>
  <c r="C139" i="3"/>
  <c r="P138" i="3"/>
  <c r="I138" i="3"/>
  <c r="C138" i="3"/>
  <c r="P137" i="3"/>
  <c r="C137" i="3"/>
  <c r="C136" i="3"/>
  <c r="P130" i="3"/>
  <c r="C130" i="3"/>
  <c r="C129" i="3"/>
  <c r="P123" i="3"/>
  <c r="H123" i="3" s="1"/>
  <c r="I123" i="3" s="1"/>
  <c r="C123" i="3"/>
  <c r="P122" i="3"/>
  <c r="H122" i="3" s="1"/>
  <c r="I122" i="3" s="1"/>
  <c r="C122" i="3"/>
  <c r="P121" i="3"/>
  <c r="H121" i="3" s="1"/>
  <c r="I121" i="3" s="1"/>
  <c r="C121" i="3"/>
  <c r="P120" i="3"/>
  <c r="H120" i="3" s="1"/>
  <c r="I120" i="3" s="1"/>
  <c r="C120" i="3"/>
  <c r="C119" i="3"/>
  <c r="P113" i="3"/>
  <c r="C113" i="3"/>
  <c r="C112" i="3"/>
  <c r="P106" i="3"/>
  <c r="O111" i="3" s="1"/>
  <c r="C106" i="3"/>
  <c r="C105" i="3"/>
  <c r="P99" i="3"/>
  <c r="I99" i="3"/>
  <c r="C99" i="3"/>
  <c r="P98" i="3"/>
  <c r="H98" i="3" s="1"/>
  <c r="I98" i="3" s="1"/>
  <c r="C98" i="3"/>
  <c r="P97" i="3"/>
  <c r="H97" i="3" s="1"/>
  <c r="I97" i="3" s="1"/>
  <c r="C97" i="3"/>
  <c r="P96" i="3"/>
  <c r="H96" i="3" s="1"/>
  <c r="I96" i="3" s="1"/>
  <c r="C96" i="3"/>
  <c r="P95" i="3"/>
  <c r="C95" i="3"/>
  <c r="C94" i="3"/>
  <c r="F92" i="3"/>
  <c r="P88" i="3"/>
  <c r="I88" i="3" s="1"/>
  <c r="C88" i="3"/>
  <c r="P87" i="3"/>
  <c r="I87" i="3"/>
  <c r="C87" i="3"/>
  <c r="P86" i="3"/>
  <c r="I86" i="3"/>
  <c r="C86" i="3"/>
  <c r="P85" i="3"/>
  <c r="I85" i="3" s="1"/>
  <c r="C85" i="3"/>
  <c r="P84" i="3"/>
  <c r="I84" i="3"/>
  <c r="C84" i="3"/>
  <c r="P83" i="3"/>
  <c r="I83" i="3"/>
  <c r="C83" i="3"/>
  <c r="P82" i="3"/>
  <c r="I82" i="3"/>
  <c r="C82" i="3"/>
  <c r="P81" i="3"/>
  <c r="I81" i="3"/>
  <c r="C81" i="3"/>
  <c r="P80" i="3"/>
  <c r="I80" i="3"/>
  <c r="C80" i="3"/>
  <c r="P79" i="3"/>
  <c r="I79" i="3"/>
  <c r="C79" i="3"/>
  <c r="P78" i="3"/>
  <c r="I78" i="3"/>
  <c r="C78" i="3"/>
  <c r="P77" i="3"/>
  <c r="H77" i="3" s="1"/>
  <c r="I77" i="3" s="1"/>
  <c r="C77" i="3"/>
  <c r="P76" i="3"/>
  <c r="H76" i="3" s="1"/>
  <c r="I76" i="3" s="1"/>
  <c r="C76" i="3"/>
  <c r="P75" i="3"/>
  <c r="H75" i="3" s="1"/>
  <c r="I75" i="3" s="1"/>
  <c r="C75" i="3"/>
  <c r="P74" i="3"/>
  <c r="I74" i="3"/>
  <c r="C74" i="3"/>
  <c r="P73" i="3"/>
  <c r="H73" i="3" s="1"/>
  <c r="I73" i="3" s="1"/>
  <c r="C73" i="3"/>
  <c r="P72" i="3"/>
  <c r="H72" i="3" s="1"/>
  <c r="I72" i="3" s="1"/>
  <c r="C72" i="3"/>
  <c r="P71" i="3"/>
  <c r="H71" i="3" s="1"/>
  <c r="I71" i="3" s="1"/>
  <c r="C71" i="3"/>
  <c r="P70" i="3"/>
  <c r="C70" i="3"/>
  <c r="C69" i="3"/>
  <c r="P63" i="3"/>
  <c r="H63" i="3" s="1"/>
  <c r="I63" i="3"/>
  <c r="C63" i="3"/>
  <c r="P62" i="3"/>
  <c r="H62" i="3" s="1"/>
  <c r="I62" i="3" s="1"/>
  <c r="C62" i="3"/>
  <c r="P61" i="3"/>
  <c r="H61" i="3" s="1"/>
  <c r="I61" i="3" s="1"/>
  <c r="C61" i="3"/>
  <c r="P60" i="3"/>
  <c r="H60" i="3" s="1"/>
  <c r="I60" i="3" s="1"/>
  <c r="C60" i="3"/>
  <c r="P59" i="3"/>
  <c r="H59" i="3" s="1"/>
  <c r="I59" i="3" s="1"/>
  <c r="C59" i="3"/>
  <c r="P58" i="3"/>
  <c r="H58" i="3" s="1"/>
  <c r="I58" i="3" s="1"/>
  <c r="C58" i="3"/>
  <c r="P57" i="3"/>
  <c r="H57" i="3" s="1"/>
  <c r="I57" i="3" s="1"/>
  <c r="C57" i="3"/>
  <c r="P56" i="3"/>
  <c r="H56" i="3" s="1"/>
  <c r="C56" i="3"/>
  <c r="P55" i="3"/>
  <c r="H55" i="3" s="1"/>
  <c r="I55" i="3" s="1"/>
  <c r="C55" i="3"/>
  <c r="P54" i="3"/>
  <c r="H54" i="3" s="1"/>
  <c r="I54" i="3" s="1"/>
  <c r="C54" i="3"/>
  <c r="P53" i="3"/>
  <c r="H53" i="3" s="1"/>
  <c r="I53" i="3" s="1"/>
  <c r="C53" i="3"/>
  <c r="P52" i="3"/>
  <c r="H52" i="3" s="1"/>
  <c r="I52" i="3" s="1"/>
  <c r="C52" i="3"/>
  <c r="P51" i="3"/>
  <c r="H51" i="3" s="1"/>
  <c r="I51" i="3" s="1"/>
  <c r="C51" i="3"/>
  <c r="P50" i="3"/>
  <c r="C50" i="3"/>
  <c r="C49" i="3"/>
  <c r="P43" i="3"/>
  <c r="O48" i="3" s="1"/>
  <c r="C42" i="3"/>
  <c r="P36" i="3"/>
  <c r="O41" i="3" s="1"/>
  <c r="C36" i="3"/>
  <c r="C35" i="3"/>
  <c r="P29" i="3"/>
  <c r="H29" i="3" s="1"/>
  <c r="I29" i="3" s="1"/>
  <c r="C29" i="3"/>
  <c r="P28" i="3"/>
  <c r="C28" i="3"/>
  <c r="C27" i="3"/>
  <c r="P21" i="3"/>
  <c r="H21" i="3" s="1"/>
  <c r="I21" i="3" s="1"/>
  <c r="C21" i="3"/>
  <c r="P20" i="3"/>
  <c r="H20" i="3" s="1"/>
  <c r="I20" i="3" s="1"/>
  <c r="C20" i="3"/>
  <c r="P19" i="3"/>
  <c r="H19" i="3" s="1"/>
  <c r="I19" i="3" s="1"/>
  <c r="C19" i="3"/>
  <c r="P18" i="3"/>
  <c r="C18" i="3"/>
  <c r="C17" i="3"/>
  <c r="P11" i="3"/>
  <c r="C11" i="3"/>
  <c r="P10" i="3"/>
  <c r="H10" i="3" s="1"/>
  <c r="I10" i="3" s="1"/>
  <c r="P9" i="3"/>
  <c r="C9" i="3"/>
  <c r="C8" i="3"/>
  <c r="E176" i="1"/>
  <c r="E175" i="1"/>
  <c r="E174" i="1"/>
  <c r="E173" i="1"/>
  <c r="E172" i="1"/>
  <c r="E171" i="1"/>
  <c r="E162" i="1"/>
  <c r="E161" i="1"/>
  <c r="E152" i="1"/>
  <c r="E151" i="1"/>
  <c r="E150" i="1"/>
  <c r="E149" i="1"/>
  <c r="E148" i="1"/>
  <c r="E139" i="1"/>
  <c r="E138" i="1"/>
  <c r="E128" i="1"/>
  <c r="E119" i="1"/>
  <c r="E117" i="1"/>
  <c r="E116" i="1"/>
  <c r="E115" i="1"/>
  <c r="E114" i="1"/>
  <c r="E105" i="1"/>
  <c r="E104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77" i="1"/>
  <c r="E76" i="1"/>
  <c r="E75" i="1"/>
  <c r="E74" i="1"/>
  <c r="E73" i="1"/>
  <c r="E72" i="1"/>
  <c r="E71" i="1"/>
  <c r="E70" i="1"/>
  <c r="E69" i="1"/>
  <c r="E68" i="1"/>
  <c r="E66" i="1"/>
  <c r="E65" i="1"/>
  <c r="E64" i="1"/>
  <c r="E63" i="1"/>
  <c r="E54" i="1"/>
  <c r="E53" i="1"/>
  <c r="E44" i="1"/>
  <c r="E43" i="1"/>
  <c r="E34" i="1"/>
  <c r="E33" i="1"/>
  <c r="E32" i="1"/>
  <c r="E23" i="1"/>
  <c r="E22" i="1"/>
  <c r="E20" i="1"/>
  <c r="E10" i="1"/>
  <c r="E9" i="1"/>
  <c r="E8" i="1"/>
  <c r="E7" i="1"/>
  <c r="I43" i="5" l="1"/>
  <c r="H48" i="5" s="1"/>
  <c r="H148" i="5" s="1"/>
  <c r="J60" i="1"/>
  <c r="J182" i="13"/>
  <c r="J135" i="13"/>
  <c r="J168" i="13"/>
  <c r="J83" i="13"/>
  <c r="J40" i="13"/>
  <c r="J111" i="13"/>
  <c r="J29" i="13"/>
  <c r="J145" i="13"/>
  <c r="J158" i="13"/>
  <c r="J16" i="13"/>
  <c r="H186" i="1"/>
  <c r="H186" i="13"/>
  <c r="O34" i="3"/>
  <c r="O26" i="3"/>
  <c r="O68" i="3"/>
  <c r="O83" i="8"/>
  <c r="P83" i="7"/>
  <c r="P88" i="7"/>
  <c r="O88" i="8"/>
  <c r="O59" i="8"/>
  <c r="P59" i="7"/>
  <c r="P10" i="7"/>
  <c r="H10" i="7" s="1"/>
  <c r="I10" i="7" s="1"/>
  <c r="O10" i="8"/>
  <c r="P86" i="7"/>
  <c r="O86" i="8"/>
  <c r="O62" i="8"/>
  <c r="P62" i="7"/>
  <c r="O75" i="8"/>
  <c r="P75" i="7"/>
  <c r="O74" i="8"/>
  <c r="P74" i="7"/>
  <c r="O78" i="8"/>
  <c r="P78" i="7"/>
  <c r="P72" i="7"/>
  <c r="O72" i="8"/>
  <c r="O16" i="6"/>
  <c r="O140" i="8"/>
  <c r="P140" i="7"/>
  <c r="O97" i="8"/>
  <c r="P97" i="7"/>
  <c r="H97" i="7" s="1"/>
  <c r="I97" i="7" s="1"/>
  <c r="H104" i="7" s="1"/>
  <c r="O122" i="8"/>
  <c r="P122" i="7"/>
  <c r="P99" i="7"/>
  <c r="O99" i="8"/>
  <c r="P138" i="7"/>
  <c r="H138" i="7" s="1"/>
  <c r="I138" i="7" s="1"/>
  <c r="O138" i="8"/>
  <c r="O70" i="8"/>
  <c r="P70" i="7"/>
  <c r="H18" i="6"/>
  <c r="I18" i="6" s="1"/>
  <c r="H26" i="6" s="1"/>
  <c r="L29" i="1" s="1"/>
  <c r="O26" i="6"/>
  <c r="H130" i="6"/>
  <c r="I130" i="6" s="1"/>
  <c r="H135" i="6" s="1"/>
  <c r="L168" i="1" s="1"/>
  <c r="O135" i="6"/>
  <c r="H137" i="6"/>
  <c r="I137" i="6" s="1"/>
  <c r="H146" i="6" s="1"/>
  <c r="L182" i="1" s="1"/>
  <c r="O146" i="6"/>
  <c r="O84" i="8"/>
  <c r="P84" i="7"/>
  <c r="H16" i="6"/>
  <c r="L16" i="1" s="1"/>
  <c r="H70" i="6"/>
  <c r="I70" i="6" s="1"/>
  <c r="H93" i="6" s="1"/>
  <c r="L111" i="1" s="1"/>
  <c r="O93" i="6"/>
  <c r="O18" i="8"/>
  <c r="P18" i="7"/>
  <c r="O130" i="8"/>
  <c r="P130" i="7"/>
  <c r="O76" i="8"/>
  <c r="P76" i="7"/>
  <c r="H76" i="7" s="1"/>
  <c r="I76" i="7" s="1"/>
  <c r="P123" i="7"/>
  <c r="O123" i="8"/>
  <c r="P63" i="7"/>
  <c r="O63" i="8"/>
  <c r="O137" i="8"/>
  <c r="P137" i="7"/>
  <c r="H137" i="7" s="1"/>
  <c r="I137" i="7" s="1"/>
  <c r="O139" i="8"/>
  <c r="P139" i="7"/>
  <c r="H139" i="7" s="1"/>
  <c r="I139" i="7" s="1"/>
  <c r="O57" i="8"/>
  <c r="P57" i="7"/>
  <c r="O82" i="8"/>
  <c r="P82" i="7"/>
  <c r="P73" i="7"/>
  <c r="O73" i="8"/>
  <c r="H36" i="6"/>
  <c r="I36" i="6" s="1"/>
  <c r="H41" i="6" s="1"/>
  <c r="L50" i="1" s="1"/>
  <c r="O41" i="6"/>
  <c r="H50" i="6"/>
  <c r="I50" i="6" s="1"/>
  <c r="H68" i="6" s="1"/>
  <c r="L83" i="1" s="1"/>
  <c r="O68" i="6"/>
  <c r="O81" i="8"/>
  <c r="P81" i="7"/>
  <c r="O58" i="8"/>
  <c r="P58" i="7"/>
  <c r="O87" i="8"/>
  <c r="P87" i="7"/>
  <c r="O121" i="8"/>
  <c r="P121" i="7"/>
  <c r="O60" i="8"/>
  <c r="P60" i="7"/>
  <c r="H60" i="7" s="1"/>
  <c r="I60" i="7" s="1"/>
  <c r="O36" i="8"/>
  <c r="P36" i="7"/>
  <c r="O41" i="7" s="1"/>
  <c r="O20" i="8"/>
  <c r="P20" i="7"/>
  <c r="O54" i="8"/>
  <c r="P54" i="7"/>
  <c r="O50" i="8"/>
  <c r="P50" i="7"/>
  <c r="O29" i="8"/>
  <c r="P29" i="7"/>
  <c r="P61" i="7"/>
  <c r="O61" i="8"/>
  <c r="H28" i="6"/>
  <c r="I28" i="6" s="1"/>
  <c r="H34" i="6" s="1"/>
  <c r="L40" i="1" s="1"/>
  <c r="O34" i="6"/>
  <c r="O98" i="8"/>
  <c r="P98" i="7"/>
  <c r="O71" i="8"/>
  <c r="P71" i="7"/>
  <c r="P53" i="7"/>
  <c r="O53" i="8"/>
  <c r="O77" i="8"/>
  <c r="P77" i="7"/>
  <c r="H77" i="7" s="1"/>
  <c r="I77" i="7" s="1"/>
  <c r="H106" i="6"/>
  <c r="I106" i="6" s="1"/>
  <c r="H111" i="6" s="1"/>
  <c r="L135" i="1" s="1"/>
  <c r="O111" i="6"/>
  <c r="P43" i="7"/>
  <c r="O43" i="8"/>
  <c r="H113" i="6"/>
  <c r="I113" i="6" s="1"/>
  <c r="H118" i="6" s="1"/>
  <c r="L145" i="1" s="1"/>
  <c r="O118" i="6"/>
  <c r="O95" i="8"/>
  <c r="P95" i="7"/>
  <c r="O51" i="8"/>
  <c r="P51" i="7"/>
  <c r="O28" i="8"/>
  <c r="P28" i="7"/>
  <c r="H28" i="7" s="1"/>
  <c r="I28" i="7" s="1"/>
  <c r="H34" i="7" s="1"/>
  <c r="P11" i="7"/>
  <c r="H11" i="7" s="1"/>
  <c r="I11" i="7" s="1"/>
  <c r="O85" i="8"/>
  <c r="P85" i="7"/>
  <c r="H9" i="7"/>
  <c r="I9" i="7" s="1"/>
  <c r="H120" i="6"/>
  <c r="I120" i="6" s="1"/>
  <c r="H128" i="6" s="1"/>
  <c r="L158" i="1" s="1"/>
  <c r="O128" i="6"/>
  <c r="O79" i="8"/>
  <c r="P79" i="7"/>
  <c r="O80" i="8"/>
  <c r="P80" i="7"/>
  <c r="O106" i="8"/>
  <c r="P106" i="7"/>
  <c r="H43" i="6"/>
  <c r="I43" i="6" s="1"/>
  <c r="H48" i="6" s="1"/>
  <c r="L60" i="1" s="1"/>
  <c r="O48" i="6"/>
  <c r="O56" i="8"/>
  <c r="P56" i="7"/>
  <c r="O113" i="8"/>
  <c r="P113" i="7"/>
  <c r="H95" i="6"/>
  <c r="I95" i="6" s="1"/>
  <c r="H104" i="6" s="1"/>
  <c r="L125" i="1" s="1"/>
  <c r="O104" i="6"/>
  <c r="O52" i="8"/>
  <c r="P52" i="7"/>
  <c r="H52" i="7" s="1"/>
  <c r="I52" i="7" s="1"/>
  <c r="O9" i="9"/>
  <c r="P9" i="8"/>
  <c r="O120" i="8"/>
  <c r="P120" i="7"/>
  <c r="O96" i="8"/>
  <c r="P96" i="7"/>
  <c r="O141" i="8"/>
  <c r="P141" i="7"/>
  <c r="O19" i="8"/>
  <c r="P19" i="7"/>
  <c r="P55" i="7"/>
  <c r="H55" i="7" s="1"/>
  <c r="I55" i="7" s="1"/>
  <c r="O55" i="8"/>
  <c r="O21" i="8"/>
  <c r="P21" i="7"/>
  <c r="H137" i="3"/>
  <c r="I137" i="3" s="1"/>
  <c r="O146" i="3"/>
  <c r="H9" i="3"/>
  <c r="I9" i="3" s="1"/>
  <c r="O16" i="3"/>
  <c r="I56" i="3"/>
  <c r="O118" i="3"/>
  <c r="H113" i="3"/>
  <c r="I113" i="3" s="1"/>
  <c r="H118" i="3" s="1"/>
  <c r="F145" i="1" s="1"/>
  <c r="H36" i="3"/>
  <c r="I36" i="3" s="1"/>
  <c r="H106" i="3"/>
  <c r="I106" i="3" s="1"/>
  <c r="H28" i="3"/>
  <c r="I28" i="3" s="1"/>
  <c r="H34" i="3" s="1"/>
  <c r="F40" i="1" s="1"/>
  <c r="H18" i="3"/>
  <c r="I18" i="3" s="1"/>
  <c r="H43" i="3"/>
  <c r="I43" i="3" s="1"/>
  <c r="H130" i="3"/>
  <c r="I130" i="3" s="1"/>
  <c r="H135" i="3" s="1"/>
  <c r="F168" i="1" s="1"/>
  <c r="O135" i="3"/>
  <c r="H50" i="3"/>
  <c r="O93" i="3"/>
  <c r="H95" i="3"/>
  <c r="I95" i="3" s="1"/>
  <c r="H104" i="3" s="1"/>
  <c r="F125" i="1" s="1"/>
  <c r="O104" i="3"/>
  <c r="O128" i="3"/>
  <c r="H11" i="3"/>
  <c r="I11" i="3" s="1"/>
  <c r="H70" i="3"/>
  <c r="I70" i="3" s="1"/>
  <c r="H93" i="3" s="1"/>
  <c r="F111" i="1" s="1"/>
  <c r="H128" i="3"/>
  <c r="F158" i="1" s="1"/>
  <c r="O118" i="7" l="1"/>
  <c r="H113" i="7"/>
  <c r="I113" i="7" s="1"/>
  <c r="H118" i="7" s="1"/>
  <c r="H93" i="7"/>
  <c r="N111" i="13" s="1"/>
  <c r="H146" i="7"/>
  <c r="N182" i="1" s="1"/>
  <c r="J60" i="13"/>
  <c r="N40" i="1"/>
  <c r="N40" i="13"/>
  <c r="N125" i="1"/>
  <c r="N125" i="13"/>
  <c r="O48" i="7"/>
  <c r="H43" i="7"/>
  <c r="I43" i="7" s="1"/>
  <c r="H48" i="7" s="1"/>
  <c r="L16" i="13"/>
  <c r="L125" i="13"/>
  <c r="L83" i="13"/>
  <c r="L111" i="13"/>
  <c r="L40" i="13"/>
  <c r="L168" i="13"/>
  <c r="L145" i="13"/>
  <c r="L50" i="13"/>
  <c r="L29" i="13"/>
  <c r="F168" i="13"/>
  <c r="F111" i="13"/>
  <c r="F145" i="13"/>
  <c r="F158" i="13"/>
  <c r="F40" i="13"/>
  <c r="F125" i="13"/>
  <c r="L60" i="13"/>
  <c r="L158" i="13"/>
  <c r="L135" i="13"/>
  <c r="L182" i="13"/>
  <c r="J186" i="1"/>
  <c r="J186" i="13"/>
  <c r="H68" i="7"/>
  <c r="N83" i="1" s="1"/>
  <c r="O135" i="7"/>
  <c r="H130" i="7"/>
  <c r="I130" i="7" s="1"/>
  <c r="H135" i="7" s="1"/>
  <c r="N168" i="1" s="1"/>
  <c r="O111" i="7"/>
  <c r="H106" i="7"/>
  <c r="I106" i="7" s="1"/>
  <c r="H111" i="7" s="1"/>
  <c r="N135" i="1" s="1"/>
  <c r="O34" i="7"/>
  <c r="O16" i="7"/>
  <c r="O128" i="7"/>
  <c r="O68" i="7"/>
  <c r="O137" i="9"/>
  <c r="P137" i="8"/>
  <c r="H137" i="8" s="1"/>
  <c r="I137" i="8" s="1"/>
  <c r="P130" i="8"/>
  <c r="O130" i="9"/>
  <c r="P138" i="8"/>
  <c r="H138" i="8" s="1"/>
  <c r="I138" i="8" s="1"/>
  <c r="O138" i="9"/>
  <c r="O74" i="9"/>
  <c r="P74" i="8"/>
  <c r="H74" i="8" s="1"/>
  <c r="I74" i="8" s="1"/>
  <c r="H16" i="7"/>
  <c r="N16" i="1" s="1"/>
  <c r="O21" i="9"/>
  <c r="P21" i="8"/>
  <c r="O96" i="9"/>
  <c r="P96" i="8"/>
  <c r="P106" i="8"/>
  <c r="O106" i="9"/>
  <c r="O51" i="9"/>
  <c r="P51" i="8"/>
  <c r="O98" i="9"/>
  <c r="P98" i="8"/>
  <c r="O50" i="9"/>
  <c r="P50" i="8"/>
  <c r="P60" i="8"/>
  <c r="O60" i="9"/>
  <c r="P81" i="8"/>
  <c r="O81" i="9"/>
  <c r="O82" i="9"/>
  <c r="P82" i="8"/>
  <c r="H82" i="8" s="1"/>
  <c r="I82" i="8" s="1"/>
  <c r="O63" i="9"/>
  <c r="P63" i="8"/>
  <c r="H18" i="7"/>
  <c r="I18" i="7" s="1"/>
  <c r="H26" i="7" s="1"/>
  <c r="N29" i="1" s="1"/>
  <c r="O26" i="7"/>
  <c r="O140" i="9"/>
  <c r="P140" i="8"/>
  <c r="P55" i="8"/>
  <c r="H55" i="8" s="1"/>
  <c r="I55" i="8" s="1"/>
  <c r="O55" i="9"/>
  <c r="O104" i="7"/>
  <c r="P18" i="8"/>
  <c r="H18" i="8" s="1"/>
  <c r="I18" i="8" s="1"/>
  <c r="O18" i="9"/>
  <c r="O99" i="9"/>
  <c r="P99" i="8"/>
  <c r="O75" i="9"/>
  <c r="P75" i="8"/>
  <c r="O59" i="9"/>
  <c r="P59" i="8"/>
  <c r="O120" i="9"/>
  <c r="P120" i="8"/>
  <c r="H120" i="8" s="1"/>
  <c r="I120" i="8" s="1"/>
  <c r="O113" i="9"/>
  <c r="P113" i="8"/>
  <c r="O118" i="8" s="1"/>
  <c r="O80" i="9"/>
  <c r="P80" i="8"/>
  <c r="O85" i="9"/>
  <c r="P85" i="8"/>
  <c r="O95" i="9"/>
  <c r="P95" i="8"/>
  <c r="P77" i="8"/>
  <c r="H77" i="8" s="1"/>
  <c r="I77" i="8" s="1"/>
  <c r="O77" i="9"/>
  <c r="P54" i="8"/>
  <c r="O54" i="9"/>
  <c r="O121" i="9"/>
  <c r="P121" i="8"/>
  <c r="H121" i="8" s="1"/>
  <c r="I121" i="8" s="1"/>
  <c r="O123" i="9"/>
  <c r="P123" i="8"/>
  <c r="H123" i="8" s="1"/>
  <c r="I123" i="8" s="1"/>
  <c r="O72" i="9"/>
  <c r="P72" i="8"/>
  <c r="H72" i="8" s="1"/>
  <c r="I72" i="8" s="1"/>
  <c r="O88" i="9"/>
  <c r="P88" i="8"/>
  <c r="H9" i="8"/>
  <c r="I9" i="8" s="1"/>
  <c r="P53" i="8"/>
  <c r="H53" i="8" s="1"/>
  <c r="I53" i="8" s="1"/>
  <c r="O53" i="9"/>
  <c r="O61" i="9"/>
  <c r="P61" i="8"/>
  <c r="O57" i="9"/>
  <c r="P57" i="8"/>
  <c r="O62" i="9"/>
  <c r="P62" i="8"/>
  <c r="P19" i="8"/>
  <c r="O19" i="9"/>
  <c r="O9" i="10"/>
  <c r="P9" i="9"/>
  <c r="H9" i="9" s="1"/>
  <c r="I9" i="9" s="1"/>
  <c r="O56" i="9"/>
  <c r="P56" i="8"/>
  <c r="O79" i="9"/>
  <c r="P79" i="8"/>
  <c r="P11" i="8"/>
  <c r="H11" i="8" s="1"/>
  <c r="I11" i="8" s="1"/>
  <c r="O20" i="9"/>
  <c r="P20" i="8"/>
  <c r="H20" i="8" s="1"/>
  <c r="I20" i="8" s="1"/>
  <c r="O87" i="9"/>
  <c r="P87" i="8"/>
  <c r="H148" i="6"/>
  <c r="O122" i="9"/>
  <c r="P122" i="8"/>
  <c r="H122" i="8" s="1"/>
  <c r="I122" i="8" s="1"/>
  <c r="O86" i="9"/>
  <c r="P86" i="8"/>
  <c r="O43" i="9"/>
  <c r="P43" i="8"/>
  <c r="O73" i="9"/>
  <c r="P73" i="8"/>
  <c r="H73" i="8" s="1"/>
  <c r="I73" i="8" s="1"/>
  <c r="O139" i="9"/>
  <c r="P139" i="8"/>
  <c r="H139" i="8" s="1"/>
  <c r="I139" i="8" s="1"/>
  <c r="O76" i="9"/>
  <c r="P76" i="8"/>
  <c r="H76" i="8" s="1"/>
  <c r="I76" i="8" s="1"/>
  <c r="O93" i="7"/>
  <c r="O78" i="9"/>
  <c r="P78" i="8"/>
  <c r="O83" i="9"/>
  <c r="P83" i="8"/>
  <c r="H83" i="8" s="1"/>
  <c r="I83" i="8" s="1"/>
  <c r="P141" i="8"/>
  <c r="O141" i="9"/>
  <c r="P52" i="8"/>
  <c r="H52" i="8" s="1"/>
  <c r="I52" i="8" s="1"/>
  <c r="O52" i="9"/>
  <c r="P28" i="8"/>
  <c r="H28" i="8" s="1"/>
  <c r="I28" i="8" s="1"/>
  <c r="H34" i="8" s="1"/>
  <c r="O28" i="9"/>
  <c r="O71" i="9"/>
  <c r="P71" i="8"/>
  <c r="O29" i="9"/>
  <c r="P29" i="8"/>
  <c r="O36" i="9"/>
  <c r="P36" i="8"/>
  <c r="O41" i="8" s="1"/>
  <c r="O58" i="9"/>
  <c r="P58" i="8"/>
  <c r="O146" i="7"/>
  <c r="O84" i="9"/>
  <c r="P84" i="8"/>
  <c r="H84" i="8" s="1"/>
  <c r="I84" i="8" s="1"/>
  <c r="O70" i="9"/>
  <c r="P70" i="8"/>
  <c r="H70" i="8" s="1"/>
  <c r="I70" i="8" s="1"/>
  <c r="O97" i="9"/>
  <c r="P97" i="8"/>
  <c r="H97" i="8" s="1"/>
  <c r="I97" i="8" s="1"/>
  <c r="H104" i="8" s="1"/>
  <c r="P125" i="1" s="1"/>
  <c r="O10" i="9"/>
  <c r="P10" i="8"/>
  <c r="H10" i="8" s="1"/>
  <c r="I10" i="8" s="1"/>
  <c r="H146" i="3"/>
  <c r="F182" i="1" s="1"/>
  <c r="H111" i="3"/>
  <c r="F135" i="1" s="1"/>
  <c r="H48" i="3"/>
  <c r="F60" i="1" s="1"/>
  <c r="H41" i="3"/>
  <c r="F50" i="1" s="1"/>
  <c r="H26" i="3"/>
  <c r="F29" i="1" s="1"/>
  <c r="I50" i="3"/>
  <c r="H68" i="3" s="1"/>
  <c r="F83" i="1" s="1"/>
  <c r="B2" i="3"/>
  <c r="N145" i="1" l="1"/>
  <c r="N145" i="13"/>
  <c r="N111" i="1"/>
  <c r="N182" i="13"/>
  <c r="P40" i="1"/>
  <c r="P40" i="13"/>
  <c r="O48" i="8"/>
  <c r="H43" i="8"/>
  <c r="I43" i="8" s="1"/>
  <c r="H48" i="8" s="1"/>
  <c r="H146" i="8"/>
  <c r="P182" i="1" s="1"/>
  <c r="N60" i="1"/>
  <c r="N60" i="13"/>
  <c r="N16" i="13"/>
  <c r="F60" i="13"/>
  <c r="F29" i="13"/>
  <c r="F50" i="13"/>
  <c r="N135" i="13"/>
  <c r="F182" i="13"/>
  <c r="F135" i="13"/>
  <c r="N168" i="13"/>
  <c r="N29" i="13"/>
  <c r="F83" i="13"/>
  <c r="P125" i="13"/>
  <c r="N83" i="13"/>
  <c r="L186" i="1"/>
  <c r="L186" i="13"/>
  <c r="H26" i="8"/>
  <c r="P29" i="1" s="1"/>
  <c r="H68" i="8"/>
  <c r="P83" i="1" s="1"/>
  <c r="H93" i="8"/>
  <c r="P111" i="1" s="1"/>
  <c r="H128" i="8"/>
  <c r="P158" i="1" s="1"/>
  <c r="O135" i="8"/>
  <c r="H130" i="8"/>
  <c r="I130" i="8" s="1"/>
  <c r="H135" i="8" s="1"/>
  <c r="P168" i="1" s="1"/>
  <c r="O111" i="8"/>
  <c r="H106" i="8"/>
  <c r="I106" i="8" s="1"/>
  <c r="H111" i="8" s="1"/>
  <c r="P135" i="1" s="1"/>
  <c r="H16" i="8"/>
  <c r="P16" i="1" s="1"/>
  <c r="O70" i="10"/>
  <c r="P70" i="9"/>
  <c r="O141" i="10"/>
  <c r="P141" i="9"/>
  <c r="O76" i="10"/>
  <c r="P76" i="9"/>
  <c r="O86" i="10"/>
  <c r="P86" i="9"/>
  <c r="O20" i="10"/>
  <c r="P20" i="9"/>
  <c r="P9" i="10"/>
  <c r="O9" i="11"/>
  <c r="O61" i="10"/>
  <c r="P61" i="9"/>
  <c r="O72" i="10"/>
  <c r="P72" i="9"/>
  <c r="O113" i="10"/>
  <c r="P113" i="9"/>
  <c r="O99" i="10"/>
  <c r="P99" i="9"/>
  <c r="O60" i="10"/>
  <c r="P60" i="9"/>
  <c r="O106" i="10"/>
  <c r="P106" i="9"/>
  <c r="O74" i="10"/>
  <c r="P74" i="9"/>
  <c r="O29" i="10"/>
  <c r="P29" i="9"/>
  <c r="O19" i="10"/>
  <c r="P19" i="9"/>
  <c r="P53" i="9"/>
  <c r="O53" i="10"/>
  <c r="O104" i="8"/>
  <c r="O128" i="8"/>
  <c r="O18" i="10"/>
  <c r="P18" i="9"/>
  <c r="H18" i="9" s="1"/>
  <c r="I18" i="9" s="1"/>
  <c r="O138" i="10"/>
  <c r="P138" i="9"/>
  <c r="H138" i="9" s="1"/>
  <c r="I138" i="9" s="1"/>
  <c r="O84" i="10"/>
  <c r="P84" i="9"/>
  <c r="O139" i="10"/>
  <c r="P139" i="9"/>
  <c r="H139" i="9" s="1"/>
  <c r="I139" i="9" s="1"/>
  <c r="P122" i="9"/>
  <c r="O122" i="10"/>
  <c r="P11" i="9"/>
  <c r="H11" i="9" s="1"/>
  <c r="I11" i="9" s="1"/>
  <c r="O123" i="10"/>
  <c r="P123" i="9"/>
  <c r="O95" i="10"/>
  <c r="P95" i="9"/>
  <c r="O120" i="10"/>
  <c r="P120" i="9"/>
  <c r="O26" i="8"/>
  <c r="O68" i="8"/>
  <c r="O71" i="10"/>
  <c r="P71" i="9"/>
  <c r="O83" i="10"/>
  <c r="P83" i="9"/>
  <c r="O16" i="8"/>
  <c r="O63" i="10"/>
  <c r="P63" i="9"/>
  <c r="P50" i="9"/>
  <c r="O50" i="10"/>
  <c r="P96" i="9"/>
  <c r="O96" i="10"/>
  <c r="P130" i="9"/>
  <c r="O130" i="10"/>
  <c r="O10" i="10"/>
  <c r="P10" i="9"/>
  <c r="H10" i="9" s="1"/>
  <c r="I10" i="9" s="1"/>
  <c r="O79" i="10"/>
  <c r="P79" i="9"/>
  <c r="O62" i="10"/>
  <c r="P62" i="9"/>
  <c r="P121" i="9"/>
  <c r="O121" i="10"/>
  <c r="O85" i="10"/>
  <c r="P85" i="9"/>
  <c r="O59" i="10"/>
  <c r="P59" i="9"/>
  <c r="P55" i="9"/>
  <c r="H55" i="9" s="1"/>
  <c r="I55" i="9" s="1"/>
  <c r="O55" i="10"/>
  <c r="P28" i="9"/>
  <c r="H28" i="9" s="1"/>
  <c r="I28" i="9" s="1"/>
  <c r="H34" i="9" s="1"/>
  <c r="O28" i="10"/>
  <c r="P58" i="9"/>
  <c r="H58" i="9" s="1"/>
  <c r="I58" i="9" s="1"/>
  <c r="O58" i="10"/>
  <c r="O34" i="8"/>
  <c r="P78" i="9"/>
  <c r="O78" i="10"/>
  <c r="O54" i="10"/>
  <c r="P54" i="9"/>
  <c r="O82" i="10"/>
  <c r="P82" i="9"/>
  <c r="O98" i="10"/>
  <c r="P98" i="9"/>
  <c r="P21" i="9"/>
  <c r="H21" i="9" s="1"/>
  <c r="I21" i="9" s="1"/>
  <c r="O21" i="10"/>
  <c r="O146" i="8"/>
  <c r="O73" i="10"/>
  <c r="P73" i="9"/>
  <c r="O97" i="10"/>
  <c r="P97" i="9"/>
  <c r="H97" i="9" s="1"/>
  <c r="I97" i="9" s="1"/>
  <c r="H104" i="9" s="1"/>
  <c r="O52" i="10"/>
  <c r="P52" i="9"/>
  <c r="H52" i="9" s="1"/>
  <c r="I52" i="9" s="1"/>
  <c r="O43" i="10"/>
  <c r="P43" i="9"/>
  <c r="O87" i="10"/>
  <c r="P87" i="9"/>
  <c r="O56" i="10"/>
  <c r="P56" i="9"/>
  <c r="O57" i="10"/>
  <c r="P57" i="9"/>
  <c r="O88" i="10"/>
  <c r="P88" i="9"/>
  <c r="O80" i="10"/>
  <c r="P80" i="9"/>
  <c r="O75" i="10"/>
  <c r="P75" i="9"/>
  <c r="O81" i="10"/>
  <c r="P81" i="9"/>
  <c r="H148" i="7"/>
  <c r="O137" i="10"/>
  <c r="P137" i="9"/>
  <c r="H137" i="9" s="1"/>
  <c r="I137" i="9" s="1"/>
  <c r="O93" i="8"/>
  <c r="O36" i="10"/>
  <c r="P36" i="9"/>
  <c r="O41" i="9" s="1"/>
  <c r="P77" i="9"/>
  <c r="O77" i="10"/>
  <c r="O140" i="10"/>
  <c r="P140" i="9"/>
  <c r="O51" i="10"/>
  <c r="P51" i="9"/>
  <c r="G14" i="3"/>
  <c r="H146" i="9" l="1"/>
  <c r="R182" i="1" s="1"/>
  <c r="R125" i="1"/>
  <c r="R125" i="13"/>
  <c r="P182" i="13"/>
  <c r="O48" i="9"/>
  <c r="H43" i="9"/>
  <c r="I43" i="9" s="1"/>
  <c r="H48" i="9" s="1"/>
  <c r="P60" i="1"/>
  <c r="P60" i="13"/>
  <c r="R40" i="1"/>
  <c r="R40" i="13"/>
  <c r="P168" i="13"/>
  <c r="P111" i="13"/>
  <c r="P83" i="13"/>
  <c r="P29" i="13"/>
  <c r="P158" i="13"/>
  <c r="P135" i="13"/>
  <c r="P16" i="13"/>
  <c r="N186" i="1"/>
  <c r="N186" i="13"/>
  <c r="H68" i="9"/>
  <c r="R83" i="1" s="1"/>
  <c r="H26" i="9"/>
  <c r="R29" i="1" s="1"/>
  <c r="H16" i="9"/>
  <c r="R16" i="1" s="1"/>
  <c r="O135" i="9"/>
  <c r="H130" i="9"/>
  <c r="I130" i="9" s="1"/>
  <c r="H135" i="9" s="1"/>
  <c r="R168" i="1" s="1"/>
  <c r="O118" i="9"/>
  <c r="H113" i="9"/>
  <c r="I113" i="9" s="1"/>
  <c r="H118" i="9" s="1"/>
  <c r="R145" i="1" s="1"/>
  <c r="O111" i="9"/>
  <c r="H106" i="9"/>
  <c r="I106" i="9" s="1"/>
  <c r="H111" i="9" s="1"/>
  <c r="R135" i="1" s="1"/>
  <c r="O16" i="9"/>
  <c r="O34" i="9"/>
  <c r="H148" i="8"/>
  <c r="O81" i="11"/>
  <c r="P81" i="10"/>
  <c r="O57" i="11"/>
  <c r="P57" i="10"/>
  <c r="O52" i="11"/>
  <c r="P52" i="10"/>
  <c r="H52" i="10" s="1"/>
  <c r="I52" i="10" s="1"/>
  <c r="O59" i="11"/>
  <c r="P59" i="10"/>
  <c r="O79" i="11"/>
  <c r="P79" i="10"/>
  <c r="O68" i="9"/>
  <c r="O53" i="11"/>
  <c r="P53" i="10"/>
  <c r="H53" i="10" s="1"/>
  <c r="I53" i="10" s="1"/>
  <c r="O98" i="11"/>
  <c r="P98" i="10"/>
  <c r="P58" i="10"/>
  <c r="O58" i="11"/>
  <c r="O123" i="11"/>
  <c r="P123" i="10"/>
  <c r="H123" i="10" s="1"/>
  <c r="I123" i="10" s="1"/>
  <c r="O84" i="11"/>
  <c r="P84" i="10"/>
  <c r="P106" i="10"/>
  <c r="O106" i="11"/>
  <c r="O72" i="11"/>
  <c r="P72" i="10"/>
  <c r="O86" i="11"/>
  <c r="P86" i="10"/>
  <c r="O36" i="11"/>
  <c r="P36" i="10"/>
  <c r="O41" i="10" s="1"/>
  <c r="O51" i="11"/>
  <c r="P51" i="10"/>
  <c r="O75" i="11"/>
  <c r="P75" i="10"/>
  <c r="P56" i="10"/>
  <c r="O56" i="11"/>
  <c r="O97" i="11"/>
  <c r="P97" i="10"/>
  <c r="P85" i="10"/>
  <c r="O85" i="11"/>
  <c r="O10" i="11"/>
  <c r="P10" i="10"/>
  <c r="H10" i="10" s="1"/>
  <c r="I10" i="10" s="1"/>
  <c r="O63" i="11"/>
  <c r="P63" i="10"/>
  <c r="O146" i="9"/>
  <c r="O82" i="11"/>
  <c r="P82" i="10"/>
  <c r="O28" i="11"/>
  <c r="P28" i="10"/>
  <c r="H28" i="10" s="1"/>
  <c r="I28" i="10" s="1"/>
  <c r="H34" i="10" s="1"/>
  <c r="P121" i="10"/>
  <c r="H121" i="10" s="1"/>
  <c r="I121" i="10" s="1"/>
  <c r="O121" i="11"/>
  <c r="O130" i="11"/>
  <c r="P130" i="10"/>
  <c r="P11" i="10"/>
  <c r="H11" i="10" s="1"/>
  <c r="I11" i="10" s="1"/>
  <c r="P138" i="10"/>
  <c r="H138" i="10" s="1"/>
  <c r="I138" i="10" s="1"/>
  <c r="O138" i="11"/>
  <c r="O19" i="11"/>
  <c r="P19" i="10"/>
  <c r="O60" i="11"/>
  <c r="P60" i="10"/>
  <c r="H60" i="10" s="1"/>
  <c r="I60" i="10" s="1"/>
  <c r="O61" i="11"/>
  <c r="P61" i="10"/>
  <c r="O76" i="11"/>
  <c r="P76" i="10"/>
  <c r="O140" i="11"/>
  <c r="P140" i="10"/>
  <c r="O80" i="11"/>
  <c r="P80" i="10"/>
  <c r="P87" i="10"/>
  <c r="O87" i="11"/>
  <c r="O73" i="11"/>
  <c r="P73" i="10"/>
  <c r="O128" i="9"/>
  <c r="O122" i="11"/>
  <c r="P122" i="10"/>
  <c r="H122" i="10" s="1"/>
  <c r="I122" i="10" s="1"/>
  <c r="O26" i="9"/>
  <c r="O9" i="12"/>
  <c r="P9" i="12" s="1"/>
  <c r="P9" i="11"/>
  <c r="O137" i="11"/>
  <c r="P137" i="10"/>
  <c r="H137" i="10" s="1"/>
  <c r="I137" i="10" s="1"/>
  <c r="O77" i="11"/>
  <c r="P77" i="10"/>
  <c r="O54" i="11"/>
  <c r="P54" i="10"/>
  <c r="P55" i="10"/>
  <c r="H55" i="10" s="1"/>
  <c r="I55" i="10" s="1"/>
  <c r="O55" i="11"/>
  <c r="O96" i="11"/>
  <c r="P96" i="10"/>
  <c r="O83" i="11"/>
  <c r="P83" i="10"/>
  <c r="H83" i="10" s="1"/>
  <c r="I83" i="10" s="1"/>
  <c r="H93" i="10" s="1"/>
  <c r="T111" i="1" s="1"/>
  <c r="O120" i="11"/>
  <c r="P120" i="10"/>
  <c r="H120" i="10" s="1"/>
  <c r="I120" i="10" s="1"/>
  <c r="O18" i="11"/>
  <c r="P18" i="10"/>
  <c r="O29" i="11"/>
  <c r="P29" i="10"/>
  <c r="O99" i="11"/>
  <c r="P99" i="10"/>
  <c r="H9" i="10"/>
  <c r="I9" i="10" s="1"/>
  <c r="P141" i="10"/>
  <c r="O141" i="11"/>
  <c r="P88" i="10"/>
  <c r="O88" i="11"/>
  <c r="O43" i="11"/>
  <c r="P43" i="10"/>
  <c r="O21" i="11"/>
  <c r="P21" i="10"/>
  <c r="O78" i="11"/>
  <c r="P78" i="10"/>
  <c r="O62" i="11"/>
  <c r="P62" i="10"/>
  <c r="O104" i="9"/>
  <c r="O93" i="9"/>
  <c r="P50" i="10"/>
  <c r="O50" i="11"/>
  <c r="O71" i="11"/>
  <c r="P71" i="10"/>
  <c r="O95" i="11"/>
  <c r="P95" i="10"/>
  <c r="P139" i="10"/>
  <c r="H139" i="10" s="1"/>
  <c r="I139" i="10" s="1"/>
  <c r="O139" i="11"/>
  <c r="O74" i="11"/>
  <c r="P74" i="10"/>
  <c r="O113" i="11"/>
  <c r="P113" i="10"/>
  <c r="O118" i="10" s="1"/>
  <c r="O20" i="11"/>
  <c r="P20" i="10"/>
  <c r="P70" i="10"/>
  <c r="O70" i="11"/>
  <c r="F14" i="3"/>
  <c r="I14" i="3"/>
  <c r="H16" i="3" s="1"/>
  <c r="F16" i="1" s="1"/>
  <c r="H14" i="3"/>
  <c r="R182" i="13" l="1"/>
  <c r="R60" i="1"/>
  <c r="R60" i="13"/>
  <c r="O48" i="10"/>
  <c r="H43" i="10"/>
  <c r="I43" i="10" s="1"/>
  <c r="H48" i="10" s="1"/>
  <c r="T40" i="1"/>
  <c r="T40" i="13"/>
  <c r="F16" i="13"/>
  <c r="R168" i="13"/>
  <c r="R29" i="13"/>
  <c r="R135" i="13"/>
  <c r="R83" i="13"/>
  <c r="T111" i="13"/>
  <c r="R145" i="13"/>
  <c r="R16" i="13"/>
  <c r="P186" i="1"/>
  <c r="P186" i="13"/>
  <c r="H68" i="10"/>
  <c r="T83" i="1" s="1"/>
  <c r="H148" i="9"/>
  <c r="H128" i="10"/>
  <c r="T158" i="1" s="1"/>
  <c r="H146" i="10"/>
  <c r="T182" i="1" s="1"/>
  <c r="O135" i="10"/>
  <c r="H130" i="10"/>
  <c r="I130" i="10" s="1"/>
  <c r="H135" i="10" s="1"/>
  <c r="T168" i="1" s="1"/>
  <c r="O111" i="10"/>
  <c r="H106" i="10"/>
  <c r="I106" i="10" s="1"/>
  <c r="H111" i="10" s="1"/>
  <c r="T135" i="1" s="1"/>
  <c r="O16" i="10"/>
  <c r="O128" i="10"/>
  <c r="H16" i="10"/>
  <c r="T16" i="1" s="1"/>
  <c r="O104" i="10"/>
  <c r="O141" i="12"/>
  <c r="P141" i="12" s="1"/>
  <c r="P141" i="11"/>
  <c r="H18" i="10"/>
  <c r="I18" i="10" s="1"/>
  <c r="H26" i="10" s="1"/>
  <c r="T29" i="1" s="1"/>
  <c r="O26" i="10"/>
  <c r="O55" i="12"/>
  <c r="P55" i="12" s="1"/>
  <c r="H55" i="12" s="1"/>
  <c r="I55" i="12" s="1"/>
  <c r="P55" i="11"/>
  <c r="H55" i="11" s="1"/>
  <c r="I55" i="11" s="1"/>
  <c r="H9" i="11"/>
  <c r="I9" i="11" s="1"/>
  <c r="P87" i="11"/>
  <c r="O87" i="12"/>
  <c r="P87" i="12" s="1"/>
  <c r="P51" i="11"/>
  <c r="O51" i="12"/>
  <c r="P51" i="12" s="1"/>
  <c r="O71" i="12"/>
  <c r="P71" i="12" s="1"/>
  <c r="P71" i="11"/>
  <c r="P78" i="11"/>
  <c r="O78" i="12"/>
  <c r="P78" i="12" s="1"/>
  <c r="P18" i="11"/>
  <c r="O18" i="12"/>
  <c r="P18" i="12" s="1"/>
  <c r="H18" i="12" s="1"/>
  <c r="I18" i="12" s="1"/>
  <c r="H9" i="12"/>
  <c r="I9" i="12" s="1"/>
  <c r="P61" i="11"/>
  <c r="O61" i="12"/>
  <c r="P61" i="12" s="1"/>
  <c r="P11" i="12"/>
  <c r="H11" i="12" s="1"/>
  <c r="I11" i="12" s="1"/>
  <c r="P11" i="11"/>
  <c r="H11" i="11" s="1"/>
  <c r="I11" i="11" s="1"/>
  <c r="O82" i="12"/>
  <c r="P82" i="12" s="1"/>
  <c r="P82" i="11"/>
  <c r="O59" i="12"/>
  <c r="P59" i="12" s="1"/>
  <c r="P59" i="11"/>
  <c r="P50" i="11"/>
  <c r="O50" i="12"/>
  <c r="P50" i="12" s="1"/>
  <c r="O97" i="12"/>
  <c r="P97" i="12" s="1"/>
  <c r="H97" i="12" s="1"/>
  <c r="I97" i="12" s="1"/>
  <c r="H104" i="12" s="1"/>
  <c r="P97" i="11"/>
  <c r="H97" i="11" s="1"/>
  <c r="I97" i="11" s="1"/>
  <c r="H104" i="11" s="1"/>
  <c r="V125" i="1" s="1"/>
  <c r="P36" i="11"/>
  <c r="O36" i="12"/>
  <c r="P36" i="12" s="1"/>
  <c r="O84" i="12"/>
  <c r="P84" i="12" s="1"/>
  <c r="P84" i="11"/>
  <c r="O98" i="12"/>
  <c r="P98" i="12" s="1"/>
  <c r="P98" i="11"/>
  <c r="P74" i="11"/>
  <c r="O74" i="12"/>
  <c r="P74" i="12" s="1"/>
  <c r="O68" i="10"/>
  <c r="O21" i="12"/>
  <c r="P21" i="12" s="1"/>
  <c r="P21" i="11"/>
  <c r="P120" i="11"/>
  <c r="O120" i="12"/>
  <c r="P120" i="12" s="1"/>
  <c r="H120" i="12" s="1"/>
  <c r="I120" i="12" s="1"/>
  <c r="O54" i="12"/>
  <c r="P54" i="12" s="1"/>
  <c r="P54" i="11"/>
  <c r="P80" i="11"/>
  <c r="O80" i="12"/>
  <c r="P80" i="12" s="1"/>
  <c r="O60" i="12"/>
  <c r="P60" i="12" s="1"/>
  <c r="P60" i="11"/>
  <c r="O130" i="12"/>
  <c r="P130" i="12" s="1"/>
  <c r="P130" i="11"/>
  <c r="O56" i="12"/>
  <c r="P56" i="12" s="1"/>
  <c r="P56" i="11"/>
  <c r="P52" i="11"/>
  <c r="H52" i="11" s="1"/>
  <c r="I52" i="11" s="1"/>
  <c r="O52" i="12"/>
  <c r="P52" i="12" s="1"/>
  <c r="H52" i="12" s="1"/>
  <c r="I52" i="12" s="1"/>
  <c r="O139" i="12"/>
  <c r="P139" i="12" s="1"/>
  <c r="H139" i="12" s="1"/>
  <c r="I139" i="12" s="1"/>
  <c r="P139" i="11"/>
  <c r="H139" i="11" s="1"/>
  <c r="I139" i="11" s="1"/>
  <c r="O122" i="12"/>
  <c r="P122" i="12" s="1"/>
  <c r="H122" i="12" s="1"/>
  <c r="I122" i="12" s="1"/>
  <c r="P122" i="11"/>
  <c r="O121" i="12"/>
  <c r="P121" i="12" s="1"/>
  <c r="H121" i="12" s="1"/>
  <c r="I121" i="12" s="1"/>
  <c r="P121" i="11"/>
  <c r="O63" i="12"/>
  <c r="P63" i="12" s="1"/>
  <c r="P63" i="11"/>
  <c r="P86" i="11"/>
  <c r="O86" i="12"/>
  <c r="P86" i="12" s="1"/>
  <c r="O123" i="12"/>
  <c r="P123" i="12" s="1"/>
  <c r="H123" i="12" s="1"/>
  <c r="I123" i="12" s="1"/>
  <c r="P123" i="11"/>
  <c r="P53" i="11"/>
  <c r="O53" i="12"/>
  <c r="P53" i="12" s="1"/>
  <c r="H53" i="12" s="1"/>
  <c r="I53" i="12" s="1"/>
  <c r="O93" i="10"/>
  <c r="O43" i="12"/>
  <c r="P43" i="12" s="1"/>
  <c r="P43" i="11"/>
  <c r="P99" i="11"/>
  <c r="O99" i="12"/>
  <c r="P99" i="12" s="1"/>
  <c r="O83" i="12"/>
  <c r="P83" i="12" s="1"/>
  <c r="P83" i="11"/>
  <c r="O77" i="12"/>
  <c r="P77" i="12" s="1"/>
  <c r="P77" i="11"/>
  <c r="H77" i="11" s="1"/>
  <c r="I77" i="11" s="1"/>
  <c r="O140" i="12"/>
  <c r="P140" i="12" s="1"/>
  <c r="P140" i="11"/>
  <c r="O19" i="12"/>
  <c r="P19" i="12" s="1"/>
  <c r="H19" i="12" s="1"/>
  <c r="I19" i="12" s="1"/>
  <c r="P19" i="11"/>
  <c r="O57" i="12"/>
  <c r="P57" i="12" s="1"/>
  <c r="P57" i="11"/>
  <c r="P113" i="11"/>
  <c r="O113" i="12"/>
  <c r="P113" i="12" s="1"/>
  <c r="O118" i="12" s="1"/>
  <c r="P88" i="11"/>
  <c r="H88" i="11" s="1"/>
  <c r="I88" i="11" s="1"/>
  <c r="O88" i="12"/>
  <c r="P88" i="12" s="1"/>
  <c r="H88" i="12" s="1"/>
  <c r="I88" i="12" s="1"/>
  <c r="O146" i="10"/>
  <c r="P138" i="11"/>
  <c r="H138" i="11" s="1"/>
  <c r="I138" i="11" s="1"/>
  <c r="O138" i="12"/>
  <c r="P138" i="12" s="1"/>
  <c r="H138" i="12" s="1"/>
  <c r="I138" i="12" s="1"/>
  <c r="O34" i="10"/>
  <c r="O10" i="12"/>
  <c r="P10" i="12" s="1"/>
  <c r="H10" i="12" s="1"/>
  <c r="I10" i="12" s="1"/>
  <c r="P10" i="11"/>
  <c r="H10" i="11" s="1"/>
  <c r="I10" i="11" s="1"/>
  <c r="P75" i="11"/>
  <c r="O75" i="12"/>
  <c r="P75" i="12" s="1"/>
  <c r="P72" i="11"/>
  <c r="O72" i="12"/>
  <c r="P72" i="12" s="1"/>
  <c r="O70" i="12"/>
  <c r="P70" i="12" s="1"/>
  <c r="H70" i="12" s="1"/>
  <c r="I70" i="12" s="1"/>
  <c r="P70" i="11"/>
  <c r="O20" i="12"/>
  <c r="P20" i="12" s="1"/>
  <c r="P20" i="11"/>
  <c r="O95" i="12"/>
  <c r="P95" i="12" s="1"/>
  <c r="P95" i="11"/>
  <c r="P62" i="11"/>
  <c r="O62" i="12"/>
  <c r="P62" i="12" s="1"/>
  <c r="O29" i="12"/>
  <c r="P29" i="12" s="1"/>
  <c r="P29" i="11"/>
  <c r="O96" i="12"/>
  <c r="P96" i="12" s="1"/>
  <c r="P96" i="11"/>
  <c r="P137" i="11"/>
  <c r="H137" i="11" s="1"/>
  <c r="I137" i="11" s="1"/>
  <c r="O137" i="12"/>
  <c r="P137" i="12" s="1"/>
  <c r="H137" i="12" s="1"/>
  <c r="I137" i="12" s="1"/>
  <c r="O73" i="12"/>
  <c r="P73" i="12" s="1"/>
  <c r="P73" i="11"/>
  <c r="O76" i="12"/>
  <c r="P76" i="12" s="1"/>
  <c r="P76" i="11"/>
  <c r="H76" i="11" s="1"/>
  <c r="I76" i="11" s="1"/>
  <c r="P28" i="11"/>
  <c r="H28" i="11" s="1"/>
  <c r="I28" i="11" s="1"/>
  <c r="H34" i="11" s="1"/>
  <c r="O28" i="12"/>
  <c r="P28" i="12" s="1"/>
  <c r="H28" i="12" s="1"/>
  <c r="I28" i="12" s="1"/>
  <c r="H34" i="12" s="1"/>
  <c r="O85" i="12"/>
  <c r="P85" i="12" s="1"/>
  <c r="P85" i="11"/>
  <c r="O106" i="12"/>
  <c r="P106" i="12" s="1"/>
  <c r="P106" i="11"/>
  <c r="O58" i="12"/>
  <c r="P58" i="12" s="1"/>
  <c r="P58" i="11"/>
  <c r="P79" i="11"/>
  <c r="O79" i="12"/>
  <c r="P79" i="12" s="1"/>
  <c r="O81" i="12"/>
  <c r="P81" i="12" s="1"/>
  <c r="P81" i="11"/>
  <c r="H148" i="3"/>
  <c r="F186" i="1" s="1"/>
  <c r="H68" i="11" l="1"/>
  <c r="V83" i="1" s="1"/>
  <c r="X125" i="1"/>
  <c r="X125" i="13"/>
  <c r="O118" i="11"/>
  <c r="H113" i="11"/>
  <c r="I113" i="11" s="1"/>
  <c r="H118" i="11" s="1"/>
  <c r="H93" i="12"/>
  <c r="X111" i="1" s="1"/>
  <c r="H146" i="12"/>
  <c r="X182" i="1" s="1"/>
  <c r="H146" i="11"/>
  <c r="V182" i="1" s="1"/>
  <c r="O48" i="12"/>
  <c r="H43" i="12"/>
  <c r="I43" i="12" s="1"/>
  <c r="H48" i="12" s="1"/>
  <c r="T60" i="1"/>
  <c r="T60" i="13"/>
  <c r="X40" i="1"/>
  <c r="X40" i="13"/>
  <c r="V40" i="1"/>
  <c r="V40" i="13"/>
  <c r="O48" i="11"/>
  <c r="H43" i="11"/>
  <c r="I43" i="11" s="1"/>
  <c r="H48" i="11" s="1"/>
  <c r="T135" i="13"/>
  <c r="T29" i="13"/>
  <c r="T168" i="13"/>
  <c r="T182" i="13"/>
  <c r="T158" i="13"/>
  <c r="V125" i="13"/>
  <c r="T83" i="13"/>
  <c r="T16" i="13"/>
  <c r="R186" i="1"/>
  <c r="R186" i="13"/>
  <c r="F186" i="13"/>
  <c r="H68" i="12"/>
  <c r="X83" i="1" s="1"/>
  <c r="H26" i="12"/>
  <c r="X29" i="1" s="1"/>
  <c r="H93" i="11"/>
  <c r="V111" i="1" s="1"/>
  <c r="O111" i="11"/>
  <c r="H106" i="11"/>
  <c r="I106" i="11" s="1"/>
  <c r="H111" i="11" s="1"/>
  <c r="V135" i="1" s="1"/>
  <c r="O135" i="12"/>
  <c r="H130" i="12"/>
  <c r="I130" i="12" s="1"/>
  <c r="H135" i="12" s="1"/>
  <c r="X168" i="1" s="1"/>
  <c r="O111" i="12"/>
  <c r="H106" i="12"/>
  <c r="I106" i="12" s="1"/>
  <c r="H111" i="12" s="1"/>
  <c r="X135" i="1" s="1"/>
  <c r="H128" i="12"/>
  <c r="X158" i="1" s="1"/>
  <c r="O135" i="11"/>
  <c r="H130" i="11"/>
  <c r="I130" i="11" s="1"/>
  <c r="H135" i="11" s="1"/>
  <c r="V168" i="1" s="1"/>
  <c r="O34" i="11"/>
  <c r="H16" i="11"/>
  <c r="V16" i="1" s="1"/>
  <c r="H16" i="12"/>
  <c r="X16" i="1" s="1"/>
  <c r="O146" i="12"/>
  <c r="O146" i="11"/>
  <c r="O104" i="11"/>
  <c r="H148" i="10"/>
  <c r="O93" i="11"/>
  <c r="O16" i="11"/>
  <c r="O93" i="12"/>
  <c r="O128" i="12"/>
  <c r="O128" i="11"/>
  <c r="O68" i="12"/>
  <c r="O68" i="11"/>
  <c r="O16" i="12"/>
  <c r="O104" i="12"/>
  <c r="O34" i="12"/>
  <c r="H36" i="12"/>
  <c r="I36" i="12" s="1"/>
  <c r="H41" i="12" s="1"/>
  <c r="X50" i="1" s="1"/>
  <c r="O41" i="12"/>
  <c r="O26" i="12"/>
  <c r="H36" i="11"/>
  <c r="I36" i="11" s="1"/>
  <c r="H41" i="11" s="1"/>
  <c r="V50" i="1" s="1"/>
  <c r="O41" i="11"/>
  <c r="H18" i="11"/>
  <c r="I18" i="11" s="1"/>
  <c r="H26" i="11" s="1"/>
  <c r="V29" i="1" s="1"/>
  <c r="O26" i="11"/>
  <c r="V83" i="13" l="1"/>
  <c r="AB125" i="13"/>
  <c r="X111" i="13"/>
  <c r="V145" i="1"/>
  <c r="V145" i="13"/>
  <c r="AB145" i="13" s="1"/>
  <c r="X182" i="13"/>
  <c r="F188" i="13"/>
  <c r="H188" i="13" s="1"/>
  <c r="J188" i="13" s="1"/>
  <c r="L188" i="13" s="1"/>
  <c r="N188" i="13" s="1"/>
  <c r="P188" i="13" s="1"/>
  <c r="R188" i="13" s="1"/>
  <c r="V182" i="13"/>
  <c r="AB40" i="13"/>
  <c r="V60" i="1"/>
  <c r="V60" i="13"/>
  <c r="X60" i="1"/>
  <c r="X60" i="13"/>
  <c r="V168" i="13"/>
  <c r="V29" i="13"/>
  <c r="V111" i="13"/>
  <c r="X158" i="13"/>
  <c r="AB158" i="13" s="1"/>
  <c r="V50" i="13"/>
  <c r="X135" i="13"/>
  <c r="X83" i="13"/>
  <c r="X29" i="13"/>
  <c r="X168" i="13"/>
  <c r="X50" i="13"/>
  <c r="V135" i="13"/>
  <c r="V16" i="13"/>
  <c r="X16" i="13"/>
  <c r="T186" i="1"/>
  <c r="T186" i="13"/>
  <c r="H148" i="11"/>
  <c r="H148" i="12"/>
  <c r="AB83" i="13" l="1"/>
  <c r="AB111" i="13"/>
  <c r="AB182" i="13"/>
  <c r="AB60" i="13"/>
  <c r="AB29" i="13"/>
  <c r="AB16" i="13"/>
  <c r="AB135" i="13"/>
  <c r="AB50" i="13"/>
  <c r="AB168" i="13"/>
  <c r="T188" i="13"/>
  <c r="X186" i="1"/>
  <c r="X186" i="13"/>
  <c r="V186" i="1"/>
  <c r="V186" i="13"/>
  <c r="AB186" i="13" l="1"/>
  <c r="V188" i="13"/>
  <c r="X188" i="13" s="1"/>
</calcChain>
</file>

<file path=xl/sharedStrings.xml><?xml version="1.0" encoding="utf-8"?>
<sst xmlns="http://schemas.openxmlformats.org/spreadsheetml/2006/main" count="992" uniqueCount="148">
  <si>
    <t>ITEM</t>
  </si>
  <si>
    <t>External Building Areas - Maintenace Schedule</t>
  </si>
  <si>
    <t>UNIT</t>
  </si>
  <si>
    <t>MEASURE</t>
  </si>
  <si>
    <t>RATE</t>
  </si>
  <si>
    <t>TOTAL</t>
  </si>
  <si>
    <t>m2</t>
  </si>
  <si>
    <t xml:space="preserve">Total </t>
  </si>
  <si>
    <t>lm</t>
  </si>
  <si>
    <t>Total Per Year</t>
  </si>
  <si>
    <t>Electrical Areas</t>
  </si>
  <si>
    <t>External Plumbing Areas</t>
  </si>
  <si>
    <t>Heating and Cooling Systems</t>
  </si>
  <si>
    <t>Lifts</t>
  </si>
  <si>
    <t>Communication and Service Supply Systems</t>
  </si>
  <si>
    <t>Painting of Demarcation Lines</t>
  </si>
  <si>
    <t>Roadways and Paved Areas</t>
  </si>
  <si>
    <t>Parking Facilities</t>
  </si>
  <si>
    <t>Community and Recreational Facilities</t>
  </si>
  <si>
    <t>No</t>
  </si>
  <si>
    <t>All</t>
  </si>
  <si>
    <t>Carpeting and Furnishing</t>
  </si>
  <si>
    <t>Calculation Rates</t>
  </si>
  <si>
    <t>Indication</t>
  </si>
  <si>
    <t>Roof  Areas</t>
  </si>
  <si>
    <t>Reinstatement of Walkways (Grouting and Tiles)</t>
  </si>
  <si>
    <t>WORK ON THIS COLUMNS !!</t>
  </si>
  <si>
    <t>Servicing of Full-Bore Piping</t>
  </si>
  <si>
    <t>Internal Common Walls and Soffit Areas</t>
  </si>
  <si>
    <t>item</t>
  </si>
  <si>
    <t>Cleaning &amp; Maintenance &amp; Repairs of Gutters and Downpipes</t>
  </si>
  <si>
    <t>Past Contribution</t>
  </si>
  <si>
    <t>Total Per  Current Year 2017</t>
  </si>
  <si>
    <t>Bin Room</t>
  </si>
  <si>
    <t>Flat Roof Replacement</t>
  </si>
  <si>
    <t xml:space="preserve">Flat Roof Service </t>
  </si>
  <si>
    <t xml:space="preserve">Waterproofing </t>
  </si>
  <si>
    <t>Painting of Facais and Barge Boarding</t>
  </si>
  <si>
    <t>Servicing of Roof Screws</t>
  </si>
  <si>
    <t>INDICATION OF REQUIRED WORKS</t>
  </si>
  <si>
    <t>Current Year PRICE</t>
  </si>
  <si>
    <t>.</t>
  </si>
  <si>
    <t>Brickwork Repairs</t>
  </si>
  <si>
    <t>Estimated Cost</t>
  </si>
  <si>
    <t>Total Estimated Cost</t>
  </si>
  <si>
    <t>Repairs to Storm Water Gullies</t>
  </si>
  <si>
    <t>Painting and Repairs</t>
  </si>
  <si>
    <t>Painting External Wooden Soffits</t>
  </si>
  <si>
    <t>Required Contribution per year</t>
  </si>
  <si>
    <t>CategoryID</t>
  </si>
  <si>
    <t>LineItemID</t>
  </si>
  <si>
    <t>Current Est. Cost</t>
  </si>
  <si>
    <t>Yearly Escalation</t>
  </si>
  <si>
    <t>Escalation:</t>
  </si>
  <si>
    <t>Number of Units</t>
  </si>
  <si>
    <t xml:space="preserve">Flashings/Counter Flashings </t>
  </si>
  <si>
    <t>Copyright © 2017 THC Building Consultants | All rights reserved</t>
  </si>
  <si>
    <t>E</t>
  </si>
  <si>
    <t>Total Past Contribution</t>
  </si>
  <si>
    <t>Total Est. Required Contribution per Year</t>
  </si>
  <si>
    <t>Accumulated Contributions (Savings)</t>
  </si>
  <si>
    <t>Est. Contribution Per Unit Per Year (Average)</t>
  </si>
  <si>
    <t>Est. Contribution Per Unit Per Month (Average)</t>
  </si>
  <si>
    <t>%</t>
  </si>
  <si>
    <t>p</t>
  </si>
  <si>
    <t>c</t>
  </si>
  <si>
    <t>r</t>
  </si>
  <si>
    <t>m3</t>
  </si>
  <si>
    <t>blank</t>
  </si>
  <si>
    <t>Shade Port Netting (Replacement and Maintanance)</t>
  </si>
  <si>
    <t>Glass to Frame Sealant (Skylights)</t>
  </si>
  <si>
    <t>Concrete Areas (Reinstatement)</t>
  </si>
  <si>
    <t>Tarmac Areas (Reinstatement)</t>
  </si>
  <si>
    <t xml:space="preserve">External Woodwork </t>
  </si>
  <si>
    <t>Wall to Frame Sealant (Exposed)</t>
  </si>
  <si>
    <t>Asbestos Water Tanks (Replace)</t>
  </si>
  <si>
    <t>Replacing of Cast Iron Stack Pipes with PVC</t>
  </si>
  <si>
    <t>Tranformers (Service Interval 3 Years)</t>
  </si>
  <si>
    <t>General Electrics and Lighting (Replacement/Repairs)</t>
  </si>
  <si>
    <t>General Plumbing Repairs/Upgrade (Stacks, Valves etc.)</t>
  </si>
  <si>
    <t>Rectify Reticalation Connections at Fire Hydrants</t>
  </si>
  <si>
    <t>Lift Upgrade Savings</t>
  </si>
  <si>
    <t>Common Area Equipment/Furnishings (Replacement/Maintenance)</t>
  </si>
  <si>
    <t>Garages (Maintanance)</t>
  </si>
  <si>
    <t>Paving  Areas (Reinstatement)</t>
  </si>
  <si>
    <t>Security Systems and Facilities</t>
  </si>
  <si>
    <t>Security Equipment (Replacement/Upgrade Savings)</t>
  </si>
  <si>
    <t>Years till next required outside scope (from first year)</t>
  </si>
  <si>
    <t>Main Gate &amp; Motor (Replacement Savings)</t>
  </si>
  <si>
    <t>Ventilation Shafts (Maintenance &amp; Upgrade Savings)</t>
  </si>
  <si>
    <t>Air Conditioning Units (Maintenance &amp; Upgrade Savings)</t>
  </si>
  <si>
    <t>Solar Panels (Maintenance &amp; Upgrade Savings)</t>
  </si>
  <si>
    <t>Lift Replacement (Only in 12-15 years)</t>
  </si>
  <si>
    <t>General Roof Repairs</t>
  </si>
  <si>
    <t xml:space="preserve">Painting &amp; Repair of Metal Roof Areas </t>
  </si>
  <si>
    <t xml:space="preserve">Servicing and Re-lignment of Gutters </t>
  </si>
  <si>
    <t>Replacement of Polycarbonate Roof Sheeting</t>
  </si>
  <si>
    <t>Replacement of Tile Roofs</t>
  </si>
  <si>
    <t>Replacement of Tile Roof and Structure</t>
  </si>
  <si>
    <t>Replacement of Fibre Cement Roof</t>
  </si>
  <si>
    <t>Metal Windows and Putty Repairs</t>
  </si>
  <si>
    <t xml:space="preserve">External Steelwork </t>
  </si>
  <si>
    <t xml:space="preserve">Pointing &amp; Brickwork Repairs </t>
  </si>
  <si>
    <t xml:space="preserve">Walkway and Staircases (Cementitious Waterproofing) </t>
  </si>
  <si>
    <t>Waterproofing Servicing of Parapets</t>
  </si>
  <si>
    <t>Tarmac Damaged Areas (Replacement)</t>
  </si>
  <si>
    <t>Pool Area (Re-Surfacing)</t>
  </si>
  <si>
    <t>Pool Area (Maintenance/Repairs Savings)</t>
  </si>
  <si>
    <t xml:space="preserve">Painting &amp; Repair of Tile Roof Areas </t>
  </si>
  <si>
    <t>Replacement of Damaged Metal Roof Sheeting</t>
  </si>
  <si>
    <t xml:space="preserve">Painting &amp; Repairs of Asbestos Roof Areas </t>
  </si>
  <si>
    <t xml:space="preserve">Painting &amp; Repairs of Fibre Cement Roof Areas </t>
  </si>
  <si>
    <t>Water Tanks and Pumps (Maintenance/Repairs Savings)</t>
  </si>
  <si>
    <t>Generators (Maintenance Savings)</t>
  </si>
  <si>
    <t>WORK DUE IN FINANCIAL YEAR</t>
  </si>
  <si>
    <t>2021/2022</t>
  </si>
  <si>
    <t>2022/2023</t>
  </si>
  <si>
    <t>2023/2024</t>
  </si>
  <si>
    <t>2024/2025</t>
  </si>
  <si>
    <t>2025/2026</t>
  </si>
  <si>
    <t>2026/2027</t>
  </si>
  <si>
    <t>2027/2028</t>
  </si>
  <si>
    <t>2028/2029</t>
  </si>
  <si>
    <t xml:space="preserve">WORK DUE IN FINANFIAL YEAR </t>
  </si>
  <si>
    <t xml:space="preserve">Basement Parking Walls and Soffits Areas </t>
  </si>
  <si>
    <t>Cleaning of Cladding Panels</t>
  </si>
  <si>
    <t>Painting of Palisade Fencing</t>
  </si>
  <si>
    <t>Communication Systems (Service &amp; Upgrade Savings)</t>
  </si>
  <si>
    <t>Fire Equipment and Signage (Replace)</t>
  </si>
  <si>
    <t>Communal Areas (Pool, Gym Areas, ablutions etc Upgrade/Replacment of Fixtures &amp; Equipment)</t>
  </si>
  <si>
    <t>Laundry Room (Maintain/Replace)</t>
  </si>
  <si>
    <t>TOTALS</t>
  </si>
  <si>
    <t>Yearly Escalation (change on view not here!)</t>
  </si>
  <si>
    <t>v18.2</t>
  </si>
  <si>
    <t>Exposed Tops</t>
  </si>
  <si>
    <t>Painted Floors</t>
  </si>
  <si>
    <t>Nutec Walls</t>
  </si>
  <si>
    <t>Intercom Systems (Replacement Maintenance/Savings)</t>
  </si>
  <si>
    <t>x</t>
  </si>
  <si>
    <t xml:space="preserve">Intercom System Replacement </t>
  </si>
  <si>
    <t>CCTV Installation</t>
  </si>
  <si>
    <t>Roof Repairs (Phase 2)</t>
  </si>
  <si>
    <t>Waterproofing of Walkways</t>
  </si>
  <si>
    <t>External  Painting and Remedial Repairs</t>
  </si>
  <si>
    <t>Internal Repairs to Apartments 505, 405, 305</t>
  </si>
  <si>
    <t>2029/2030</t>
  </si>
  <si>
    <t>2030/2031</t>
  </si>
  <si>
    <t>KNIGHTSBRIDGE - DESK REVIEW MAINTENANCE SCHEDULE (2021)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</si>
</sst>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8" formatCode="&quot;R&quot;#,##0.00_);[Red]\(&quot;R&quot;#,##0.00\)"/>
    <numFmt numFmtId="164" formatCode="&quot;R&quot;\ #,##0.00;[Red]&quot;R&quot;\ \-#,##0.00"/>
    <numFmt numFmtId="165" formatCode="_ &quot;R&quot;\ * #,##0.00_ ;_ &quot;R&quot;\ * \-#,##0.00_ ;_ &quot;R&quot;\ * &quot;-&quot;??_ ;_ @_ "/>
    <numFmt numFmtId="166" formatCode="_ &quot;R&quot;\ * #,##0.00000000_ ;_ &quot;R&quot;\ * \-#,##0.00000000_ ;_ &quot;R&quot;\ * &quot;-&quot;??_ ;_ @_ "/>
    <numFmt numFmtId="167" formatCode="0.0"/>
    <numFmt numFmtId="168" formatCode="&quot;R&quot;#,##0.00"/>
  </numFmts>
  <fonts count="31">
    <font>
      <sz val="11"/>
      <color theme="1"/>
      <name val="Calibri"/>
      <family val="2"/>
      <scheme val="minor"/>
    </font>
    <font>
      <b/>
      <sz val="24"/>
      <color rgb="FFFF0000"/>
      <name val="Century Gothic"/>
      <family val="2"/>
    </font>
    <font>
      <b/>
      <sz val="11"/>
      <color theme="1"/>
      <name val="Century Gothic"/>
      <family val="2"/>
    </font>
    <font>
      <sz val="11"/>
      <color theme="1"/>
      <name val="Century Gothic"/>
      <family val="2"/>
    </font>
    <font>
      <b/>
      <u/>
      <sz val="11"/>
      <color theme="1"/>
      <name val="Century Gothic"/>
      <family val="2"/>
    </font>
    <font>
      <sz val="12"/>
      <color theme="1"/>
      <name val="Century Gothic"/>
      <family val="2"/>
    </font>
    <font>
      <b/>
      <sz val="18"/>
      <color theme="1"/>
      <name val="Century Gothic"/>
      <family val="2"/>
    </font>
    <font>
      <b/>
      <sz val="14"/>
      <color theme="1"/>
      <name val="Century Gothic"/>
      <family val="2"/>
    </font>
    <font>
      <b/>
      <sz val="12"/>
      <color theme="1"/>
      <name val="Century Gothic"/>
      <family val="2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rgb="FFFF0000"/>
      <name val="Century Gothic"/>
      <family val="2"/>
    </font>
    <font>
      <sz val="12"/>
      <color theme="1"/>
      <name val="Calibri"/>
      <family val="2"/>
      <scheme val="minor"/>
    </font>
    <font>
      <b/>
      <u/>
      <sz val="12"/>
      <color theme="1"/>
      <name val="Century Gothic"/>
      <family val="2"/>
    </font>
    <font>
      <b/>
      <u/>
      <sz val="14"/>
      <color theme="1"/>
      <name val="Century Gothic"/>
      <family val="2"/>
    </font>
    <font>
      <b/>
      <sz val="14"/>
      <color theme="1"/>
      <name val="Calibri"/>
      <family val="2"/>
      <scheme val="minor"/>
    </font>
    <font>
      <b/>
      <sz val="16"/>
      <color theme="1"/>
      <name val="Century Gothic"/>
      <family val="2"/>
    </font>
    <font>
      <b/>
      <sz val="12"/>
      <color theme="0"/>
      <name val="Century Gothic"/>
      <family val="2"/>
    </font>
    <font>
      <b/>
      <sz val="11"/>
      <color theme="0"/>
      <name val="Century Gothic"/>
      <family val="2"/>
    </font>
    <font>
      <sz val="8"/>
      <color theme="1"/>
      <name val="Arial"/>
      <family val="2"/>
    </font>
    <font>
      <b/>
      <sz val="12"/>
      <color theme="1"/>
      <name val="Arial"/>
      <family val="2"/>
    </font>
    <font>
      <b/>
      <sz val="9"/>
      <color theme="1"/>
      <name val="Arial"/>
      <family val="2"/>
    </font>
    <font>
      <b/>
      <sz val="10"/>
      <color theme="1"/>
      <name val="Arial"/>
      <family val="2"/>
    </font>
    <font>
      <sz val="11"/>
      <color theme="2" tint="-9.9978637043366805E-2"/>
      <name val="Century Gothic"/>
      <family val="2"/>
    </font>
    <font>
      <b/>
      <sz val="14"/>
      <color theme="2" tint="-9.9978637043366805E-2"/>
      <name val="Century Gothic"/>
      <family val="2"/>
    </font>
    <font>
      <b/>
      <sz val="14"/>
      <color theme="2" tint="-9.9978637043366805E-2"/>
      <name val="Calibri"/>
      <family val="2"/>
      <scheme val="minor"/>
    </font>
    <font>
      <sz val="11"/>
      <color theme="2" tint="-9.9978637043366805E-2"/>
      <name val="Calibri"/>
      <family val="2"/>
      <scheme val="minor"/>
    </font>
    <font>
      <b/>
      <sz val="24"/>
      <color rgb="FF002060"/>
      <name val="Century Gothic"/>
      <family val="2"/>
    </font>
    <font>
      <b/>
      <sz val="16"/>
      <color rgb="FF002060"/>
      <name val="Century Gothic"/>
      <family val="2"/>
    </font>
    <font>
      <sz val="14"/>
      <color theme="1"/>
      <name val="Century Gothic"/>
      <family val="2"/>
    </font>
  </fonts>
  <fills count="11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theme="1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1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thick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165" fontId="11" fillId="0" borderId="0" applyFont="0" applyFill="0" applyBorder="0" applyAlignment="0" applyProtection="0"/>
  </cellStyleXfs>
  <cellXfs count="556">
    <xf numFmtId="0" fontId="0" fillId="0" borderId="0" xfId="0"/>
    <xf numFmtId="0" fontId="0" fillId="0" borderId="0" xfId="0" applyBorder="1"/>
    <xf numFmtId="166" fontId="0" fillId="0" borderId="0" xfId="0" applyNumberFormat="1"/>
    <xf numFmtId="0" fontId="5" fillId="0" borderId="0" xfId="0" applyFont="1" applyFill="1" applyAlignment="1"/>
    <xf numFmtId="0" fontId="0" fillId="0" borderId="0" xfId="0" applyFill="1"/>
    <xf numFmtId="167" fontId="9" fillId="0" borderId="0" xfId="0" applyNumberFormat="1" applyFont="1" applyFill="1" applyAlignment="1">
      <alignment horizontal="center"/>
    </xf>
    <xf numFmtId="0" fontId="0" fillId="0" borderId="0" xfId="0" applyFill="1" applyProtection="1">
      <protection locked="0"/>
    </xf>
    <xf numFmtId="0" fontId="0" fillId="0" borderId="0" xfId="0" applyProtection="1">
      <protection locked="0"/>
    </xf>
    <xf numFmtId="0" fontId="0" fillId="0" borderId="0" xfId="0" applyFill="1" applyBorder="1" applyProtection="1">
      <protection locked="0"/>
    </xf>
    <xf numFmtId="168" fontId="0" fillId="0" borderId="0" xfId="0" applyNumberFormat="1" applyFill="1" applyProtection="1">
      <protection locked="0"/>
    </xf>
    <xf numFmtId="167" fontId="9" fillId="0" borderId="0" xfId="0" applyNumberFormat="1" applyFont="1" applyFill="1" applyAlignment="1" applyProtection="1">
      <alignment horizontal="center"/>
      <protection locked="0"/>
    </xf>
    <xf numFmtId="3" fontId="0" fillId="0" borderId="0" xfId="0" applyNumberFormat="1" applyFill="1" applyBorder="1" applyProtection="1">
      <protection locked="0"/>
    </xf>
    <xf numFmtId="168" fontId="3" fillId="0" borderId="16" xfId="0" applyNumberFormat="1" applyFont="1" applyFill="1" applyBorder="1" applyAlignment="1" applyProtection="1">
      <alignment vertical="center" wrapText="1"/>
      <protection hidden="1"/>
    </xf>
    <xf numFmtId="168" fontId="0" fillId="0" borderId="0" xfId="0" applyNumberFormat="1" applyFill="1" applyBorder="1" applyProtection="1">
      <protection locked="0" hidden="1"/>
    </xf>
    <xf numFmtId="0" fontId="3" fillId="3" borderId="7" xfId="0" applyFont="1" applyFill="1" applyBorder="1" applyAlignment="1" applyProtection="1">
      <alignment vertical="center" wrapText="1"/>
      <protection hidden="1"/>
    </xf>
    <xf numFmtId="0" fontId="3" fillId="0" borderId="3" xfId="0" applyFont="1" applyFill="1" applyBorder="1" applyAlignment="1" applyProtection="1">
      <alignment vertical="center" wrapText="1"/>
      <protection hidden="1"/>
    </xf>
    <xf numFmtId="167" fontId="2" fillId="0" borderId="3" xfId="0" applyNumberFormat="1" applyFont="1" applyFill="1" applyBorder="1" applyAlignment="1" applyProtection="1">
      <alignment horizontal="center" vertical="center" wrapText="1"/>
      <protection hidden="1"/>
    </xf>
    <xf numFmtId="0" fontId="7" fillId="0" borderId="12" xfId="0" applyFont="1" applyFill="1" applyBorder="1" applyAlignment="1" applyProtection="1">
      <alignment horizontal="center" vertical="center"/>
      <protection hidden="1"/>
    </xf>
    <xf numFmtId="0" fontId="7" fillId="0" borderId="3" xfId="0" applyFont="1" applyFill="1" applyBorder="1" applyAlignment="1" applyProtection="1">
      <alignment horizontal="center" vertical="center"/>
      <protection hidden="1"/>
    </xf>
    <xf numFmtId="0" fontId="3" fillId="0" borderId="7" xfId="0" applyFont="1" applyFill="1" applyBorder="1" applyAlignment="1" applyProtection="1">
      <alignment vertical="center" wrapText="1"/>
      <protection hidden="1"/>
    </xf>
    <xf numFmtId="167" fontId="2" fillId="0" borderId="8" xfId="0" applyNumberFormat="1" applyFont="1" applyFill="1" applyBorder="1" applyAlignment="1" applyProtection="1">
      <alignment horizontal="center" vertical="center" wrapText="1"/>
      <protection hidden="1"/>
    </xf>
    <xf numFmtId="167" fontId="2" fillId="0" borderId="7" xfId="0" applyNumberFormat="1" applyFont="1" applyFill="1" applyBorder="1" applyAlignment="1" applyProtection="1">
      <alignment horizontal="center" vertical="center" wrapText="1"/>
      <protection hidden="1"/>
    </xf>
    <xf numFmtId="0" fontId="4" fillId="0" borderId="9" xfId="0" applyFont="1" applyBorder="1" applyAlignment="1" applyProtection="1">
      <protection hidden="1"/>
    </xf>
    <xf numFmtId="0" fontId="2" fillId="0" borderId="9" xfId="0" applyFont="1" applyBorder="1" applyAlignment="1" applyProtection="1">
      <alignment horizontal="center"/>
      <protection hidden="1"/>
    </xf>
    <xf numFmtId="0" fontId="3" fillId="0" borderId="9" xfId="0" applyFont="1" applyBorder="1" applyAlignment="1" applyProtection="1">
      <protection hidden="1"/>
    </xf>
    <xf numFmtId="0" fontId="3" fillId="0" borderId="10" xfId="0" applyFont="1" applyBorder="1" applyAlignment="1" applyProtection="1">
      <protection hidden="1"/>
    </xf>
    <xf numFmtId="0" fontId="3" fillId="0" borderId="3" xfId="0" applyFont="1" applyBorder="1" applyAlignment="1" applyProtection="1">
      <alignment horizontal="left"/>
      <protection hidden="1"/>
    </xf>
    <xf numFmtId="0" fontId="2" fillId="0" borderId="9" xfId="0" applyFont="1" applyFill="1" applyBorder="1" applyAlignment="1" applyProtection="1">
      <alignment horizontal="center"/>
      <protection hidden="1"/>
    </xf>
    <xf numFmtId="2" fontId="2" fillId="0" borderId="7" xfId="0" applyNumberFormat="1" applyFont="1" applyFill="1" applyBorder="1" applyAlignment="1" applyProtection="1">
      <alignment horizontal="center" vertical="center" wrapText="1"/>
      <protection hidden="1"/>
    </xf>
    <xf numFmtId="167" fontId="2" fillId="0" borderId="12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4" xfId="0" applyBorder="1" applyProtection="1">
      <protection hidden="1"/>
    </xf>
    <xf numFmtId="0" fontId="0" fillId="0" borderId="0" xfId="0" applyFill="1" applyProtection="1">
      <protection hidden="1"/>
    </xf>
    <xf numFmtId="0" fontId="3" fillId="3" borderId="17" xfId="0" applyFont="1" applyFill="1" applyBorder="1" applyAlignment="1" applyProtection="1">
      <alignment vertical="center" wrapText="1"/>
      <protection hidden="1"/>
    </xf>
    <xf numFmtId="0" fontId="3" fillId="3" borderId="0" xfId="0" applyFont="1" applyFill="1" applyBorder="1" applyAlignment="1" applyProtection="1">
      <alignment vertical="center" wrapText="1"/>
      <protection hidden="1"/>
    </xf>
    <xf numFmtId="0" fontId="3" fillId="3" borderId="5" xfId="0" applyFont="1" applyFill="1" applyBorder="1" applyAlignment="1" applyProtection="1">
      <alignment vertical="center" wrapText="1"/>
      <protection hidden="1"/>
    </xf>
    <xf numFmtId="0" fontId="3" fillId="0" borderId="1" xfId="0" applyFont="1" applyFill="1" applyBorder="1" applyAlignment="1" applyProtection="1">
      <alignment vertical="center" wrapText="1"/>
      <protection hidden="1"/>
    </xf>
    <xf numFmtId="3" fontId="3" fillId="0" borderId="0" xfId="0" applyNumberFormat="1" applyFont="1" applyFill="1" applyBorder="1" applyAlignment="1" applyProtection="1">
      <alignment vertical="center" wrapText="1"/>
      <protection hidden="1"/>
    </xf>
    <xf numFmtId="168" fontId="3" fillId="0" borderId="0" xfId="0" applyNumberFormat="1" applyFont="1" applyFill="1" applyBorder="1" applyAlignment="1" applyProtection="1">
      <alignment vertical="center" wrapText="1"/>
      <protection hidden="1"/>
    </xf>
    <xf numFmtId="0" fontId="3" fillId="3" borderId="6" xfId="0" applyFont="1" applyFill="1" applyBorder="1" applyAlignment="1" applyProtection="1">
      <alignment vertical="center" wrapText="1"/>
      <protection hidden="1"/>
    </xf>
    <xf numFmtId="0" fontId="3" fillId="0" borderId="12" xfId="0" applyFont="1" applyFill="1" applyBorder="1" applyAlignment="1" applyProtection="1">
      <alignment vertical="center" wrapText="1"/>
      <protection hidden="1"/>
    </xf>
    <xf numFmtId="0" fontId="3" fillId="0" borderId="0" xfId="0" applyFont="1" applyFill="1" applyBorder="1" applyAlignment="1" applyProtection="1">
      <alignment vertical="center" wrapText="1"/>
      <protection hidden="1"/>
    </xf>
    <xf numFmtId="0" fontId="0" fillId="0" borderId="0" xfId="0" applyFill="1" applyBorder="1" applyProtection="1">
      <protection hidden="1"/>
    </xf>
    <xf numFmtId="3" fontId="3" fillId="0" borderId="4" xfId="0" applyNumberFormat="1" applyFont="1" applyFill="1" applyBorder="1" applyAlignment="1" applyProtection="1">
      <alignment vertical="center" wrapText="1"/>
      <protection hidden="1"/>
    </xf>
    <xf numFmtId="168" fontId="3" fillId="0" borderId="4" xfId="0" applyNumberFormat="1" applyFont="1" applyFill="1" applyBorder="1" applyAlignment="1" applyProtection="1">
      <alignment vertical="center" wrapText="1"/>
      <protection hidden="1"/>
    </xf>
    <xf numFmtId="0" fontId="0" fillId="0" borderId="0" xfId="0" applyProtection="1">
      <protection hidden="1"/>
    </xf>
    <xf numFmtId="3" fontId="0" fillId="0" borderId="0" xfId="0" applyNumberFormat="1" applyFill="1" applyBorder="1" applyProtection="1">
      <protection hidden="1"/>
    </xf>
    <xf numFmtId="168" fontId="0" fillId="0" borderId="0" xfId="0" applyNumberFormat="1" applyFill="1" applyBorder="1" applyProtection="1">
      <protection hidden="1"/>
    </xf>
    <xf numFmtId="0" fontId="2" fillId="0" borderId="2" xfId="0" applyFont="1" applyFill="1" applyBorder="1" applyProtection="1">
      <protection hidden="1"/>
    </xf>
    <xf numFmtId="164" fontId="2" fillId="0" borderId="2" xfId="0" applyNumberFormat="1" applyFont="1" applyFill="1" applyBorder="1" applyAlignment="1" applyProtection="1">
      <alignment horizontal="center"/>
      <protection hidden="1"/>
    </xf>
    <xf numFmtId="0" fontId="1" fillId="0" borderId="2" xfId="0" applyFont="1" applyBorder="1" applyAlignment="1" applyProtection="1">
      <alignment vertical="center"/>
      <protection hidden="1"/>
    </xf>
    <xf numFmtId="0" fontId="1" fillId="0" borderId="4" xfId="0" applyFont="1" applyBorder="1" applyAlignment="1" applyProtection="1">
      <alignment vertical="center"/>
      <protection hidden="1"/>
    </xf>
    <xf numFmtId="0" fontId="6" fillId="2" borderId="10" xfId="0" applyFont="1" applyFill="1" applyBorder="1" applyAlignment="1" applyProtection="1">
      <alignment vertical="center"/>
      <protection hidden="1"/>
    </xf>
    <xf numFmtId="0" fontId="6" fillId="2" borderId="11" xfId="0" applyFont="1" applyFill="1" applyBorder="1" applyAlignment="1" applyProtection="1">
      <alignment vertical="center"/>
      <protection hidden="1"/>
    </xf>
    <xf numFmtId="0" fontId="7" fillId="0" borderId="4" xfId="0" applyFont="1" applyFill="1" applyBorder="1" applyAlignment="1" applyProtection="1">
      <alignment vertical="center"/>
      <protection hidden="1"/>
    </xf>
    <xf numFmtId="0" fontId="7" fillId="0" borderId="14" xfId="0" applyFont="1" applyFill="1" applyBorder="1" applyAlignment="1" applyProtection="1">
      <alignment vertical="center"/>
      <protection hidden="1"/>
    </xf>
    <xf numFmtId="0" fontId="4" fillId="0" borderId="8" xfId="0" applyFont="1" applyBorder="1" applyAlignment="1" applyProtection="1">
      <alignment horizontal="center"/>
      <protection hidden="1"/>
    </xf>
    <xf numFmtId="0" fontId="2" fillId="0" borderId="0" xfId="0" applyFont="1" applyBorder="1" applyAlignment="1" applyProtection="1">
      <alignment horizontal="center" vertical="center"/>
      <protection hidden="1"/>
    </xf>
    <xf numFmtId="0" fontId="2" fillId="0" borderId="12" xfId="0" applyFont="1" applyBorder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horizontal="center" vertical="center"/>
      <protection hidden="1"/>
    </xf>
    <xf numFmtId="0" fontId="2" fillId="0" borderId="15" xfId="0" applyFont="1" applyBorder="1" applyAlignment="1" applyProtection="1">
      <alignment horizontal="center" vertical="center"/>
      <protection hidden="1"/>
    </xf>
    <xf numFmtId="0" fontId="4" fillId="3" borderId="2" xfId="0" applyFont="1" applyFill="1" applyBorder="1" applyAlignment="1" applyProtection="1">
      <protection hidden="1"/>
    </xf>
    <xf numFmtId="0" fontId="3" fillId="0" borderId="2" xfId="0" applyFont="1" applyBorder="1" applyAlignment="1" applyProtection="1">
      <protection hidden="1"/>
    </xf>
    <xf numFmtId="0" fontId="3" fillId="0" borderId="13" xfId="0" applyFont="1" applyBorder="1" applyAlignment="1" applyProtection="1">
      <protection hidden="1"/>
    </xf>
    <xf numFmtId="0" fontId="3" fillId="0" borderId="11" xfId="0" applyFont="1" applyBorder="1" applyAlignment="1" applyProtection="1">
      <protection hidden="1"/>
    </xf>
    <xf numFmtId="0" fontId="3" fillId="2" borderId="0" xfId="0" applyFont="1" applyFill="1" applyBorder="1" applyAlignment="1" applyProtection="1">
      <alignment horizontal="center"/>
      <protection hidden="1"/>
    </xf>
    <xf numFmtId="1" fontId="3" fillId="2" borderId="0" xfId="0" applyNumberFormat="1" applyFont="1" applyFill="1" applyBorder="1" applyAlignment="1" applyProtection="1">
      <alignment horizontal="center"/>
      <protection hidden="1"/>
    </xf>
    <xf numFmtId="0" fontId="3" fillId="0" borderId="17" xfId="0" applyFont="1" applyFill="1" applyBorder="1" applyAlignment="1" applyProtection="1">
      <alignment horizontal="center"/>
      <protection hidden="1"/>
    </xf>
    <xf numFmtId="0" fontId="3" fillId="0" borderId="7" xfId="0" applyFont="1" applyBorder="1" applyAlignment="1" applyProtection="1">
      <alignment horizontal="center"/>
      <protection hidden="1"/>
    </xf>
    <xf numFmtId="164" fontId="3" fillId="0" borderId="7" xfId="0" applyNumberFormat="1" applyFont="1" applyBorder="1" applyAlignment="1" applyProtection="1">
      <alignment horizontal="center"/>
      <protection hidden="1"/>
    </xf>
    <xf numFmtId="164" fontId="3" fillId="0" borderId="16" xfId="0" applyNumberFormat="1" applyFont="1" applyBorder="1" applyAlignment="1" applyProtection="1">
      <alignment horizontal="center"/>
      <protection hidden="1"/>
    </xf>
    <xf numFmtId="0" fontId="3" fillId="0" borderId="7" xfId="0" applyFont="1" applyFill="1" applyBorder="1" applyAlignment="1" applyProtection="1">
      <alignment horizontal="center"/>
      <protection hidden="1"/>
    </xf>
    <xf numFmtId="0" fontId="3" fillId="0" borderId="12" xfId="0" applyFont="1" applyBorder="1" applyAlignment="1" applyProtection="1">
      <alignment horizontal="left"/>
      <protection hidden="1"/>
    </xf>
    <xf numFmtId="0" fontId="0" fillId="2" borderId="0" xfId="0" applyFill="1" applyBorder="1" applyProtection="1">
      <protection hidden="1"/>
    </xf>
    <xf numFmtId="164" fontId="3" fillId="0" borderId="0" xfId="0" applyNumberFormat="1" applyFont="1" applyBorder="1" applyAlignment="1" applyProtection="1">
      <alignment horizontal="center"/>
      <protection hidden="1"/>
    </xf>
    <xf numFmtId="0" fontId="2" fillId="0" borderId="1" xfId="0" applyFont="1" applyFill="1" applyBorder="1" applyAlignment="1" applyProtection="1">
      <alignment vertical="center"/>
      <protection hidden="1"/>
    </xf>
    <xf numFmtId="0" fontId="3" fillId="2" borderId="0" xfId="0" applyFont="1" applyFill="1" applyBorder="1" applyAlignment="1" applyProtection="1">
      <protection hidden="1"/>
    </xf>
    <xf numFmtId="0" fontId="3" fillId="0" borderId="6" xfId="0" applyFont="1" applyBorder="1" applyAlignment="1" applyProtection="1">
      <alignment horizontal="center"/>
      <protection hidden="1"/>
    </xf>
    <xf numFmtId="164" fontId="3" fillId="0" borderId="6" xfId="0" applyNumberFormat="1" applyFont="1" applyBorder="1" applyAlignment="1" applyProtection="1">
      <alignment horizontal="center"/>
      <protection hidden="1"/>
    </xf>
    <xf numFmtId="0" fontId="3" fillId="0" borderId="17" xfId="0" applyFont="1" applyBorder="1" applyAlignment="1" applyProtection="1">
      <alignment horizontal="center"/>
      <protection hidden="1"/>
    </xf>
    <xf numFmtId="164" fontId="3" fillId="0" borderId="17" xfId="0" applyNumberFormat="1" applyFont="1" applyBorder="1" applyAlignment="1" applyProtection="1">
      <alignment horizontal="center"/>
      <protection hidden="1"/>
    </xf>
    <xf numFmtId="0" fontId="3" fillId="0" borderId="12" xfId="0" applyFont="1" applyBorder="1" applyAlignment="1" applyProtection="1">
      <alignment horizontal="left" wrapText="1"/>
      <protection hidden="1"/>
    </xf>
    <xf numFmtId="0" fontId="3" fillId="2" borderId="12" xfId="0" applyFont="1" applyFill="1" applyBorder="1" applyProtection="1">
      <protection hidden="1"/>
    </xf>
    <xf numFmtId="8" fontId="0" fillId="0" borderId="0" xfId="0" applyNumberFormat="1" applyProtection="1">
      <protection hidden="1"/>
    </xf>
    <xf numFmtId="0" fontId="8" fillId="0" borderId="0" xfId="0" applyFont="1" applyFill="1" applyBorder="1" applyAlignment="1" applyProtection="1">
      <alignment vertical="top" wrapText="1"/>
      <protection hidden="1"/>
    </xf>
    <xf numFmtId="0" fontId="4" fillId="0" borderId="2" xfId="0" applyFont="1" applyFill="1" applyBorder="1" applyAlignment="1" applyProtection="1">
      <protection hidden="1"/>
    </xf>
    <xf numFmtId="164" fontId="3" fillId="0" borderId="3" xfId="0" applyNumberFormat="1" applyFont="1" applyFill="1" applyBorder="1" applyAlignment="1" applyProtection="1">
      <alignment vertical="center" wrapText="1"/>
      <protection hidden="1"/>
    </xf>
    <xf numFmtId="0" fontId="3" fillId="4" borderId="17" xfId="0" applyFont="1" applyFill="1" applyBorder="1" applyAlignment="1" applyProtection="1">
      <alignment horizontal="center"/>
      <protection hidden="1"/>
    </xf>
    <xf numFmtId="0" fontId="0" fillId="0" borderId="10" xfId="0" applyFill="1" applyBorder="1" applyProtection="1">
      <protection hidden="1"/>
    </xf>
    <xf numFmtId="0" fontId="0" fillId="0" borderId="11" xfId="0" applyFill="1" applyBorder="1" applyProtection="1">
      <protection hidden="1"/>
    </xf>
    <xf numFmtId="0" fontId="5" fillId="0" borderId="0" xfId="0" applyFont="1" applyFill="1" applyAlignment="1" applyProtection="1">
      <protection hidden="1"/>
    </xf>
    <xf numFmtId="167" fontId="9" fillId="0" borderId="0" xfId="0" applyNumberFormat="1" applyFont="1" applyFill="1" applyAlignment="1" applyProtection="1">
      <alignment horizontal="center"/>
      <protection hidden="1"/>
    </xf>
    <xf numFmtId="164" fontId="3" fillId="2" borderId="0" xfId="0" applyNumberFormat="1" applyFont="1" applyFill="1" applyBorder="1" applyAlignment="1" applyProtection="1">
      <alignment horizontal="center"/>
      <protection hidden="1"/>
    </xf>
    <xf numFmtId="9" fontId="0" fillId="0" borderId="0" xfId="0" applyNumberFormat="1"/>
    <xf numFmtId="0" fontId="3" fillId="7" borderId="17" xfId="0" applyFont="1" applyFill="1" applyBorder="1" applyAlignment="1" applyProtection="1">
      <alignment horizontal="center"/>
      <protection locked="0" hidden="1"/>
    </xf>
    <xf numFmtId="0" fontId="3" fillId="7" borderId="7" xfId="0" applyFont="1" applyFill="1" applyBorder="1" applyAlignment="1" applyProtection="1">
      <alignment horizontal="center"/>
      <protection locked="0" hidden="1"/>
    </xf>
    <xf numFmtId="164" fontId="3" fillId="7" borderId="7" xfId="0" applyNumberFormat="1" applyFont="1" applyFill="1" applyBorder="1" applyAlignment="1" applyProtection="1">
      <alignment horizontal="center"/>
      <protection locked="0" hidden="1"/>
    </xf>
    <xf numFmtId="164" fontId="3" fillId="7" borderId="0" xfId="0" applyNumberFormat="1" applyFont="1" applyFill="1" applyBorder="1" applyAlignment="1" applyProtection="1">
      <alignment horizontal="center"/>
      <protection locked="0" hidden="1"/>
    </xf>
    <xf numFmtId="164" fontId="3" fillId="7" borderId="17" xfId="0" applyNumberFormat="1" applyFont="1" applyFill="1" applyBorder="1" applyAlignment="1" applyProtection="1">
      <alignment horizontal="center"/>
      <protection locked="0" hidden="1"/>
    </xf>
    <xf numFmtId="0" fontId="0" fillId="0" borderId="0" xfId="0" applyProtection="1"/>
    <xf numFmtId="0" fontId="0" fillId="0" borderId="0" xfId="0" applyFill="1" applyProtection="1"/>
    <xf numFmtId="0" fontId="0" fillId="0" borderId="23" xfId="0" applyFill="1" applyBorder="1" applyProtection="1">
      <protection hidden="1"/>
    </xf>
    <xf numFmtId="0" fontId="0" fillId="3" borderId="0" xfId="0" applyFill="1" applyProtection="1">
      <protection hidden="1"/>
    </xf>
    <xf numFmtId="0" fontId="3" fillId="3" borderId="7" xfId="0" applyFont="1" applyFill="1" applyBorder="1" applyAlignment="1" applyProtection="1">
      <alignment vertical="center"/>
      <protection hidden="1"/>
    </xf>
    <xf numFmtId="168" fontId="0" fillId="0" borderId="23" xfId="0" applyNumberFormat="1" applyFill="1" applyBorder="1" applyProtection="1">
      <protection hidden="1"/>
    </xf>
    <xf numFmtId="168" fontId="0" fillId="0" borderId="16" xfId="0" applyNumberFormat="1" applyFill="1" applyBorder="1" applyProtection="1">
      <protection hidden="1"/>
    </xf>
    <xf numFmtId="167" fontId="8" fillId="0" borderId="3" xfId="0" applyNumberFormat="1" applyFont="1" applyFill="1" applyBorder="1" applyAlignment="1" applyProtection="1">
      <alignment horizontal="center" vertical="center" wrapText="1"/>
      <protection hidden="1"/>
    </xf>
    <xf numFmtId="0" fontId="8" fillId="0" borderId="12" xfId="0" applyFont="1" applyFill="1" applyBorder="1" applyAlignment="1" applyProtection="1">
      <alignment horizontal="center" vertical="center"/>
      <protection hidden="1"/>
    </xf>
    <xf numFmtId="0" fontId="5" fillId="3" borderId="7" xfId="0" applyFont="1" applyFill="1" applyBorder="1" applyAlignment="1" applyProtection="1">
      <alignment vertical="center" wrapText="1"/>
      <protection hidden="1"/>
    </xf>
    <xf numFmtId="167" fontId="8" fillId="0" borderId="8" xfId="0" applyNumberFormat="1" applyFont="1" applyFill="1" applyBorder="1" applyAlignment="1" applyProtection="1">
      <alignment horizontal="center" vertical="center" wrapText="1"/>
      <protection hidden="1"/>
    </xf>
    <xf numFmtId="167" fontId="8" fillId="0" borderId="7" xfId="0" applyNumberFormat="1" applyFont="1" applyFill="1" applyBorder="1" applyAlignment="1" applyProtection="1">
      <alignment horizontal="center" vertical="center" wrapText="1"/>
      <protection hidden="1"/>
    </xf>
    <xf numFmtId="0" fontId="5" fillId="0" borderId="10" xfId="0" applyFont="1" applyBorder="1" applyAlignment="1" applyProtection="1">
      <protection hidden="1"/>
    </xf>
    <xf numFmtId="0" fontId="5" fillId="0" borderId="3" xfId="0" applyFont="1" applyBorder="1" applyAlignment="1" applyProtection="1">
      <alignment horizontal="left"/>
      <protection hidden="1"/>
    </xf>
    <xf numFmtId="2" fontId="8" fillId="0" borderId="7" xfId="0" applyNumberFormat="1" applyFont="1" applyFill="1" applyBorder="1" applyAlignment="1" applyProtection="1">
      <alignment horizontal="center" vertical="center" wrapText="1"/>
      <protection hidden="1"/>
    </xf>
    <xf numFmtId="0" fontId="8" fillId="0" borderId="8" xfId="0" applyFont="1" applyFill="1" applyBorder="1" applyAlignment="1" applyProtection="1">
      <alignment horizontal="center"/>
      <protection hidden="1"/>
    </xf>
    <xf numFmtId="0" fontId="5" fillId="0" borderId="3" xfId="0" applyFont="1" applyBorder="1" applyAlignment="1" applyProtection="1">
      <alignment horizontal="left" wrapText="1"/>
      <protection hidden="1"/>
    </xf>
    <xf numFmtId="0" fontId="8" fillId="0" borderId="6" xfId="0" applyFont="1" applyFill="1" applyBorder="1" applyAlignment="1" applyProtection="1">
      <alignment vertical="center"/>
      <protection hidden="1"/>
    </xf>
    <xf numFmtId="167" fontId="8" fillId="0" borderId="12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0" xfId="0" applyFont="1" applyProtection="1">
      <protection hidden="1"/>
    </xf>
    <xf numFmtId="0" fontId="13" fillId="0" borderId="0" xfId="0" applyFont="1" applyBorder="1" applyProtection="1">
      <protection hidden="1"/>
    </xf>
    <xf numFmtId="167" fontId="7" fillId="0" borderId="3" xfId="0" applyNumberFormat="1" applyFont="1" applyFill="1" applyBorder="1" applyAlignment="1" applyProtection="1">
      <alignment horizontal="center" vertical="center" wrapText="1"/>
      <protection hidden="1"/>
    </xf>
    <xf numFmtId="167" fontId="7" fillId="0" borderId="8" xfId="0" applyNumberFormat="1" applyFont="1" applyFill="1" applyBorder="1" applyAlignment="1" applyProtection="1">
      <alignment horizontal="center" vertical="center" wrapText="1"/>
      <protection hidden="1"/>
    </xf>
    <xf numFmtId="0" fontId="15" fillId="0" borderId="9" xfId="0" applyFont="1" applyBorder="1" applyAlignment="1" applyProtection="1">
      <alignment horizontal="center" vertical="center"/>
      <protection hidden="1"/>
    </xf>
    <xf numFmtId="167" fontId="7" fillId="0" borderId="7" xfId="0" applyNumberFormat="1" applyFont="1" applyFill="1" applyBorder="1" applyAlignment="1" applyProtection="1">
      <alignment horizontal="center" vertical="center" wrapText="1"/>
      <protection hidden="1"/>
    </xf>
    <xf numFmtId="0" fontId="15" fillId="0" borderId="9" xfId="0" applyFont="1" applyBorder="1" applyAlignment="1" applyProtection="1">
      <protection hidden="1"/>
    </xf>
    <xf numFmtId="167" fontId="7" fillId="0" borderId="20" xfId="0" applyNumberFormat="1" applyFont="1" applyFill="1" applyBorder="1" applyAlignment="1" applyProtection="1">
      <alignment horizontal="center" vertical="center" wrapText="1"/>
      <protection hidden="1"/>
    </xf>
    <xf numFmtId="0" fontId="7" fillId="0" borderId="22" xfId="0" applyFont="1" applyFill="1" applyBorder="1" applyProtection="1">
      <protection hidden="1"/>
    </xf>
    <xf numFmtId="168" fontId="16" fillId="4" borderId="8" xfId="0" applyNumberFormat="1" applyFont="1" applyFill="1" applyBorder="1" applyAlignment="1" applyProtection="1">
      <alignment horizontal="center"/>
      <protection locked="0" hidden="1"/>
    </xf>
    <xf numFmtId="168" fontId="16" fillId="0" borderId="12" xfId="0" applyNumberFormat="1" applyFont="1" applyFill="1" applyBorder="1" applyAlignment="1" applyProtection="1">
      <protection hidden="1"/>
    </xf>
    <xf numFmtId="0" fontId="7" fillId="0" borderId="3" xfId="0" applyFont="1" applyBorder="1" applyAlignment="1" applyProtection="1">
      <alignment horizontal="left"/>
      <protection hidden="1"/>
    </xf>
    <xf numFmtId="168" fontId="7" fillId="0" borderId="19" xfId="0" applyNumberFormat="1" applyFont="1" applyFill="1" applyBorder="1" applyAlignment="1" applyProtection="1">
      <alignment horizontal="center"/>
      <protection hidden="1"/>
    </xf>
    <xf numFmtId="0" fontId="7" fillId="0" borderId="19" xfId="0" applyFont="1" applyBorder="1" applyAlignment="1" applyProtection="1">
      <alignment horizontal="left"/>
      <protection hidden="1"/>
    </xf>
    <xf numFmtId="2" fontId="7" fillId="0" borderId="7" xfId="0" applyNumberFormat="1" applyFont="1" applyFill="1" applyBorder="1" applyAlignment="1" applyProtection="1">
      <alignment horizontal="center" vertical="center" wrapText="1"/>
      <protection hidden="1"/>
    </xf>
    <xf numFmtId="0" fontId="7" fillId="0" borderId="6" xfId="0" applyFont="1" applyFill="1" applyBorder="1" applyAlignment="1" applyProtection="1">
      <alignment vertical="center"/>
      <protection hidden="1"/>
    </xf>
    <xf numFmtId="167" fontId="7" fillId="0" borderId="7" xfId="0" applyNumberFormat="1" applyFont="1" applyFill="1" applyBorder="1" applyAlignment="1" applyProtection="1">
      <alignment horizontal="center" wrapText="1"/>
      <protection hidden="1"/>
    </xf>
    <xf numFmtId="167" fontId="7" fillId="0" borderId="12" xfId="0" applyNumberFormat="1" applyFont="1" applyFill="1" applyBorder="1" applyAlignment="1" applyProtection="1">
      <alignment horizontal="center" vertical="center" wrapText="1"/>
      <protection hidden="1"/>
    </xf>
    <xf numFmtId="167" fontId="7" fillId="3" borderId="12" xfId="0" applyNumberFormat="1" applyFont="1" applyFill="1" applyBorder="1" applyAlignment="1" applyProtection="1">
      <alignment horizontal="center" vertical="center" wrapText="1"/>
      <protection hidden="1"/>
    </xf>
    <xf numFmtId="0" fontId="7" fillId="0" borderId="8" xfId="0" applyFont="1" applyBorder="1" applyProtection="1">
      <protection hidden="1"/>
    </xf>
    <xf numFmtId="165" fontId="16" fillId="8" borderId="8" xfId="0" applyNumberFormat="1" applyFont="1" applyFill="1" applyBorder="1" applyProtection="1">
      <protection hidden="1"/>
    </xf>
    <xf numFmtId="165" fontId="7" fillId="3" borderId="8" xfId="0" applyNumberFormat="1" applyFont="1" applyFill="1" applyBorder="1" applyAlignment="1" applyProtection="1">
      <alignment vertical="center" wrapText="1"/>
      <protection hidden="1"/>
    </xf>
    <xf numFmtId="0" fontId="13" fillId="0" borderId="0" xfId="0" applyFont="1" applyAlignment="1" applyProtection="1">
      <alignment horizontal="center"/>
      <protection hidden="1"/>
    </xf>
    <xf numFmtId="0" fontId="12" fillId="0" borderId="2" xfId="0" applyFont="1" applyBorder="1" applyAlignment="1" applyProtection="1">
      <alignment vertical="center"/>
      <protection hidden="1"/>
    </xf>
    <xf numFmtId="0" fontId="12" fillId="0" borderId="4" xfId="0" applyFont="1" applyBorder="1" applyAlignment="1" applyProtection="1">
      <alignment vertical="center"/>
      <protection hidden="1"/>
    </xf>
    <xf numFmtId="0" fontId="14" fillId="0" borderId="9" xfId="0" applyFont="1" applyBorder="1" applyAlignment="1" applyProtection="1">
      <alignment horizontal="center"/>
      <protection hidden="1"/>
    </xf>
    <xf numFmtId="0" fontId="8" fillId="0" borderId="4" xfId="0" applyFont="1" applyFill="1" applyBorder="1" applyAlignment="1" applyProtection="1">
      <alignment horizontal="center"/>
      <protection hidden="1"/>
    </xf>
    <xf numFmtId="0" fontId="8" fillId="0" borderId="8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 applyProtection="1">
      <alignment horizontal="center" vertical="center"/>
      <protection hidden="1"/>
    </xf>
    <xf numFmtId="0" fontId="14" fillId="0" borderId="8" xfId="0" applyFont="1" applyBorder="1" applyAlignment="1" applyProtection="1">
      <protection hidden="1"/>
    </xf>
    <xf numFmtId="0" fontId="14" fillId="3" borderId="2" xfId="0" applyFont="1" applyFill="1" applyBorder="1" applyAlignment="1" applyProtection="1">
      <protection hidden="1"/>
    </xf>
    <xf numFmtId="0" fontId="14" fillId="0" borderId="2" xfId="0" applyFont="1" applyBorder="1" applyAlignment="1" applyProtection="1">
      <protection hidden="1"/>
    </xf>
    <xf numFmtId="0" fontId="14" fillId="0" borderId="13" xfId="0" applyFont="1" applyBorder="1" applyAlignment="1" applyProtection="1">
      <protection hidden="1"/>
    </xf>
    <xf numFmtId="0" fontId="8" fillId="0" borderId="8" xfId="0" applyFont="1" applyBorder="1" applyAlignment="1" applyProtection="1">
      <alignment horizontal="center"/>
      <protection hidden="1"/>
    </xf>
    <xf numFmtId="0" fontId="5" fillId="0" borderId="11" xfId="0" applyFont="1" applyBorder="1" applyAlignment="1" applyProtection="1">
      <protection hidden="1"/>
    </xf>
    <xf numFmtId="0" fontId="5" fillId="0" borderId="7" xfId="0" applyFont="1" applyBorder="1" applyAlignment="1" applyProtection="1">
      <alignment horizontal="left"/>
      <protection hidden="1"/>
    </xf>
    <xf numFmtId="0" fontId="5" fillId="0" borderId="7" xfId="0" applyFont="1" applyFill="1" applyBorder="1" applyAlignment="1" applyProtection="1">
      <alignment horizontal="center"/>
      <protection hidden="1"/>
    </xf>
    <xf numFmtId="0" fontId="5" fillId="0" borderId="7" xfId="0" applyFont="1" applyBorder="1" applyAlignment="1" applyProtection="1">
      <alignment horizontal="center"/>
      <protection hidden="1"/>
    </xf>
    <xf numFmtId="164" fontId="5" fillId="0" borderId="7" xfId="0" applyNumberFormat="1" applyFont="1" applyBorder="1" applyAlignment="1" applyProtection="1">
      <alignment horizontal="center"/>
      <protection hidden="1"/>
    </xf>
    <xf numFmtId="164" fontId="5" fillId="0" borderId="16" xfId="0" applyNumberFormat="1" applyFont="1" applyBorder="1" applyAlignment="1" applyProtection="1">
      <alignment horizontal="center"/>
      <protection hidden="1"/>
    </xf>
    <xf numFmtId="164" fontId="5" fillId="0" borderId="0" xfId="0" applyNumberFormat="1" applyFont="1" applyBorder="1" applyAlignment="1" applyProtection="1">
      <alignment horizontal="center"/>
      <protection hidden="1"/>
    </xf>
    <xf numFmtId="0" fontId="8" fillId="0" borderId="3" xfId="0" applyFont="1" applyFill="1" applyBorder="1" applyAlignment="1" applyProtection="1">
      <alignment vertical="center"/>
      <protection hidden="1"/>
    </xf>
    <xf numFmtId="0" fontId="8" fillId="0" borderId="2" xfId="0" applyFont="1" applyFill="1" applyBorder="1" applyAlignment="1" applyProtection="1">
      <alignment vertical="center"/>
      <protection hidden="1"/>
    </xf>
    <xf numFmtId="0" fontId="5" fillId="0" borderId="0" xfId="0" applyFont="1" applyFill="1" applyBorder="1" applyAlignment="1" applyProtection="1">
      <alignment horizontal="center"/>
      <protection hidden="1"/>
    </xf>
    <xf numFmtId="0" fontId="5" fillId="0" borderId="6" xfId="0" applyFont="1" applyBorder="1" applyAlignment="1" applyProtection="1">
      <alignment horizontal="center"/>
      <protection hidden="1"/>
    </xf>
    <xf numFmtId="0" fontId="5" fillId="0" borderId="3" xfId="0" applyFont="1" applyFill="1" applyBorder="1" applyAlignment="1" applyProtection="1">
      <alignment horizontal="center"/>
      <protection hidden="1"/>
    </xf>
    <xf numFmtId="0" fontId="5" fillId="0" borderId="8" xfId="0" applyFont="1" applyFill="1" applyBorder="1" applyAlignment="1" applyProtection="1">
      <alignment horizontal="center"/>
      <protection hidden="1"/>
    </xf>
    <xf numFmtId="0" fontId="5" fillId="0" borderId="7" xfId="0" applyFont="1" applyBorder="1" applyAlignment="1" applyProtection="1">
      <alignment horizontal="left" wrapText="1"/>
      <protection hidden="1"/>
    </xf>
    <xf numFmtId="0" fontId="8" fillId="0" borderId="1" xfId="0" applyFont="1" applyFill="1" applyBorder="1" applyAlignment="1" applyProtection="1">
      <alignment vertical="center"/>
      <protection hidden="1"/>
    </xf>
    <xf numFmtId="164" fontId="5" fillId="0" borderId="14" xfId="0" applyNumberFormat="1" applyFont="1" applyBorder="1" applyAlignment="1" applyProtection="1">
      <alignment horizontal="center"/>
      <protection hidden="1"/>
    </xf>
    <xf numFmtId="0" fontId="5" fillId="2" borderId="12" xfId="0" applyFont="1" applyFill="1" applyBorder="1" applyProtection="1">
      <protection hidden="1"/>
    </xf>
    <xf numFmtId="0" fontId="5" fillId="3" borderId="6" xfId="0" applyFont="1" applyFill="1" applyBorder="1" applyAlignment="1" applyProtection="1">
      <alignment vertical="center" wrapText="1"/>
      <protection hidden="1"/>
    </xf>
    <xf numFmtId="0" fontId="13" fillId="0" borderId="0" xfId="0" applyFont="1"/>
    <xf numFmtId="0" fontId="13" fillId="0" borderId="0" xfId="0" applyFont="1" applyAlignment="1">
      <alignment horizontal="center"/>
    </xf>
    <xf numFmtId="167" fontId="10" fillId="0" borderId="0" xfId="0" applyNumberFormat="1" applyFont="1" applyFill="1" applyBorder="1" applyAlignment="1" applyProtection="1">
      <alignment horizontal="center"/>
      <protection hidden="1"/>
    </xf>
    <xf numFmtId="167" fontId="10" fillId="0" borderId="0" xfId="0" applyNumberFormat="1" applyFont="1" applyFill="1" applyAlignment="1" applyProtection="1">
      <alignment horizontal="center"/>
      <protection hidden="1"/>
    </xf>
    <xf numFmtId="167" fontId="10" fillId="0" borderId="0" xfId="0" applyNumberFormat="1" applyFont="1" applyFill="1" applyAlignment="1">
      <alignment horizontal="center"/>
    </xf>
    <xf numFmtId="0" fontId="17" fillId="0" borderId="8" xfId="0" applyFont="1" applyFill="1" applyBorder="1" applyAlignment="1" applyProtection="1">
      <alignment horizontal="center"/>
      <protection hidden="1"/>
    </xf>
    <xf numFmtId="0" fontId="7" fillId="8" borderId="8" xfId="0" applyFont="1" applyFill="1" applyBorder="1" applyAlignment="1" applyProtection="1">
      <alignment horizontal="left"/>
      <protection hidden="1"/>
    </xf>
    <xf numFmtId="165" fontId="16" fillId="0" borderId="5" xfId="0" applyNumberFormat="1" applyFont="1" applyFill="1" applyBorder="1" applyAlignment="1" applyProtection="1">
      <alignment horizontal="center"/>
      <protection hidden="1"/>
    </xf>
    <xf numFmtId="0" fontId="17" fillId="0" borderId="9" xfId="0" applyFont="1" applyBorder="1" applyAlignment="1" applyProtection="1">
      <alignment horizontal="center"/>
      <protection hidden="1"/>
    </xf>
    <xf numFmtId="0" fontId="17" fillId="0" borderId="9" xfId="0" applyFont="1" applyFill="1" applyBorder="1" applyAlignment="1" applyProtection="1">
      <alignment horizontal="center"/>
      <protection hidden="1"/>
    </xf>
    <xf numFmtId="167" fontId="18" fillId="0" borderId="7" xfId="0" applyNumberFormat="1" applyFont="1" applyFill="1" applyBorder="1" applyAlignment="1" applyProtection="1">
      <alignment horizontal="center" vertical="center" wrapText="1"/>
      <protection hidden="1"/>
    </xf>
    <xf numFmtId="167" fontId="19" fillId="0" borderId="7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0" xfId="0" applyAlignment="1">
      <alignment horizontal="right" vertical="top"/>
    </xf>
    <xf numFmtId="165" fontId="16" fillId="0" borderId="9" xfId="0" applyNumberFormat="1" applyFont="1" applyFill="1" applyBorder="1" applyAlignment="1" applyProtection="1">
      <alignment horizontal="center"/>
      <protection hidden="1"/>
    </xf>
    <xf numFmtId="167" fontId="7" fillId="0" borderId="1" xfId="0" applyNumberFormat="1" applyFont="1" applyFill="1" applyBorder="1" applyAlignment="1" applyProtection="1">
      <alignment horizontal="center" vertical="center" wrapText="1"/>
      <protection hidden="1"/>
    </xf>
    <xf numFmtId="167" fontId="7" fillId="0" borderId="0" xfId="0" applyNumberFormat="1" applyFont="1" applyFill="1" applyBorder="1" applyAlignment="1" applyProtection="1">
      <alignment horizontal="center" vertical="center" wrapText="1"/>
      <protection hidden="1"/>
    </xf>
    <xf numFmtId="0" fontId="7" fillId="9" borderId="8" xfId="0" applyFont="1" applyFill="1" applyBorder="1" applyProtection="1">
      <protection hidden="1"/>
    </xf>
    <xf numFmtId="165" fontId="16" fillId="9" borderId="8" xfId="0" applyNumberFormat="1" applyFont="1" applyFill="1" applyBorder="1" applyProtection="1">
      <protection hidden="1"/>
    </xf>
    <xf numFmtId="165" fontId="16" fillId="0" borderId="8" xfId="0" applyNumberFormat="1" applyFont="1" applyFill="1" applyBorder="1" applyAlignment="1" applyProtection="1">
      <alignment horizontal="center"/>
      <protection hidden="1"/>
    </xf>
    <xf numFmtId="165" fontId="16" fillId="0" borderId="10" xfId="0" applyNumberFormat="1" applyFont="1" applyFill="1" applyBorder="1" applyAlignment="1" applyProtection="1">
      <alignment horizontal="center"/>
      <protection hidden="1"/>
    </xf>
    <xf numFmtId="0" fontId="0" fillId="0" borderId="9" xfId="0" applyFill="1" applyBorder="1" applyAlignment="1" applyProtection="1">
      <alignment horizontal="center"/>
      <protection hidden="1"/>
    </xf>
    <xf numFmtId="0" fontId="0" fillId="0" borderId="10" xfId="0" applyFill="1" applyBorder="1" applyAlignment="1" applyProtection="1">
      <alignment horizontal="center"/>
      <protection hidden="1"/>
    </xf>
    <xf numFmtId="0" fontId="0" fillId="0" borderId="0" xfId="0" applyFill="1" applyBorder="1" applyAlignment="1" applyProtection="1">
      <alignment horizontal="center"/>
      <protection hidden="1"/>
    </xf>
    <xf numFmtId="0" fontId="0" fillId="0" borderId="2" xfId="0" applyFill="1" applyBorder="1" applyAlignment="1" applyProtection="1">
      <alignment horizontal="center"/>
      <protection hidden="1"/>
    </xf>
    <xf numFmtId="0" fontId="0" fillId="0" borderId="11" xfId="0" applyFill="1" applyBorder="1" applyAlignment="1" applyProtection="1">
      <alignment horizontal="center"/>
      <protection hidden="1"/>
    </xf>
    <xf numFmtId="0" fontId="20" fillId="3" borderId="5" xfId="0" applyFont="1" applyFill="1" applyBorder="1" applyAlignment="1" applyProtection="1">
      <alignment vertical="center" wrapText="1"/>
      <protection hidden="1"/>
    </xf>
    <xf numFmtId="0" fontId="0" fillId="3" borderId="0" xfId="0" applyFill="1" applyProtection="1">
      <protection locked="0"/>
    </xf>
    <xf numFmtId="0" fontId="0" fillId="0" borderId="9" xfId="0" applyFill="1" applyBorder="1" applyAlignment="1" applyProtection="1">
      <protection hidden="1"/>
    </xf>
    <xf numFmtId="0" fontId="0" fillId="0" borderId="10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0" borderId="2" xfId="0" applyFill="1" applyBorder="1" applyAlignment="1" applyProtection="1">
      <protection hidden="1"/>
    </xf>
    <xf numFmtId="0" fontId="0" fillId="0" borderId="11" xfId="0" applyFill="1" applyBorder="1" applyAlignment="1" applyProtection="1">
      <protection hidden="1"/>
    </xf>
    <xf numFmtId="0" fontId="7" fillId="0" borderId="2" xfId="0" applyFont="1" applyFill="1" applyBorder="1" applyAlignment="1" applyProtection="1">
      <alignment vertical="center" wrapText="1"/>
      <protection hidden="1"/>
    </xf>
    <xf numFmtId="167" fontId="21" fillId="0" borderId="2" xfId="0" applyNumberFormat="1" applyFont="1" applyFill="1" applyBorder="1" applyAlignment="1" applyProtection="1">
      <alignment horizontal="left" vertical="top"/>
      <protection hidden="1"/>
    </xf>
    <xf numFmtId="167" fontId="22" fillId="0" borderId="2" xfId="0" applyNumberFormat="1" applyFont="1" applyFill="1" applyBorder="1" applyAlignment="1" applyProtection="1">
      <alignment horizontal="right" vertical="top"/>
      <protection hidden="1"/>
    </xf>
    <xf numFmtId="0" fontId="7" fillId="0" borderId="0" xfId="0" applyFont="1" applyFill="1" applyBorder="1" applyAlignment="1" applyProtection="1">
      <alignment vertical="center" wrapText="1"/>
      <protection hidden="1"/>
    </xf>
    <xf numFmtId="0" fontId="16" fillId="0" borderId="0" xfId="0" applyFont="1" applyFill="1" applyBorder="1" applyProtection="1">
      <protection hidden="1"/>
    </xf>
    <xf numFmtId="0" fontId="7" fillId="3" borderId="7" xfId="0" applyFont="1" applyFill="1" applyBorder="1" applyAlignment="1" applyProtection="1">
      <alignment vertical="center" wrapText="1"/>
      <protection hidden="1"/>
    </xf>
    <xf numFmtId="0" fontId="7" fillId="3" borderId="3" xfId="0" applyFont="1" applyFill="1" applyBorder="1" applyAlignment="1" applyProtection="1">
      <alignment vertical="center" wrapText="1"/>
      <protection hidden="1"/>
    </xf>
    <xf numFmtId="0" fontId="7" fillId="0" borderId="12" xfId="0" applyFont="1" applyBorder="1" applyAlignment="1" applyProtection="1">
      <alignment horizontal="center" wrapText="1"/>
      <protection hidden="1"/>
    </xf>
    <xf numFmtId="0" fontId="7" fillId="0" borderId="9" xfId="0" applyFont="1" applyBorder="1" applyAlignment="1" applyProtection="1">
      <protection hidden="1"/>
    </xf>
    <xf numFmtId="0" fontId="7" fillId="0" borderId="10" xfId="0" applyFont="1" applyBorder="1" applyAlignment="1" applyProtection="1">
      <protection hidden="1"/>
    </xf>
    <xf numFmtId="1" fontId="7" fillId="0" borderId="3" xfId="0" applyNumberFormat="1" applyFont="1" applyFill="1" applyBorder="1" applyAlignment="1" applyProtection="1">
      <alignment horizontal="center"/>
      <protection hidden="1"/>
    </xf>
    <xf numFmtId="1" fontId="7" fillId="3" borderId="7" xfId="0" applyNumberFormat="1" applyFont="1" applyFill="1" applyBorder="1" applyAlignment="1" applyProtection="1">
      <alignment vertical="center" wrapText="1"/>
      <protection hidden="1"/>
    </xf>
    <xf numFmtId="1" fontId="7" fillId="3" borderId="3" xfId="0" applyNumberFormat="1" applyFont="1" applyFill="1" applyBorder="1" applyAlignment="1" applyProtection="1">
      <alignment vertical="center" wrapText="1"/>
      <protection hidden="1"/>
    </xf>
    <xf numFmtId="0" fontId="7" fillId="0" borderId="0" xfId="0" applyFont="1" applyBorder="1" applyAlignment="1" applyProtection="1">
      <alignment horizontal="left"/>
      <protection hidden="1"/>
    </xf>
    <xf numFmtId="1" fontId="7" fillId="0" borderId="7" xfId="0" applyNumberFormat="1" applyFont="1" applyFill="1" applyBorder="1" applyAlignment="1" applyProtection="1">
      <alignment horizontal="center"/>
      <protection hidden="1"/>
    </xf>
    <xf numFmtId="0" fontId="16" fillId="0" borderId="3" xfId="0" applyFont="1" applyBorder="1" applyProtection="1">
      <protection hidden="1"/>
    </xf>
    <xf numFmtId="1" fontId="16" fillId="0" borderId="3" xfId="0" applyNumberFormat="1" applyFont="1" applyBorder="1" applyProtection="1">
      <protection hidden="1"/>
    </xf>
    <xf numFmtId="1" fontId="16" fillId="0" borderId="0" xfId="0" applyNumberFormat="1" applyFont="1" applyBorder="1" applyProtection="1">
      <protection hidden="1"/>
    </xf>
    <xf numFmtId="1" fontId="7" fillId="0" borderId="9" xfId="0" applyNumberFormat="1" applyFont="1" applyBorder="1" applyAlignment="1" applyProtection="1">
      <protection hidden="1"/>
    </xf>
    <xf numFmtId="1" fontId="7" fillId="0" borderId="10" xfId="0" applyNumberFormat="1" applyFont="1" applyBorder="1" applyAlignment="1" applyProtection="1">
      <protection hidden="1"/>
    </xf>
    <xf numFmtId="1" fontId="16" fillId="0" borderId="7" xfId="0" applyNumberFormat="1" applyFont="1" applyBorder="1" applyProtection="1">
      <protection hidden="1"/>
    </xf>
    <xf numFmtId="1" fontId="16" fillId="0" borderId="17" xfId="0" applyNumberFormat="1" applyFont="1" applyBorder="1" applyProtection="1">
      <protection hidden="1"/>
    </xf>
    <xf numFmtId="1" fontId="7" fillId="0" borderId="7" xfId="0" applyNumberFormat="1" applyFont="1" applyBorder="1" applyAlignment="1" applyProtection="1">
      <alignment horizontal="center"/>
      <protection hidden="1"/>
    </xf>
    <xf numFmtId="1" fontId="7" fillId="0" borderId="17" xfId="0" applyNumberFormat="1" applyFont="1" applyBorder="1" applyAlignment="1" applyProtection="1">
      <alignment horizontal="center"/>
      <protection hidden="1"/>
    </xf>
    <xf numFmtId="1" fontId="7" fillId="0" borderId="3" xfId="0" applyNumberFormat="1" applyFont="1" applyBorder="1" applyAlignment="1" applyProtection="1">
      <alignment horizontal="center"/>
      <protection hidden="1"/>
    </xf>
    <xf numFmtId="1" fontId="7" fillId="0" borderId="0" xfId="0" applyNumberFormat="1" applyFont="1" applyBorder="1" applyAlignment="1" applyProtection="1">
      <alignment horizontal="center"/>
      <protection hidden="1"/>
    </xf>
    <xf numFmtId="1" fontId="16" fillId="0" borderId="9" xfId="0" applyNumberFormat="1" applyFont="1" applyBorder="1" applyProtection="1">
      <protection hidden="1"/>
    </xf>
    <xf numFmtId="1" fontId="16" fillId="0" borderId="10" xfId="0" applyNumberFormat="1" applyFont="1" applyBorder="1" applyProtection="1">
      <protection hidden="1"/>
    </xf>
    <xf numFmtId="1" fontId="7" fillId="3" borderId="7" xfId="0" applyNumberFormat="1" applyFont="1" applyFill="1" applyBorder="1" applyAlignment="1" applyProtection="1">
      <alignment horizontal="center" vertical="center" wrapText="1"/>
      <protection hidden="1"/>
    </xf>
    <xf numFmtId="0" fontId="7" fillId="0" borderId="0" xfId="0" applyFont="1" applyAlignment="1" applyProtection="1">
      <alignment horizontal="center"/>
      <protection hidden="1"/>
    </xf>
    <xf numFmtId="1" fontId="7" fillId="3" borderId="3" xfId="0" applyNumberFormat="1" applyFont="1" applyFill="1" applyBorder="1" applyAlignment="1" applyProtection="1">
      <alignment horizontal="center" vertical="center" wrapText="1"/>
      <protection hidden="1"/>
    </xf>
    <xf numFmtId="1" fontId="16" fillId="0" borderId="24" xfId="0" applyNumberFormat="1" applyFont="1" applyBorder="1" applyProtection="1">
      <protection hidden="1"/>
    </xf>
    <xf numFmtId="0" fontId="7" fillId="3" borderId="10" xfId="0" applyFont="1" applyFill="1" applyBorder="1" applyAlignment="1" applyProtection="1">
      <alignment vertical="center" wrapText="1"/>
      <protection hidden="1"/>
    </xf>
    <xf numFmtId="0" fontId="7" fillId="3" borderId="8" xfId="0" applyFont="1" applyFill="1" applyBorder="1" applyAlignment="1" applyProtection="1">
      <alignment vertical="center" wrapText="1"/>
      <protection hidden="1"/>
    </xf>
    <xf numFmtId="1" fontId="16" fillId="0" borderId="11" xfId="0" applyNumberFormat="1" applyFont="1" applyBorder="1" applyProtection="1">
      <protection hidden="1"/>
    </xf>
    <xf numFmtId="0" fontId="7" fillId="0" borderId="3" xfId="0" applyFont="1" applyBorder="1" applyAlignment="1" applyProtection="1">
      <alignment horizontal="left" wrapText="1"/>
      <protection hidden="1"/>
    </xf>
    <xf numFmtId="0" fontId="7" fillId="0" borderId="0" xfId="0" applyFont="1" applyBorder="1" applyAlignment="1" applyProtection="1">
      <alignment horizontal="left" wrapText="1"/>
      <protection hidden="1"/>
    </xf>
    <xf numFmtId="1" fontId="7" fillId="0" borderId="12" xfId="0" applyNumberFormat="1" applyFont="1" applyFill="1" applyBorder="1" applyAlignment="1" applyProtection="1">
      <alignment horizontal="center"/>
      <protection hidden="1"/>
    </xf>
    <xf numFmtId="1" fontId="7" fillId="0" borderId="6" xfId="0" applyNumberFormat="1" applyFont="1" applyFill="1" applyBorder="1" applyAlignment="1" applyProtection="1">
      <alignment horizontal="center"/>
      <protection hidden="1"/>
    </xf>
    <xf numFmtId="1" fontId="7" fillId="0" borderId="4" xfId="0" applyNumberFormat="1" applyFont="1" applyFill="1" applyBorder="1" applyAlignment="1" applyProtection="1">
      <alignment horizontal="center"/>
      <protection hidden="1"/>
    </xf>
    <xf numFmtId="1" fontId="16" fillId="0" borderId="8" xfId="0" applyNumberFormat="1" applyFont="1" applyBorder="1" applyProtection="1">
      <protection hidden="1"/>
    </xf>
    <xf numFmtId="0" fontId="7" fillId="0" borderId="6" xfId="0" applyFont="1" applyBorder="1" applyAlignment="1" applyProtection="1">
      <alignment horizontal="left"/>
      <protection hidden="1"/>
    </xf>
    <xf numFmtId="0" fontId="16" fillId="0" borderId="6" xfId="0" applyFont="1" applyBorder="1" applyProtection="1">
      <protection hidden="1"/>
    </xf>
    <xf numFmtId="0" fontId="16" fillId="0" borderId="14" xfId="0" applyFont="1" applyBorder="1" applyProtection="1">
      <protection hidden="1"/>
    </xf>
    <xf numFmtId="0" fontId="16" fillId="0" borderId="4" xfId="0" applyFont="1" applyBorder="1" applyProtection="1">
      <protection hidden="1"/>
    </xf>
    <xf numFmtId="0" fontId="7" fillId="3" borderId="6" xfId="0" applyFont="1" applyFill="1" applyBorder="1" applyAlignment="1" applyProtection="1">
      <alignment horizontal="left"/>
      <protection hidden="1"/>
    </xf>
    <xf numFmtId="0" fontId="16" fillId="3" borderId="6" xfId="0" applyFont="1" applyFill="1" applyBorder="1" applyProtection="1">
      <protection hidden="1"/>
    </xf>
    <xf numFmtId="0" fontId="16" fillId="3" borderId="4" xfId="0" applyFont="1" applyFill="1" applyBorder="1" applyProtection="1">
      <protection hidden="1"/>
    </xf>
    <xf numFmtId="165" fontId="7" fillId="3" borderId="7" xfId="0" applyNumberFormat="1" applyFont="1" applyFill="1" applyBorder="1" applyAlignment="1" applyProtection="1">
      <alignment vertical="center" wrapText="1"/>
      <protection hidden="1"/>
    </xf>
    <xf numFmtId="0" fontId="7" fillId="3" borderId="0" xfId="0" applyFont="1" applyFill="1" applyBorder="1" applyAlignment="1" applyProtection="1">
      <alignment vertical="center" wrapText="1"/>
      <protection hidden="1"/>
    </xf>
    <xf numFmtId="0" fontId="16" fillId="0" borderId="0" xfId="0" applyFont="1" applyProtection="1">
      <protection hidden="1"/>
    </xf>
    <xf numFmtId="0" fontId="16" fillId="0" borderId="14" xfId="0" applyFont="1" applyFill="1" applyBorder="1" applyProtection="1">
      <protection hidden="1"/>
    </xf>
    <xf numFmtId="0" fontId="16" fillId="0" borderId="0" xfId="0" applyFont="1" applyBorder="1" applyProtection="1">
      <protection hidden="1"/>
    </xf>
    <xf numFmtId="3" fontId="16" fillId="0" borderId="0" xfId="0" applyNumberFormat="1" applyFont="1" applyFill="1" applyBorder="1" applyProtection="1">
      <protection hidden="1"/>
    </xf>
    <xf numFmtId="168" fontId="16" fillId="0" borderId="0" xfId="0" applyNumberFormat="1" applyFont="1" applyFill="1" applyBorder="1" applyProtection="1">
      <protection hidden="1"/>
    </xf>
    <xf numFmtId="0" fontId="16" fillId="0" borderId="0" xfId="0" applyFont="1" applyFill="1" applyProtection="1">
      <protection hidden="1"/>
    </xf>
    <xf numFmtId="0" fontId="2" fillId="3" borderId="7" xfId="0" applyFont="1" applyFill="1" applyBorder="1" applyAlignment="1" applyProtection="1">
      <alignment vertical="center" wrapText="1"/>
      <protection hidden="1"/>
    </xf>
    <xf numFmtId="0" fontId="9" fillId="0" borderId="0" xfId="0" applyFont="1" applyProtection="1">
      <protection hidden="1"/>
    </xf>
    <xf numFmtId="3" fontId="9" fillId="0" borderId="0" xfId="0" applyNumberFormat="1" applyFont="1" applyFill="1" applyBorder="1" applyProtection="1">
      <protection hidden="1"/>
    </xf>
    <xf numFmtId="0" fontId="2" fillId="3" borderId="17" xfId="0" applyFont="1" applyFill="1" applyBorder="1" applyAlignment="1" applyProtection="1">
      <alignment vertical="center" wrapText="1"/>
      <protection hidden="1"/>
    </xf>
    <xf numFmtId="0" fontId="23" fillId="0" borderId="0" xfId="0" applyFont="1" applyProtection="1">
      <protection hidden="1"/>
    </xf>
    <xf numFmtId="0" fontId="9" fillId="0" borderId="0" xfId="0" applyFont="1" applyProtection="1">
      <protection locked="0"/>
    </xf>
    <xf numFmtId="164" fontId="3" fillId="2" borderId="0" xfId="0" applyNumberFormat="1" applyFont="1" applyFill="1" applyBorder="1" applyAlignment="1" applyProtection="1">
      <alignment horizontal="center"/>
      <protection hidden="1"/>
    </xf>
    <xf numFmtId="0" fontId="3" fillId="0" borderId="3" xfId="0" applyFont="1" applyBorder="1" applyAlignment="1" applyProtection="1">
      <alignment horizontal="left"/>
      <protection hidden="1"/>
    </xf>
    <xf numFmtId="0" fontId="3" fillId="3" borderId="17" xfId="0" applyFont="1" applyFill="1" applyBorder="1" applyAlignment="1" applyProtection="1">
      <alignment vertical="center" wrapText="1"/>
      <protection hidden="1"/>
    </xf>
    <xf numFmtId="0" fontId="0" fillId="0" borderId="0" xfId="0" applyProtection="1">
      <protection hidden="1"/>
    </xf>
    <xf numFmtId="0" fontId="3" fillId="2" borderId="0" xfId="0" applyFont="1" applyFill="1" applyBorder="1" applyAlignment="1" applyProtection="1">
      <alignment horizontal="center"/>
      <protection hidden="1"/>
    </xf>
    <xf numFmtId="1" fontId="3" fillId="2" borderId="0" xfId="0" applyNumberFormat="1" applyFont="1" applyFill="1" applyBorder="1" applyAlignment="1" applyProtection="1">
      <alignment horizontal="center"/>
      <protection hidden="1"/>
    </xf>
    <xf numFmtId="164" fontId="3" fillId="2" borderId="0" xfId="0" applyNumberFormat="1" applyFont="1" applyFill="1" applyBorder="1" applyAlignment="1" applyProtection="1">
      <alignment horizontal="center"/>
      <protection hidden="1"/>
    </xf>
    <xf numFmtId="0" fontId="3" fillId="7" borderId="17" xfId="0" applyFont="1" applyFill="1" applyBorder="1" applyAlignment="1" applyProtection="1">
      <alignment horizontal="center"/>
      <protection locked="0" hidden="1"/>
    </xf>
    <xf numFmtId="0" fontId="3" fillId="7" borderId="7" xfId="0" applyFont="1" applyFill="1" applyBorder="1" applyAlignment="1" applyProtection="1">
      <alignment horizontal="center"/>
      <protection locked="0" hidden="1"/>
    </xf>
    <xf numFmtId="164" fontId="3" fillId="7" borderId="7" xfId="0" applyNumberFormat="1" applyFont="1" applyFill="1" applyBorder="1" applyAlignment="1" applyProtection="1">
      <alignment horizontal="center"/>
      <protection locked="0" hidden="1"/>
    </xf>
    <xf numFmtId="0" fontId="3" fillId="0" borderId="1" xfId="0" applyFont="1" applyBorder="1" applyAlignment="1" applyProtection="1">
      <alignment horizontal="left"/>
      <protection locked="0"/>
    </xf>
    <xf numFmtId="0" fontId="3" fillId="0" borderId="3" xfId="0" applyFont="1" applyBorder="1" applyAlignment="1" applyProtection="1">
      <alignment horizontal="left"/>
      <protection locked="0"/>
    </xf>
    <xf numFmtId="0" fontId="3" fillId="0" borderId="3" xfId="0" applyFont="1" applyBorder="1" applyAlignment="1" applyProtection="1">
      <alignment horizontal="left"/>
      <protection hidden="1"/>
    </xf>
    <xf numFmtId="0" fontId="3" fillId="3" borderId="17" xfId="0" applyFont="1" applyFill="1" applyBorder="1" applyAlignment="1" applyProtection="1">
      <alignment vertical="center" wrapText="1"/>
      <protection hidden="1"/>
    </xf>
    <xf numFmtId="0" fontId="3" fillId="3" borderId="0" xfId="0" applyFont="1" applyFill="1" applyBorder="1" applyAlignment="1" applyProtection="1">
      <alignment vertical="center" wrapText="1"/>
      <protection hidden="1"/>
    </xf>
    <xf numFmtId="0" fontId="0" fillId="0" borderId="0" xfId="0" applyProtection="1">
      <protection hidden="1"/>
    </xf>
    <xf numFmtId="0" fontId="3" fillId="0" borderId="1" xfId="0" applyFont="1" applyBorder="1" applyAlignment="1" applyProtection="1">
      <alignment horizontal="left"/>
      <protection hidden="1"/>
    </xf>
    <xf numFmtId="0" fontId="3" fillId="2" borderId="0" xfId="0" applyFont="1" applyFill="1" applyBorder="1" applyAlignment="1" applyProtection="1">
      <alignment horizontal="center"/>
      <protection hidden="1"/>
    </xf>
    <xf numFmtId="1" fontId="3" fillId="2" borderId="0" xfId="0" applyNumberFormat="1" applyFont="1" applyFill="1" applyBorder="1" applyAlignment="1" applyProtection="1">
      <alignment horizontal="center"/>
      <protection hidden="1"/>
    </xf>
    <xf numFmtId="164" fontId="3" fillId="2" borderId="0" xfId="0" applyNumberFormat="1" applyFont="1" applyFill="1" applyBorder="1" applyAlignment="1" applyProtection="1">
      <alignment horizontal="center"/>
      <protection hidden="1"/>
    </xf>
    <xf numFmtId="0" fontId="3" fillId="7" borderId="7" xfId="0" applyFont="1" applyFill="1" applyBorder="1" applyAlignment="1" applyProtection="1">
      <alignment horizontal="center"/>
      <protection locked="0" hidden="1"/>
    </xf>
    <xf numFmtId="164" fontId="3" fillId="7" borderId="7" xfId="0" applyNumberFormat="1" applyFont="1" applyFill="1" applyBorder="1" applyAlignment="1" applyProtection="1">
      <alignment horizontal="center"/>
      <protection locked="0" hidden="1"/>
    </xf>
    <xf numFmtId="164" fontId="3" fillId="7" borderId="0" xfId="0" applyNumberFormat="1" applyFont="1" applyFill="1" applyBorder="1" applyAlignment="1" applyProtection="1">
      <alignment horizontal="center"/>
      <protection locked="0" hidden="1"/>
    </xf>
    <xf numFmtId="0" fontId="3" fillId="0" borderId="3" xfId="0" applyFont="1" applyBorder="1" applyAlignment="1" applyProtection="1">
      <alignment horizontal="left"/>
      <protection hidden="1"/>
    </xf>
    <xf numFmtId="0" fontId="3" fillId="3" borderId="17" xfId="0" applyFont="1" applyFill="1" applyBorder="1" applyAlignment="1" applyProtection="1">
      <alignment vertical="center" wrapText="1"/>
      <protection hidden="1"/>
    </xf>
    <xf numFmtId="0" fontId="0" fillId="0" borderId="0" xfId="0" applyProtection="1">
      <protection hidden="1"/>
    </xf>
    <xf numFmtId="0" fontId="3" fillId="0" borderId="1" xfId="0" applyFont="1" applyBorder="1" applyAlignment="1" applyProtection="1">
      <alignment horizontal="left"/>
      <protection hidden="1"/>
    </xf>
    <xf numFmtId="0" fontId="3" fillId="2" borderId="0" xfId="0" applyFont="1" applyFill="1" applyBorder="1" applyAlignment="1" applyProtection="1">
      <alignment horizontal="center"/>
      <protection hidden="1"/>
    </xf>
    <xf numFmtId="1" fontId="3" fillId="2" borderId="0" xfId="0" applyNumberFormat="1" applyFont="1" applyFill="1" applyBorder="1" applyAlignment="1" applyProtection="1">
      <alignment horizontal="center"/>
      <protection hidden="1"/>
    </xf>
    <xf numFmtId="164" fontId="3" fillId="2" borderId="0" xfId="0" applyNumberFormat="1" applyFont="1" applyFill="1" applyBorder="1" applyAlignment="1" applyProtection="1">
      <alignment horizontal="center"/>
      <protection hidden="1"/>
    </xf>
    <xf numFmtId="0" fontId="3" fillId="7" borderId="7" xfId="0" applyFont="1" applyFill="1" applyBorder="1" applyAlignment="1" applyProtection="1">
      <alignment horizontal="center"/>
      <protection locked="0" hidden="1"/>
    </xf>
    <xf numFmtId="164" fontId="3" fillId="7" borderId="0" xfId="0" applyNumberFormat="1" applyFont="1" applyFill="1" applyBorder="1" applyAlignment="1" applyProtection="1">
      <alignment horizontal="center"/>
      <protection locked="0" hidden="1"/>
    </xf>
    <xf numFmtId="0" fontId="3" fillId="0" borderId="3" xfId="0" applyFont="1" applyBorder="1" applyAlignment="1" applyProtection="1">
      <alignment horizontal="left"/>
      <protection hidden="1"/>
    </xf>
    <xf numFmtId="0" fontId="3" fillId="3" borderId="17" xfId="0" applyFont="1" applyFill="1" applyBorder="1" applyAlignment="1" applyProtection="1">
      <alignment vertical="center" wrapText="1"/>
      <protection hidden="1"/>
    </xf>
    <xf numFmtId="0" fontId="0" fillId="0" borderId="0" xfId="0" applyProtection="1">
      <protection hidden="1"/>
    </xf>
    <xf numFmtId="0" fontId="3" fillId="0" borderId="1" xfId="0" applyFont="1" applyBorder="1" applyAlignment="1" applyProtection="1">
      <alignment horizontal="left"/>
      <protection hidden="1"/>
    </xf>
    <xf numFmtId="0" fontId="3" fillId="2" borderId="0" xfId="0" applyFont="1" applyFill="1" applyBorder="1" applyAlignment="1" applyProtection="1">
      <alignment horizontal="center"/>
      <protection hidden="1"/>
    </xf>
    <xf numFmtId="1" fontId="3" fillId="2" borderId="0" xfId="0" applyNumberFormat="1" applyFont="1" applyFill="1" applyBorder="1" applyAlignment="1" applyProtection="1">
      <alignment horizontal="center"/>
      <protection hidden="1"/>
    </xf>
    <xf numFmtId="164" fontId="3" fillId="2" borderId="0" xfId="0" applyNumberFormat="1" applyFont="1" applyFill="1" applyBorder="1" applyAlignment="1" applyProtection="1">
      <alignment horizontal="center"/>
      <protection hidden="1"/>
    </xf>
    <xf numFmtId="0" fontId="3" fillId="7" borderId="7" xfId="0" applyFont="1" applyFill="1" applyBorder="1" applyAlignment="1" applyProtection="1">
      <alignment horizontal="center"/>
      <protection locked="0" hidden="1"/>
    </xf>
    <xf numFmtId="164" fontId="3" fillId="7" borderId="0" xfId="0" applyNumberFormat="1" applyFont="1" applyFill="1" applyBorder="1" applyAlignment="1" applyProtection="1">
      <alignment horizontal="center"/>
      <protection locked="0" hidden="1"/>
    </xf>
    <xf numFmtId="0" fontId="3" fillId="3" borderId="17" xfId="0" applyFont="1" applyFill="1" applyBorder="1" applyAlignment="1" applyProtection="1">
      <alignment vertical="center" wrapText="1"/>
      <protection hidden="1"/>
    </xf>
    <xf numFmtId="0" fontId="0" fillId="0" borderId="0" xfId="0" applyProtection="1">
      <protection hidden="1"/>
    </xf>
    <xf numFmtId="0" fontId="3" fillId="0" borderId="1" xfId="0" applyFont="1" applyBorder="1" applyAlignment="1" applyProtection="1">
      <alignment horizontal="left"/>
      <protection hidden="1"/>
    </xf>
    <xf numFmtId="0" fontId="3" fillId="2" borderId="0" xfId="0" applyFont="1" applyFill="1" applyBorder="1" applyAlignment="1" applyProtection="1">
      <alignment horizontal="center"/>
      <protection hidden="1"/>
    </xf>
    <xf numFmtId="1" fontId="3" fillId="2" borderId="0" xfId="0" applyNumberFormat="1" applyFont="1" applyFill="1" applyBorder="1" applyAlignment="1" applyProtection="1">
      <alignment horizontal="center"/>
      <protection hidden="1"/>
    </xf>
    <xf numFmtId="164" fontId="3" fillId="2" borderId="0" xfId="0" applyNumberFormat="1" applyFont="1" applyFill="1" applyBorder="1" applyAlignment="1" applyProtection="1">
      <alignment horizontal="center"/>
      <protection hidden="1"/>
    </xf>
    <xf numFmtId="0" fontId="3" fillId="7" borderId="7" xfId="0" applyFont="1" applyFill="1" applyBorder="1" applyAlignment="1" applyProtection="1">
      <alignment horizontal="center"/>
      <protection locked="0" hidden="1"/>
    </xf>
    <xf numFmtId="164" fontId="3" fillId="7" borderId="0" xfId="0" applyNumberFormat="1" applyFont="1" applyFill="1" applyBorder="1" applyAlignment="1" applyProtection="1">
      <alignment horizontal="center"/>
      <protection locked="0" hidden="1"/>
    </xf>
    <xf numFmtId="0" fontId="3" fillId="0" borderId="3" xfId="0" applyFont="1" applyBorder="1" applyAlignment="1" applyProtection="1">
      <alignment horizontal="left"/>
      <protection hidden="1"/>
    </xf>
    <xf numFmtId="0" fontId="3" fillId="3" borderId="17" xfId="0" applyFont="1" applyFill="1" applyBorder="1" applyAlignment="1" applyProtection="1">
      <alignment vertical="center" wrapText="1"/>
      <protection hidden="1"/>
    </xf>
    <xf numFmtId="0" fontId="0" fillId="0" borderId="0" xfId="0" applyProtection="1">
      <protection hidden="1"/>
    </xf>
    <xf numFmtId="0" fontId="3" fillId="0" borderId="1" xfId="0" applyFont="1" applyBorder="1" applyAlignment="1" applyProtection="1">
      <alignment horizontal="left"/>
      <protection hidden="1"/>
    </xf>
    <xf numFmtId="0" fontId="3" fillId="2" borderId="0" xfId="0" applyFont="1" applyFill="1" applyBorder="1" applyAlignment="1" applyProtection="1">
      <alignment horizontal="center"/>
      <protection hidden="1"/>
    </xf>
    <xf numFmtId="1" fontId="3" fillId="2" borderId="0" xfId="0" applyNumberFormat="1" applyFont="1" applyFill="1" applyBorder="1" applyAlignment="1" applyProtection="1">
      <alignment horizontal="center"/>
      <protection hidden="1"/>
    </xf>
    <xf numFmtId="164" fontId="3" fillId="2" borderId="0" xfId="0" applyNumberFormat="1" applyFont="1" applyFill="1" applyBorder="1" applyAlignment="1" applyProtection="1">
      <alignment horizontal="center"/>
      <protection hidden="1"/>
    </xf>
    <xf numFmtId="0" fontId="3" fillId="7" borderId="17" xfId="0" applyFont="1" applyFill="1" applyBorder="1" applyAlignment="1" applyProtection="1">
      <alignment horizontal="center"/>
      <protection locked="0" hidden="1"/>
    </xf>
    <xf numFmtId="0" fontId="3" fillId="7" borderId="7" xfId="0" applyFont="1" applyFill="1" applyBorder="1" applyAlignment="1" applyProtection="1">
      <alignment horizontal="center"/>
      <protection locked="0" hidden="1"/>
    </xf>
    <xf numFmtId="164" fontId="3" fillId="7" borderId="7" xfId="0" applyNumberFormat="1" applyFont="1" applyFill="1" applyBorder="1" applyAlignment="1" applyProtection="1">
      <alignment horizontal="center"/>
      <protection locked="0" hidden="1"/>
    </xf>
    <xf numFmtId="164" fontId="3" fillId="7" borderId="17" xfId="0" applyNumberFormat="1" applyFont="1" applyFill="1" applyBorder="1" applyAlignment="1" applyProtection="1">
      <alignment horizontal="center"/>
      <protection locked="0" hidden="1"/>
    </xf>
    <xf numFmtId="0" fontId="3" fillId="0" borderId="3" xfId="0" applyFont="1" applyBorder="1" applyAlignment="1" applyProtection="1">
      <alignment horizontal="left"/>
      <protection hidden="1"/>
    </xf>
    <xf numFmtId="0" fontId="3" fillId="3" borderId="17" xfId="0" applyFont="1" applyFill="1" applyBorder="1" applyAlignment="1" applyProtection="1">
      <alignment vertical="center" wrapText="1"/>
      <protection hidden="1"/>
    </xf>
    <xf numFmtId="0" fontId="0" fillId="0" borderId="0" xfId="0" applyProtection="1">
      <protection hidden="1"/>
    </xf>
    <xf numFmtId="0" fontId="3" fillId="2" borderId="0" xfId="0" applyFont="1" applyFill="1" applyBorder="1" applyAlignment="1" applyProtection="1">
      <alignment horizontal="center"/>
      <protection hidden="1"/>
    </xf>
    <xf numFmtId="1" fontId="3" fillId="2" borderId="0" xfId="0" applyNumberFormat="1" applyFont="1" applyFill="1" applyBorder="1" applyAlignment="1" applyProtection="1">
      <alignment horizontal="center"/>
      <protection hidden="1"/>
    </xf>
    <xf numFmtId="164" fontId="3" fillId="2" borderId="0" xfId="0" applyNumberFormat="1" applyFont="1" applyFill="1" applyBorder="1" applyAlignment="1" applyProtection="1">
      <alignment horizontal="center"/>
      <protection hidden="1"/>
    </xf>
    <xf numFmtId="0" fontId="3" fillId="7" borderId="7" xfId="0" applyFont="1" applyFill="1" applyBorder="1" applyAlignment="1" applyProtection="1">
      <alignment horizontal="center"/>
      <protection locked="0" hidden="1"/>
    </xf>
    <xf numFmtId="164" fontId="3" fillId="7" borderId="0" xfId="0" applyNumberFormat="1" applyFont="1" applyFill="1" applyBorder="1" applyAlignment="1" applyProtection="1">
      <alignment horizontal="center"/>
      <protection locked="0" hidden="1"/>
    </xf>
    <xf numFmtId="0" fontId="3" fillId="0" borderId="3" xfId="0" applyFont="1" applyBorder="1" applyAlignment="1" applyProtection="1">
      <alignment horizontal="left"/>
      <protection hidden="1"/>
    </xf>
    <xf numFmtId="0" fontId="3" fillId="3" borderId="17" xfId="0" applyFont="1" applyFill="1" applyBorder="1" applyAlignment="1" applyProtection="1">
      <alignment vertical="center" wrapText="1"/>
      <protection hidden="1"/>
    </xf>
    <xf numFmtId="0" fontId="0" fillId="0" borderId="0" xfId="0" applyProtection="1">
      <protection hidden="1"/>
    </xf>
    <xf numFmtId="0" fontId="3" fillId="0" borderId="1" xfId="0" applyFont="1" applyBorder="1" applyAlignment="1" applyProtection="1">
      <alignment horizontal="left"/>
      <protection hidden="1"/>
    </xf>
    <xf numFmtId="0" fontId="3" fillId="2" borderId="0" xfId="0" applyFont="1" applyFill="1" applyBorder="1" applyAlignment="1" applyProtection="1">
      <alignment horizontal="center"/>
      <protection hidden="1"/>
    </xf>
    <xf numFmtId="164" fontId="3" fillId="2" borderId="0" xfId="0" applyNumberFormat="1" applyFont="1" applyFill="1" applyBorder="1" applyAlignment="1" applyProtection="1">
      <alignment horizontal="center"/>
      <protection hidden="1"/>
    </xf>
    <xf numFmtId="0" fontId="3" fillId="7" borderId="17" xfId="0" applyFont="1" applyFill="1" applyBorder="1" applyAlignment="1" applyProtection="1">
      <alignment horizontal="center"/>
      <protection locked="0" hidden="1"/>
    </xf>
    <xf numFmtId="0" fontId="3" fillId="7" borderId="7" xfId="0" applyFont="1" applyFill="1" applyBorder="1" applyAlignment="1" applyProtection="1">
      <alignment horizontal="center"/>
      <protection locked="0" hidden="1"/>
    </xf>
    <xf numFmtId="164" fontId="3" fillId="7" borderId="17" xfId="0" applyNumberFormat="1" applyFont="1" applyFill="1" applyBorder="1" applyAlignment="1" applyProtection="1">
      <alignment horizontal="center"/>
      <protection locked="0" hidden="1"/>
    </xf>
    <xf numFmtId="0" fontId="3" fillId="3" borderId="17" xfId="0" applyFont="1" applyFill="1" applyBorder="1" applyAlignment="1" applyProtection="1">
      <alignment vertical="center" wrapText="1"/>
      <protection hidden="1"/>
    </xf>
    <xf numFmtId="0" fontId="0" fillId="0" borderId="0" xfId="0" applyProtection="1">
      <protection hidden="1"/>
    </xf>
    <xf numFmtId="0" fontId="3" fillId="2" borderId="0" xfId="0" applyFont="1" applyFill="1" applyBorder="1" applyAlignment="1" applyProtection="1">
      <alignment horizontal="center"/>
      <protection hidden="1"/>
    </xf>
    <xf numFmtId="1" fontId="3" fillId="2" borderId="0" xfId="0" applyNumberFormat="1" applyFont="1" applyFill="1" applyBorder="1" applyAlignment="1" applyProtection="1">
      <alignment horizontal="center"/>
      <protection hidden="1"/>
    </xf>
    <xf numFmtId="0" fontId="3" fillId="0" borderId="1" xfId="0" applyFont="1" applyBorder="1" applyAlignment="1" applyProtection="1">
      <alignment horizontal="left" wrapText="1"/>
      <protection hidden="1"/>
    </xf>
    <xf numFmtId="164" fontId="3" fillId="2" borderId="0" xfId="0" applyNumberFormat="1" applyFont="1" applyFill="1" applyBorder="1" applyAlignment="1" applyProtection="1">
      <alignment horizontal="center"/>
      <protection hidden="1"/>
    </xf>
    <xf numFmtId="0" fontId="3" fillId="7" borderId="7" xfId="0" applyFont="1" applyFill="1" applyBorder="1" applyAlignment="1" applyProtection="1">
      <alignment horizontal="center"/>
      <protection locked="0" hidden="1"/>
    </xf>
    <xf numFmtId="164" fontId="3" fillId="7" borderId="17" xfId="0" applyNumberFormat="1" applyFont="1" applyFill="1" applyBorder="1" applyAlignment="1" applyProtection="1">
      <alignment horizontal="center"/>
      <protection locked="0" hidden="1"/>
    </xf>
    <xf numFmtId="0" fontId="3" fillId="0" borderId="3" xfId="0" applyFont="1" applyBorder="1" applyAlignment="1" applyProtection="1">
      <alignment horizontal="left"/>
      <protection hidden="1"/>
    </xf>
    <xf numFmtId="0" fontId="3" fillId="3" borderId="17" xfId="0" applyFont="1" applyFill="1" applyBorder="1" applyAlignment="1" applyProtection="1">
      <alignment vertical="center" wrapText="1"/>
      <protection hidden="1"/>
    </xf>
    <xf numFmtId="0" fontId="0" fillId="0" borderId="0" xfId="0" applyProtection="1">
      <protection hidden="1"/>
    </xf>
    <xf numFmtId="0" fontId="3" fillId="2" borderId="0" xfId="0" applyFont="1" applyFill="1" applyBorder="1" applyAlignment="1" applyProtection="1">
      <alignment horizontal="center"/>
      <protection hidden="1"/>
    </xf>
    <xf numFmtId="0" fontId="3" fillId="0" borderId="1" xfId="0" applyFont="1" applyBorder="1" applyAlignment="1" applyProtection="1">
      <alignment horizontal="left" wrapText="1"/>
      <protection hidden="1"/>
    </xf>
    <xf numFmtId="164" fontId="3" fillId="2" borderId="0" xfId="0" applyNumberFormat="1" applyFont="1" applyFill="1" applyBorder="1" applyAlignment="1" applyProtection="1">
      <alignment horizontal="center"/>
      <protection hidden="1"/>
    </xf>
    <xf numFmtId="0" fontId="3" fillId="7" borderId="7" xfId="0" applyFont="1" applyFill="1" applyBorder="1" applyAlignment="1" applyProtection="1">
      <alignment horizontal="center"/>
      <protection locked="0" hidden="1"/>
    </xf>
    <xf numFmtId="164" fontId="3" fillId="7" borderId="0" xfId="0" applyNumberFormat="1" applyFont="1" applyFill="1" applyBorder="1" applyAlignment="1" applyProtection="1">
      <alignment horizontal="center"/>
      <protection locked="0" hidden="1"/>
    </xf>
    <xf numFmtId="0" fontId="3" fillId="0" borderId="3" xfId="0" applyFont="1" applyBorder="1" applyAlignment="1" applyProtection="1">
      <alignment horizontal="left"/>
      <protection hidden="1"/>
    </xf>
    <xf numFmtId="0" fontId="3" fillId="3" borderId="17" xfId="0" applyFont="1" applyFill="1" applyBorder="1" applyAlignment="1" applyProtection="1">
      <alignment vertical="center" wrapText="1"/>
      <protection hidden="1"/>
    </xf>
    <xf numFmtId="0" fontId="0" fillId="0" borderId="0" xfId="0" applyProtection="1">
      <protection hidden="1"/>
    </xf>
    <xf numFmtId="0" fontId="3" fillId="2" borderId="0" xfId="0" applyFont="1" applyFill="1" applyBorder="1" applyAlignment="1" applyProtection="1">
      <alignment horizontal="center"/>
      <protection hidden="1"/>
    </xf>
    <xf numFmtId="1" fontId="3" fillId="2" borderId="0" xfId="0" applyNumberFormat="1" applyFont="1" applyFill="1" applyBorder="1" applyAlignment="1" applyProtection="1">
      <alignment horizontal="center"/>
      <protection hidden="1"/>
    </xf>
    <xf numFmtId="0" fontId="3" fillId="0" borderId="1" xfId="0" applyFont="1" applyBorder="1" applyAlignment="1" applyProtection="1">
      <alignment horizontal="left" wrapText="1"/>
      <protection hidden="1"/>
    </xf>
    <xf numFmtId="164" fontId="3" fillId="2" borderId="0" xfId="0" applyNumberFormat="1" applyFont="1" applyFill="1" applyBorder="1" applyAlignment="1" applyProtection="1">
      <alignment horizontal="center"/>
      <protection hidden="1"/>
    </xf>
    <xf numFmtId="0" fontId="3" fillId="7" borderId="7" xfId="0" applyFont="1" applyFill="1" applyBorder="1" applyAlignment="1" applyProtection="1">
      <alignment horizontal="center"/>
      <protection locked="0" hidden="1"/>
    </xf>
    <xf numFmtId="164" fontId="3" fillId="7" borderId="0" xfId="0" applyNumberFormat="1" applyFont="1" applyFill="1" applyBorder="1" applyAlignment="1" applyProtection="1">
      <alignment horizontal="center"/>
      <protection locked="0" hidden="1"/>
    </xf>
    <xf numFmtId="0" fontId="3" fillId="0" borderId="3" xfId="0" applyFont="1" applyBorder="1" applyAlignment="1" applyProtection="1">
      <alignment horizontal="left" wrapText="1"/>
      <protection hidden="1"/>
    </xf>
    <xf numFmtId="0" fontId="3" fillId="3" borderId="17" xfId="0" applyFont="1" applyFill="1" applyBorder="1" applyAlignment="1" applyProtection="1">
      <alignment vertical="center" wrapText="1"/>
      <protection hidden="1"/>
    </xf>
    <xf numFmtId="0" fontId="0" fillId="0" borderId="0" xfId="0" applyProtection="1">
      <protection hidden="1"/>
    </xf>
    <xf numFmtId="0" fontId="3" fillId="2" borderId="0" xfId="0" applyFont="1" applyFill="1" applyBorder="1" applyAlignment="1" applyProtection="1">
      <alignment horizontal="center"/>
      <protection hidden="1"/>
    </xf>
    <xf numFmtId="1" fontId="3" fillId="2" borderId="0" xfId="0" applyNumberFormat="1" applyFont="1" applyFill="1" applyBorder="1" applyAlignment="1" applyProtection="1">
      <alignment horizontal="center"/>
      <protection hidden="1"/>
    </xf>
    <xf numFmtId="0" fontId="3" fillId="0" borderId="1" xfId="0" applyFont="1" applyBorder="1" applyAlignment="1" applyProtection="1">
      <alignment horizontal="left" wrapText="1"/>
      <protection hidden="1"/>
    </xf>
    <xf numFmtId="164" fontId="3" fillId="2" borderId="0" xfId="0" applyNumberFormat="1" applyFont="1" applyFill="1" applyBorder="1" applyAlignment="1" applyProtection="1">
      <alignment horizontal="center"/>
      <protection hidden="1"/>
    </xf>
    <xf numFmtId="0" fontId="3" fillId="7" borderId="7" xfId="0" applyFont="1" applyFill="1" applyBorder="1" applyAlignment="1" applyProtection="1">
      <alignment horizontal="center"/>
      <protection locked="0" hidden="1"/>
    </xf>
    <xf numFmtId="164" fontId="3" fillId="7" borderId="0" xfId="0" applyNumberFormat="1" applyFont="1" applyFill="1" applyBorder="1" applyAlignment="1" applyProtection="1">
      <alignment horizontal="center"/>
      <protection locked="0" hidden="1"/>
    </xf>
    <xf numFmtId="0" fontId="3" fillId="0" borderId="3" xfId="0" applyFont="1" applyBorder="1" applyAlignment="1" applyProtection="1">
      <alignment horizontal="left"/>
      <protection hidden="1"/>
    </xf>
    <xf numFmtId="0" fontId="3" fillId="3" borderId="17" xfId="0" applyFont="1" applyFill="1" applyBorder="1" applyAlignment="1" applyProtection="1">
      <alignment vertical="center" wrapText="1"/>
      <protection hidden="1"/>
    </xf>
    <xf numFmtId="0" fontId="0" fillId="0" borderId="0" xfId="0" applyProtection="1">
      <protection hidden="1"/>
    </xf>
    <xf numFmtId="0" fontId="3" fillId="0" borderId="1" xfId="0" applyFont="1" applyBorder="1" applyAlignment="1" applyProtection="1">
      <alignment horizontal="left"/>
      <protection hidden="1"/>
    </xf>
    <xf numFmtId="0" fontId="3" fillId="2" borderId="0" xfId="0" applyFont="1" applyFill="1" applyBorder="1" applyAlignment="1" applyProtection="1">
      <alignment horizontal="center"/>
      <protection hidden="1"/>
    </xf>
    <xf numFmtId="1" fontId="3" fillId="2" borderId="0" xfId="0" applyNumberFormat="1" applyFont="1" applyFill="1" applyBorder="1" applyAlignment="1" applyProtection="1">
      <alignment horizontal="center"/>
      <protection hidden="1"/>
    </xf>
    <xf numFmtId="164" fontId="3" fillId="2" borderId="0" xfId="0" applyNumberFormat="1" applyFont="1" applyFill="1" applyBorder="1" applyAlignment="1" applyProtection="1">
      <alignment horizontal="center"/>
      <protection hidden="1"/>
    </xf>
    <xf numFmtId="0" fontId="3" fillId="7" borderId="7" xfId="0" applyFont="1" applyFill="1" applyBorder="1" applyAlignment="1" applyProtection="1">
      <alignment horizontal="center"/>
      <protection locked="0" hidden="1"/>
    </xf>
    <xf numFmtId="164" fontId="3" fillId="7" borderId="7" xfId="0" applyNumberFormat="1" applyFont="1" applyFill="1" applyBorder="1" applyAlignment="1" applyProtection="1">
      <alignment horizontal="center"/>
      <protection locked="0" hidden="1"/>
    </xf>
    <xf numFmtId="8" fontId="0" fillId="0" borderId="0" xfId="0" applyNumberFormat="1"/>
    <xf numFmtId="164" fontId="3" fillId="2" borderId="0" xfId="0" applyNumberFormat="1" applyFont="1" applyFill="1" applyBorder="1" applyAlignment="1" applyProtection="1">
      <alignment horizontal="center"/>
      <protection hidden="1"/>
    </xf>
    <xf numFmtId="0" fontId="24" fillId="10" borderId="7" xfId="0" applyFont="1" applyFill="1" applyBorder="1" applyAlignment="1" applyProtection="1">
      <alignment vertical="center" wrapText="1"/>
      <protection hidden="1"/>
    </xf>
    <xf numFmtId="167" fontId="25" fillId="10" borderId="20" xfId="0" applyNumberFormat="1" applyFont="1" applyFill="1" applyBorder="1" applyAlignment="1" applyProtection="1">
      <alignment horizontal="center" vertical="center" wrapText="1"/>
      <protection hidden="1"/>
    </xf>
    <xf numFmtId="0" fontId="25" fillId="10" borderId="22" xfId="0" applyFont="1" applyFill="1" applyBorder="1" applyProtection="1">
      <protection hidden="1"/>
    </xf>
    <xf numFmtId="168" fontId="26" fillId="10" borderId="8" xfId="0" applyNumberFormat="1" applyFont="1" applyFill="1" applyBorder="1" applyAlignment="1" applyProtection="1">
      <alignment horizontal="center"/>
      <protection locked="0" hidden="1"/>
    </xf>
    <xf numFmtId="168" fontId="26" fillId="10" borderId="9" xfId="0" applyNumberFormat="1" applyFont="1" applyFill="1" applyBorder="1" applyAlignment="1" applyProtection="1">
      <protection hidden="1"/>
    </xf>
    <xf numFmtId="168" fontId="26" fillId="10" borderId="12" xfId="0" applyNumberFormat="1" applyFont="1" applyFill="1" applyBorder="1" applyAlignment="1" applyProtection="1">
      <protection hidden="1"/>
    </xf>
    <xf numFmtId="168" fontId="24" fillId="10" borderId="16" xfId="0" applyNumberFormat="1" applyFont="1" applyFill="1" applyBorder="1" applyAlignment="1" applyProtection="1">
      <alignment vertical="center" wrapText="1"/>
      <protection hidden="1"/>
    </xf>
    <xf numFmtId="0" fontId="27" fillId="10" borderId="0" xfId="0" applyFont="1" applyFill="1" applyProtection="1">
      <protection hidden="1"/>
    </xf>
    <xf numFmtId="0" fontId="27" fillId="10" borderId="0" xfId="0" applyFont="1" applyFill="1" applyProtection="1">
      <protection locked="0"/>
    </xf>
    <xf numFmtId="167" fontId="25" fillId="10" borderId="7" xfId="0" applyNumberFormat="1" applyFont="1" applyFill="1" applyBorder="1" applyAlignment="1" applyProtection="1">
      <alignment horizontal="center" vertical="center" wrapText="1"/>
      <protection hidden="1"/>
    </xf>
    <xf numFmtId="0" fontId="25" fillId="10" borderId="19" xfId="0" applyFont="1" applyFill="1" applyBorder="1" applyAlignment="1" applyProtection="1">
      <alignment horizontal="left"/>
      <protection hidden="1"/>
    </xf>
    <xf numFmtId="165" fontId="25" fillId="10" borderId="19" xfId="1" applyFont="1" applyFill="1" applyBorder="1" applyAlignment="1" applyProtection="1">
      <alignment horizontal="center"/>
      <protection locked="0" hidden="1"/>
    </xf>
    <xf numFmtId="0" fontId="25" fillId="10" borderId="7" xfId="0" applyFont="1" applyFill="1" applyBorder="1" applyAlignment="1" applyProtection="1">
      <alignment vertical="center" wrapText="1"/>
      <protection locked="0" hidden="1"/>
    </xf>
    <xf numFmtId="0" fontId="25" fillId="10" borderId="3" xfId="0" applyFont="1" applyFill="1" applyBorder="1" applyAlignment="1" applyProtection="1">
      <alignment vertical="center" wrapText="1"/>
      <protection hidden="1"/>
    </xf>
    <xf numFmtId="0" fontId="0" fillId="3" borderId="5" xfId="0" applyFill="1" applyBorder="1" applyProtection="1">
      <protection locked="0"/>
    </xf>
    <xf numFmtId="0" fontId="0" fillId="3" borderId="7" xfId="0" applyFill="1" applyBorder="1" applyProtection="1">
      <protection locked="0"/>
    </xf>
    <xf numFmtId="168" fontId="0" fillId="3" borderId="7" xfId="0" applyNumberFormat="1" applyFill="1" applyBorder="1" applyProtection="1">
      <protection locked="0"/>
    </xf>
    <xf numFmtId="0" fontId="0" fillId="3" borderId="7" xfId="0" applyFill="1" applyBorder="1" applyProtection="1"/>
    <xf numFmtId="165" fontId="7" fillId="0" borderId="3" xfId="1" applyFont="1" applyFill="1" applyBorder="1" applyAlignment="1" applyProtection="1">
      <alignment horizontal="center"/>
      <protection hidden="1"/>
    </xf>
    <xf numFmtId="165" fontId="7" fillId="3" borderId="7" xfId="1" applyFont="1" applyFill="1" applyBorder="1" applyAlignment="1" applyProtection="1">
      <alignment vertical="center" wrapText="1"/>
      <protection hidden="1"/>
    </xf>
    <xf numFmtId="165" fontId="7" fillId="3" borderId="3" xfId="1" applyFont="1" applyFill="1" applyBorder="1" applyAlignment="1" applyProtection="1">
      <alignment vertical="center" wrapText="1"/>
      <protection hidden="1"/>
    </xf>
    <xf numFmtId="165" fontId="7" fillId="0" borderId="7" xfId="1" applyFont="1" applyFill="1" applyBorder="1" applyAlignment="1" applyProtection="1">
      <alignment horizontal="center"/>
      <protection hidden="1"/>
    </xf>
    <xf numFmtId="165" fontId="7" fillId="0" borderId="5" xfId="1" applyFont="1" applyFill="1" applyBorder="1" applyAlignment="1" applyProtection="1">
      <alignment horizontal="center"/>
      <protection hidden="1"/>
    </xf>
    <xf numFmtId="165" fontId="7" fillId="0" borderId="7" xfId="1" applyFont="1" applyBorder="1" applyAlignment="1" applyProtection="1">
      <alignment horizontal="center"/>
      <protection hidden="1"/>
    </xf>
    <xf numFmtId="165" fontId="7" fillId="0" borderId="17" xfId="1" applyFont="1" applyBorder="1" applyAlignment="1" applyProtection="1">
      <alignment horizontal="center"/>
      <protection hidden="1"/>
    </xf>
    <xf numFmtId="165" fontId="7" fillId="0" borderId="3" xfId="1" applyFont="1" applyBorder="1" applyAlignment="1" applyProtection="1">
      <alignment horizontal="center"/>
      <protection hidden="1"/>
    </xf>
    <xf numFmtId="165" fontId="7" fillId="0" borderId="0" xfId="1" applyFont="1" applyBorder="1" applyAlignment="1" applyProtection="1">
      <alignment horizontal="center"/>
      <protection hidden="1"/>
    </xf>
    <xf numFmtId="165" fontId="7" fillId="3" borderId="7" xfId="1" applyFont="1" applyFill="1" applyBorder="1" applyAlignment="1" applyProtection="1">
      <alignment horizontal="center" vertical="center" wrapText="1"/>
      <protection hidden="1"/>
    </xf>
    <xf numFmtId="165" fontId="7" fillId="0" borderId="0" xfId="1" applyFont="1" applyAlignment="1" applyProtection="1">
      <alignment horizontal="center"/>
      <protection hidden="1"/>
    </xf>
    <xf numFmtId="165" fontId="7" fillId="3" borderId="3" xfId="1" applyFont="1" applyFill="1" applyBorder="1" applyAlignment="1" applyProtection="1">
      <alignment horizontal="center" vertical="center" wrapText="1"/>
      <protection hidden="1"/>
    </xf>
    <xf numFmtId="168" fontId="7" fillId="0" borderId="0" xfId="0" applyNumberFormat="1" applyFont="1" applyFill="1" applyAlignment="1" applyProtection="1">
      <alignment horizontal="center"/>
      <protection hidden="1"/>
    </xf>
    <xf numFmtId="168" fontId="7" fillId="0" borderId="8" xfId="0" applyNumberFormat="1" applyFont="1" applyFill="1" applyBorder="1" applyAlignment="1" applyProtection="1">
      <alignment horizontal="center"/>
      <protection hidden="1"/>
    </xf>
    <xf numFmtId="168" fontId="7" fillId="0" borderId="0" xfId="0" applyNumberFormat="1" applyFont="1" applyFill="1" applyBorder="1" applyAlignment="1" applyProtection="1">
      <alignment horizontal="center"/>
      <protection hidden="1"/>
    </xf>
    <xf numFmtId="168" fontId="7" fillId="0" borderId="0" xfId="0" applyNumberFormat="1" applyFont="1" applyFill="1" applyAlignment="1" applyProtection="1">
      <alignment horizontal="center"/>
      <protection locked="0"/>
    </xf>
    <xf numFmtId="168" fontId="7" fillId="0" borderId="14" xfId="0" applyNumberFormat="1" applyFont="1" applyFill="1" applyBorder="1" applyAlignment="1" applyProtection="1">
      <alignment horizontal="center"/>
      <protection hidden="1"/>
    </xf>
    <xf numFmtId="0" fontId="3" fillId="7" borderId="7" xfId="0" applyFont="1" applyFill="1" applyBorder="1" applyAlignment="1" applyProtection="1">
      <alignment horizontal="center"/>
      <protection locked="0"/>
    </xf>
    <xf numFmtId="164" fontId="3" fillId="2" borderId="9" xfId="0" applyNumberFormat="1" applyFont="1" applyFill="1" applyBorder="1" applyAlignment="1" applyProtection="1">
      <protection hidden="1"/>
    </xf>
    <xf numFmtId="164" fontId="3" fillId="2" borderId="11" xfId="0" applyNumberFormat="1" applyFont="1" applyFill="1" applyBorder="1" applyAlignment="1" applyProtection="1">
      <protection hidden="1"/>
    </xf>
    <xf numFmtId="0" fontId="17" fillId="2" borderId="9" xfId="0" applyFont="1" applyFill="1" applyBorder="1" applyAlignment="1" applyProtection="1">
      <alignment vertical="center"/>
      <protection hidden="1"/>
    </xf>
    <xf numFmtId="0" fontId="17" fillId="2" borderId="10" xfId="0" applyFont="1" applyFill="1" applyBorder="1" applyAlignment="1" applyProtection="1">
      <alignment vertical="center"/>
      <protection hidden="1"/>
    </xf>
    <xf numFmtId="168" fontId="16" fillId="3" borderId="9" xfId="0" applyNumberFormat="1" applyFont="1" applyFill="1" applyBorder="1" applyAlignment="1" applyProtection="1">
      <protection hidden="1"/>
    </xf>
    <xf numFmtId="168" fontId="16" fillId="3" borderId="12" xfId="0" applyNumberFormat="1" applyFont="1" applyFill="1" applyBorder="1" applyAlignment="1" applyProtection="1">
      <protection hidden="1"/>
    </xf>
    <xf numFmtId="168" fontId="7" fillId="3" borderId="19" xfId="0" applyNumberFormat="1" applyFont="1" applyFill="1" applyBorder="1" applyAlignment="1" applyProtection="1">
      <alignment horizontal="center"/>
      <protection hidden="1"/>
    </xf>
    <xf numFmtId="0" fontId="16" fillId="0" borderId="13" xfId="0" applyFont="1" applyFill="1" applyBorder="1" applyProtection="1">
      <protection hidden="1"/>
    </xf>
    <xf numFmtId="165" fontId="16" fillId="0" borderId="2" xfId="0" applyNumberFormat="1" applyFont="1" applyFill="1" applyBorder="1" applyAlignment="1" applyProtection="1">
      <alignment horizontal="center"/>
      <protection hidden="1"/>
    </xf>
    <xf numFmtId="0" fontId="30" fillId="3" borderId="17" xfId="0" applyFont="1" applyFill="1" applyBorder="1" applyAlignment="1" applyProtection="1">
      <alignment vertical="center" wrapText="1"/>
      <protection hidden="1"/>
    </xf>
    <xf numFmtId="0" fontId="3" fillId="0" borderId="7" xfId="0" applyNumberFormat="1" applyFont="1" applyFill="1" applyBorder="1" applyAlignment="1" applyProtection="1">
      <alignment vertical="center" wrapText="1"/>
      <protection hidden="1"/>
    </xf>
    <xf numFmtId="0" fontId="3" fillId="5" borderId="21" xfId="0" applyNumberFormat="1" applyFont="1" applyFill="1" applyBorder="1" applyAlignment="1" applyProtection="1">
      <alignment vertical="center" wrapText="1"/>
      <protection hidden="1"/>
    </xf>
    <xf numFmtId="3" fontId="16" fillId="0" borderId="0" xfId="0" applyNumberFormat="1" applyFont="1" applyBorder="1" applyProtection="1">
      <protection hidden="1"/>
    </xf>
    <xf numFmtId="0" fontId="24" fillId="10" borderId="7" xfId="0" applyNumberFormat="1" applyFont="1" applyFill="1" applyBorder="1" applyAlignment="1" applyProtection="1">
      <alignment vertical="center" wrapText="1"/>
      <protection hidden="1"/>
    </xf>
    <xf numFmtId="0" fontId="3" fillId="0" borderId="25" xfId="0" applyNumberFormat="1" applyFont="1" applyFill="1" applyBorder="1" applyAlignment="1" applyProtection="1">
      <alignment vertical="center" wrapText="1"/>
      <protection hidden="1"/>
    </xf>
    <xf numFmtId="0" fontId="0" fillId="0" borderId="7" xfId="0" applyNumberFormat="1" applyFill="1" applyBorder="1" applyProtection="1">
      <protection hidden="1"/>
    </xf>
    <xf numFmtId="0" fontId="0" fillId="0" borderId="18" xfId="0" applyNumberFormat="1" applyFill="1" applyBorder="1" applyProtection="1">
      <protection hidden="1"/>
    </xf>
    <xf numFmtId="0" fontId="3" fillId="5" borderId="18" xfId="0" applyNumberFormat="1" applyFont="1" applyFill="1" applyBorder="1" applyAlignment="1" applyProtection="1">
      <alignment vertical="center" wrapText="1"/>
      <protection hidden="1"/>
    </xf>
    <xf numFmtId="0" fontId="3" fillId="5" borderId="25" xfId="0" applyNumberFormat="1" applyFont="1" applyFill="1" applyBorder="1" applyAlignment="1" applyProtection="1">
      <alignment vertical="center" wrapText="1"/>
      <protection hidden="1"/>
    </xf>
    <xf numFmtId="0" fontId="0" fillId="0" borderId="0" xfId="0" applyNumberFormat="1" applyFill="1" applyBorder="1" applyProtection="1">
      <protection hidden="1"/>
    </xf>
    <xf numFmtId="0" fontId="0" fillId="0" borderId="0" xfId="0" applyNumberFormat="1" applyFill="1" applyProtection="1">
      <protection hidden="1"/>
    </xf>
    <xf numFmtId="0" fontId="0" fillId="0" borderId="0" xfId="0" applyNumberFormat="1" applyFill="1" applyBorder="1" applyProtection="1">
      <protection locked="0"/>
    </xf>
    <xf numFmtId="0" fontId="17" fillId="2" borderId="4" xfId="0" applyFont="1" applyFill="1" applyBorder="1" applyAlignment="1" applyProtection="1">
      <alignment vertical="center"/>
      <protection hidden="1"/>
    </xf>
    <xf numFmtId="0" fontId="17" fillId="2" borderId="4" xfId="0" applyFont="1" applyFill="1" applyBorder="1" applyAlignment="1" applyProtection="1">
      <alignment horizontal="center" vertical="center"/>
      <protection hidden="1"/>
    </xf>
    <xf numFmtId="0" fontId="17" fillId="3" borderId="4" xfId="0" applyFont="1" applyFill="1" applyBorder="1" applyAlignment="1" applyProtection="1">
      <alignment vertical="center"/>
      <protection hidden="1"/>
    </xf>
    <xf numFmtId="168" fontId="7" fillId="2" borderId="12" xfId="0" applyNumberFormat="1" applyFont="1" applyFill="1" applyBorder="1" applyAlignment="1" applyProtection="1">
      <alignment horizontal="center"/>
      <protection hidden="1"/>
    </xf>
    <xf numFmtId="165" fontId="7" fillId="8" borderId="19" xfId="1" applyFont="1" applyFill="1" applyBorder="1" applyAlignment="1" applyProtection="1">
      <alignment horizontal="center"/>
      <protection hidden="1"/>
    </xf>
    <xf numFmtId="0" fontId="7" fillId="0" borderId="3" xfId="0" applyFont="1" applyBorder="1" applyAlignment="1" applyProtection="1">
      <alignment horizontal="center" vertical="center"/>
      <protection hidden="1"/>
    </xf>
    <xf numFmtId="167" fontId="23" fillId="0" borderId="2" xfId="0" applyNumberFormat="1" applyFont="1" applyFill="1" applyBorder="1" applyAlignment="1" applyProtection="1">
      <alignment horizontal="left" vertical="top"/>
      <protection hidden="1"/>
    </xf>
    <xf numFmtId="167" fontId="8" fillId="0" borderId="1" xfId="0" applyNumberFormat="1" applyFont="1" applyFill="1" applyBorder="1" applyAlignment="1" applyProtection="1">
      <alignment horizontal="left" vertical="top" wrapText="1"/>
      <protection hidden="1"/>
    </xf>
    <xf numFmtId="167" fontId="8" fillId="0" borderId="2" xfId="0" applyNumberFormat="1" applyFont="1" applyFill="1" applyBorder="1" applyAlignment="1" applyProtection="1">
      <alignment horizontal="left" vertical="top" wrapText="1"/>
      <protection hidden="1"/>
    </xf>
    <xf numFmtId="167" fontId="8" fillId="0" borderId="13" xfId="0" applyNumberFormat="1" applyFont="1" applyFill="1" applyBorder="1" applyAlignment="1" applyProtection="1">
      <alignment horizontal="left" vertical="top" wrapText="1"/>
      <protection hidden="1"/>
    </xf>
    <xf numFmtId="167" fontId="8" fillId="0" borderId="3" xfId="0" applyNumberFormat="1" applyFont="1" applyFill="1" applyBorder="1" applyAlignment="1" applyProtection="1">
      <alignment horizontal="left" vertical="top" wrapText="1"/>
      <protection hidden="1"/>
    </xf>
    <xf numFmtId="167" fontId="8" fillId="0" borderId="0" xfId="0" applyNumberFormat="1" applyFont="1" applyFill="1" applyBorder="1" applyAlignment="1" applyProtection="1">
      <alignment horizontal="left" vertical="top" wrapText="1"/>
      <protection hidden="1"/>
    </xf>
    <xf numFmtId="167" fontId="8" fillId="0" borderId="17" xfId="0" applyNumberFormat="1" applyFont="1" applyFill="1" applyBorder="1" applyAlignment="1" applyProtection="1">
      <alignment horizontal="left" vertical="top" wrapText="1"/>
      <protection hidden="1"/>
    </xf>
    <xf numFmtId="167" fontId="8" fillId="0" borderId="12" xfId="0" applyNumberFormat="1" applyFont="1" applyFill="1" applyBorder="1" applyAlignment="1" applyProtection="1">
      <alignment horizontal="left" vertical="top" wrapText="1"/>
      <protection hidden="1"/>
    </xf>
    <xf numFmtId="167" fontId="8" fillId="0" borderId="4" xfId="0" applyNumberFormat="1" applyFont="1" applyFill="1" applyBorder="1" applyAlignment="1" applyProtection="1">
      <alignment horizontal="left" vertical="top" wrapText="1"/>
      <protection hidden="1"/>
    </xf>
    <xf numFmtId="167" fontId="8" fillId="0" borderId="14" xfId="0" applyNumberFormat="1" applyFont="1" applyFill="1" applyBorder="1" applyAlignment="1" applyProtection="1">
      <alignment horizontal="left" vertical="top" wrapText="1"/>
      <protection hidden="1"/>
    </xf>
    <xf numFmtId="168" fontId="2" fillId="0" borderId="16" xfId="0" applyNumberFormat="1" applyFont="1" applyFill="1" applyBorder="1" applyAlignment="1" applyProtection="1">
      <alignment horizontal="center" vertical="center" wrapText="1"/>
      <protection hidden="1"/>
    </xf>
    <xf numFmtId="0" fontId="17" fillId="2" borderId="9" xfId="0" applyFont="1" applyFill="1" applyBorder="1" applyAlignment="1" applyProtection="1">
      <alignment horizontal="center" vertical="center"/>
      <protection hidden="1"/>
    </xf>
    <xf numFmtId="0" fontId="17" fillId="2" borderId="10" xfId="0" applyFont="1" applyFill="1" applyBorder="1" applyAlignment="1" applyProtection="1">
      <alignment horizontal="center" vertical="center"/>
      <protection hidden="1"/>
    </xf>
    <xf numFmtId="0" fontId="28" fillId="0" borderId="1" xfId="0" applyFont="1" applyBorder="1" applyAlignment="1" applyProtection="1">
      <alignment horizontal="center" vertical="center" wrapText="1"/>
      <protection hidden="1"/>
    </xf>
    <xf numFmtId="0" fontId="28" fillId="0" borderId="2" xfId="0" applyFont="1" applyBorder="1" applyAlignment="1" applyProtection="1">
      <alignment horizontal="center" vertical="center" wrapText="1"/>
      <protection hidden="1"/>
    </xf>
    <xf numFmtId="0" fontId="28" fillId="0" borderId="13" xfId="0" applyFont="1" applyBorder="1" applyAlignment="1" applyProtection="1">
      <alignment horizontal="center" vertical="center" wrapText="1"/>
      <protection hidden="1"/>
    </xf>
    <xf numFmtId="0" fontId="28" fillId="0" borderId="3" xfId="0" applyFont="1" applyBorder="1" applyAlignment="1" applyProtection="1">
      <alignment horizontal="center" vertical="center" wrapText="1"/>
      <protection hidden="1"/>
    </xf>
    <xf numFmtId="0" fontId="28" fillId="0" borderId="0" xfId="0" applyFont="1" applyBorder="1" applyAlignment="1" applyProtection="1">
      <alignment horizontal="center" vertical="center" wrapText="1"/>
      <protection hidden="1"/>
    </xf>
    <xf numFmtId="0" fontId="28" fillId="0" borderId="17" xfId="0" applyFont="1" applyBorder="1" applyAlignment="1" applyProtection="1">
      <alignment horizontal="center" vertical="center" wrapText="1"/>
      <protection hidden="1"/>
    </xf>
    <xf numFmtId="0" fontId="7" fillId="0" borderId="3" xfId="0" applyFont="1" applyBorder="1" applyAlignment="1" applyProtection="1">
      <alignment horizontal="center" vertical="center" wrapText="1"/>
      <protection hidden="1"/>
    </xf>
    <xf numFmtId="0" fontId="7" fillId="0" borderId="0" xfId="0" applyFont="1" applyBorder="1" applyAlignment="1" applyProtection="1">
      <alignment horizontal="center" vertical="center" wrapText="1"/>
      <protection hidden="1"/>
    </xf>
    <xf numFmtId="9" fontId="7" fillId="0" borderId="9" xfId="0" applyNumberFormat="1" applyFont="1" applyFill="1" applyBorder="1" applyAlignment="1" applyProtection="1">
      <alignment horizontal="center"/>
      <protection hidden="1"/>
    </xf>
    <xf numFmtId="9" fontId="7" fillId="0" borderId="10" xfId="0" applyNumberFormat="1" applyFont="1" applyFill="1" applyBorder="1" applyAlignment="1" applyProtection="1">
      <alignment horizontal="center"/>
      <protection hidden="1"/>
    </xf>
    <xf numFmtId="9" fontId="7" fillId="0" borderId="11" xfId="0" applyNumberFormat="1" applyFont="1" applyFill="1" applyBorder="1" applyAlignment="1" applyProtection="1">
      <alignment horizontal="center"/>
      <protection hidden="1"/>
    </xf>
    <xf numFmtId="0" fontId="16" fillId="0" borderId="2" xfId="0" applyFont="1" applyFill="1" applyBorder="1" applyAlignment="1" applyProtection="1">
      <alignment horizontal="center"/>
      <protection hidden="1"/>
    </xf>
    <xf numFmtId="0" fontId="16" fillId="0" borderId="4" xfId="0" applyFont="1" applyFill="1" applyBorder="1" applyAlignment="1" applyProtection="1">
      <alignment horizontal="center"/>
      <protection hidden="1"/>
    </xf>
    <xf numFmtId="3" fontId="2" fillId="6" borderId="5" xfId="0" applyNumberFormat="1" applyFont="1" applyFill="1" applyBorder="1" applyAlignment="1" applyProtection="1">
      <alignment horizontal="center" vertical="center" wrapText="1"/>
      <protection hidden="1"/>
    </xf>
    <xf numFmtId="3" fontId="2" fillId="6" borderId="7" xfId="0" applyNumberFormat="1" applyFont="1" applyFill="1" applyBorder="1" applyAlignment="1" applyProtection="1">
      <alignment horizontal="center" vertical="center" wrapText="1"/>
      <protection hidden="1"/>
    </xf>
    <xf numFmtId="3" fontId="2" fillId="6" borderId="6" xfId="0" applyNumberFormat="1" applyFont="1" applyFill="1" applyBorder="1" applyAlignment="1" applyProtection="1">
      <alignment horizontal="center" vertical="center" wrapText="1"/>
      <protection hidden="1"/>
    </xf>
    <xf numFmtId="0" fontId="8" fillId="0" borderId="1" xfId="0" applyFont="1" applyFill="1" applyBorder="1" applyAlignment="1" applyProtection="1">
      <alignment horizontal="left" vertical="top" wrapText="1"/>
      <protection hidden="1"/>
    </xf>
    <xf numFmtId="0" fontId="8" fillId="0" borderId="2" xfId="0" applyFont="1" applyFill="1" applyBorder="1" applyAlignment="1" applyProtection="1">
      <alignment horizontal="left" vertical="top" wrapText="1"/>
      <protection hidden="1"/>
    </xf>
    <xf numFmtId="0" fontId="8" fillId="0" borderId="13" xfId="0" applyFont="1" applyFill="1" applyBorder="1" applyAlignment="1" applyProtection="1">
      <alignment horizontal="left" vertical="top" wrapText="1"/>
      <protection hidden="1"/>
    </xf>
    <xf numFmtId="0" fontId="8" fillId="0" borderId="12" xfId="0" applyFont="1" applyFill="1" applyBorder="1" applyAlignment="1" applyProtection="1">
      <alignment horizontal="left" vertical="top" wrapText="1"/>
      <protection hidden="1"/>
    </xf>
    <xf numFmtId="0" fontId="8" fillId="0" borderId="4" xfId="0" applyFont="1" applyFill="1" applyBorder="1" applyAlignment="1" applyProtection="1">
      <alignment horizontal="left" vertical="top" wrapText="1"/>
      <protection hidden="1"/>
    </xf>
    <xf numFmtId="0" fontId="8" fillId="0" borderId="14" xfId="0" applyFont="1" applyFill="1" applyBorder="1" applyAlignment="1" applyProtection="1">
      <alignment horizontal="left" vertical="top" wrapText="1"/>
      <protection hidden="1"/>
    </xf>
    <xf numFmtId="164" fontId="3" fillId="2" borderId="0" xfId="0" applyNumberFormat="1" applyFont="1" applyFill="1" applyBorder="1" applyAlignment="1" applyProtection="1">
      <alignment horizontal="center"/>
      <protection hidden="1"/>
    </xf>
    <xf numFmtId="164" fontId="3" fillId="0" borderId="9" xfId="0" applyNumberFormat="1" applyFont="1" applyFill="1" applyBorder="1" applyAlignment="1" applyProtection="1">
      <alignment horizontal="center"/>
      <protection hidden="1"/>
    </xf>
    <xf numFmtId="164" fontId="3" fillId="0" borderId="11" xfId="0" applyNumberFormat="1" applyFont="1" applyFill="1" applyBorder="1" applyAlignment="1" applyProtection="1">
      <alignment horizontal="center"/>
      <protection hidden="1"/>
    </xf>
    <xf numFmtId="164" fontId="2" fillId="2" borderId="9" xfId="0" applyNumberFormat="1" applyFont="1" applyFill="1" applyBorder="1" applyAlignment="1" applyProtection="1">
      <alignment horizontal="center"/>
      <protection hidden="1"/>
    </xf>
    <xf numFmtId="164" fontId="2" fillId="2" borderId="11" xfId="0" applyNumberFormat="1" applyFont="1" applyFill="1" applyBorder="1" applyAlignment="1" applyProtection="1">
      <alignment horizontal="center"/>
      <protection hidden="1"/>
    </xf>
    <xf numFmtId="0" fontId="3" fillId="0" borderId="9" xfId="0" applyFont="1" applyBorder="1" applyAlignment="1" applyProtection="1">
      <alignment horizontal="center"/>
      <protection hidden="1"/>
    </xf>
    <xf numFmtId="0" fontId="3" fillId="0" borderId="10" xfId="0" applyFont="1" applyBorder="1" applyAlignment="1" applyProtection="1">
      <alignment horizontal="center"/>
      <protection hidden="1"/>
    </xf>
    <xf numFmtId="0" fontId="3" fillId="0" borderId="11" xfId="0" applyFont="1" applyBorder="1" applyAlignment="1" applyProtection="1">
      <alignment horizontal="center"/>
      <protection hidden="1"/>
    </xf>
    <xf numFmtId="0" fontId="28" fillId="0" borderId="12" xfId="0" applyFont="1" applyBorder="1" applyAlignment="1" applyProtection="1">
      <alignment horizontal="center" vertical="center" wrapText="1"/>
      <protection hidden="1"/>
    </xf>
    <xf numFmtId="0" fontId="28" fillId="0" borderId="4" xfId="0" applyFont="1" applyBorder="1" applyAlignment="1" applyProtection="1">
      <alignment horizontal="center" vertical="center" wrapText="1"/>
      <protection hidden="1"/>
    </xf>
    <xf numFmtId="0" fontId="28" fillId="0" borderId="14" xfId="0" applyFont="1" applyBorder="1" applyAlignment="1" applyProtection="1">
      <alignment horizontal="center" vertical="center" wrapText="1"/>
      <protection hidden="1"/>
    </xf>
    <xf numFmtId="0" fontId="6" fillId="2" borderId="9" xfId="0" applyFont="1" applyFill="1" applyBorder="1" applyAlignment="1" applyProtection="1">
      <alignment horizontal="center" vertical="center"/>
      <protection hidden="1"/>
    </xf>
    <xf numFmtId="0" fontId="6" fillId="2" borderId="10" xfId="0" applyFont="1" applyFill="1" applyBorder="1" applyAlignment="1" applyProtection="1">
      <alignment horizontal="center" vertical="center"/>
      <protection hidden="1"/>
    </xf>
    <xf numFmtId="0" fontId="7" fillId="0" borderId="9" xfId="0" applyFont="1" applyFill="1" applyBorder="1" applyAlignment="1" applyProtection="1">
      <alignment horizontal="center" vertical="center"/>
      <protection hidden="1"/>
    </xf>
    <xf numFmtId="0" fontId="7" fillId="0" borderId="10" xfId="0" applyFont="1" applyFill="1" applyBorder="1" applyAlignment="1" applyProtection="1">
      <alignment horizontal="center" vertical="center"/>
      <protection hidden="1"/>
    </xf>
    <xf numFmtId="0" fontId="28" fillId="0" borderId="1" xfId="0" applyFont="1" applyBorder="1" applyAlignment="1" applyProtection="1">
      <alignment horizontal="center" vertical="center"/>
      <protection hidden="1"/>
    </xf>
    <xf numFmtId="0" fontId="28" fillId="0" borderId="2" xfId="0" applyFont="1" applyBorder="1" applyAlignment="1" applyProtection="1">
      <alignment horizontal="center" vertical="center"/>
      <protection hidden="1"/>
    </xf>
    <xf numFmtId="0" fontId="28" fillId="0" borderId="13" xfId="0" applyFont="1" applyBorder="1" applyAlignment="1" applyProtection="1">
      <alignment horizontal="center" vertical="center"/>
      <protection hidden="1"/>
    </xf>
    <xf numFmtId="0" fontId="28" fillId="0" borderId="12" xfId="0" applyFont="1" applyBorder="1" applyAlignment="1" applyProtection="1">
      <alignment horizontal="center" vertical="center"/>
      <protection hidden="1"/>
    </xf>
    <xf numFmtId="0" fontId="28" fillId="0" borderId="4" xfId="0" applyFont="1" applyBorder="1" applyAlignment="1" applyProtection="1">
      <alignment horizontal="center" vertical="center"/>
      <protection hidden="1"/>
    </xf>
    <xf numFmtId="0" fontId="28" fillId="0" borderId="14" xfId="0" applyFont="1" applyBorder="1" applyAlignment="1" applyProtection="1">
      <alignment horizontal="center" vertical="center"/>
      <protection hidden="1"/>
    </xf>
    <xf numFmtId="0" fontId="3" fillId="0" borderId="1" xfId="0" applyFont="1" applyBorder="1" applyAlignment="1" applyProtection="1">
      <alignment horizontal="center"/>
      <protection hidden="1"/>
    </xf>
    <xf numFmtId="0" fontId="3" fillId="0" borderId="2" xfId="0" applyFont="1" applyBorder="1" applyAlignment="1" applyProtection="1">
      <alignment horizontal="center"/>
      <protection hidden="1"/>
    </xf>
    <xf numFmtId="0" fontId="3" fillId="0" borderId="13" xfId="0" applyFont="1" applyBorder="1" applyAlignment="1" applyProtection="1">
      <alignment horizontal="center"/>
      <protection hidden="1"/>
    </xf>
    <xf numFmtId="164" fontId="3" fillId="0" borderId="1" xfId="0" applyNumberFormat="1" applyFont="1" applyFill="1" applyBorder="1" applyAlignment="1" applyProtection="1">
      <alignment horizontal="center"/>
      <protection hidden="1"/>
    </xf>
    <xf numFmtId="164" fontId="3" fillId="0" borderId="13" xfId="0" applyNumberFormat="1" applyFont="1" applyFill="1" applyBorder="1" applyAlignment="1" applyProtection="1">
      <alignment horizontal="center"/>
      <protection hidden="1"/>
    </xf>
    <xf numFmtId="164" fontId="3" fillId="2" borderId="9" xfId="0" applyNumberFormat="1" applyFont="1" applyFill="1" applyBorder="1" applyAlignment="1" applyProtection="1">
      <alignment horizontal="center"/>
      <protection hidden="1"/>
    </xf>
    <xf numFmtId="164" fontId="3" fillId="2" borderId="11" xfId="0" applyNumberFormat="1" applyFont="1" applyFill="1" applyBorder="1" applyAlignment="1" applyProtection="1">
      <alignment horizontal="center"/>
      <protection hidden="1"/>
    </xf>
    <xf numFmtId="9" fontId="7" fillId="0" borderId="10" xfId="0" quotePrefix="1" applyNumberFormat="1" applyFont="1" applyFill="1" applyBorder="1" applyAlignment="1" applyProtection="1">
      <alignment horizontal="center" vertical="center"/>
      <protection hidden="1"/>
    </xf>
    <xf numFmtId="0" fontId="7" fillId="0" borderId="11" xfId="0" applyFont="1" applyFill="1" applyBorder="1" applyAlignment="1" applyProtection="1">
      <alignment horizontal="center" vertical="center"/>
      <protection hidden="1"/>
    </xf>
    <xf numFmtId="9" fontId="7" fillId="4" borderId="9" xfId="0" applyNumberFormat="1" applyFont="1" applyFill="1" applyBorder="1" applyAlignment="1" applyProtection="1">
      <alignment horizontal="center"/>
      <protection locked="0" hidden="1"/>
    </xf>
    <xf numFmtId="9" fontId="7" fillId="4" borderId="10" xfId="0" applyNumberFormat="1" applyFont="1" applyFill="1" applyBorder="1" applyAlignment="1" applyProtection="1">
      <alignment horizontal="center"/>
      <protection locked="0" hidden="1"/>
    </xf>
    <xf numFmtId="9" fontId="7" fillId="4" borderId="11" xfId="0" applyNumberFormat="1" applyFont="1" applyFill="1" applyBorder="1" applyAlignment="1" applyProtection="1">
      <alignment horizontal="center"/>
      <protection locked="0" hidden="1"/>
    </xf>
    <xf numFmtId="0" fontId="7" fillId="0" borderId="1" xfId="0" applyFont="1" applyFill="1" applyBorder="1" applyAlignment="1" applyProtection="1">
      <alignment horizontal="center" vertical="center" wrapText="1"/>
      <protection hidden="1"/>
    </xf>
    <xf numFmtId="0" fontId="7" fillId="0" borderId="2" xfId="0" applyFont="1" applyFill="1" applyBorder="1" applyAlignment="1" applyProtection="1">
      <alignment horizontal="center" vertical="center" wrapText="1"/>
      <protection hidden="1"/>
    </xf>
    <xf numFmtId="0" fontId="7" fillId="0" borderId="13" xfId="0" applyFont="1" applyFill="1" applyBorder="1" applyAlignment="1" applyProtection="1">
      <alignment horizontal="center" vertical="center" wrapText="1"/>
      <protection hidden="1"/>
    </xf>
    <xf numFmtId="0" fontId="7" fillId="0" borderId="12" xfId="0" applyFont="1" applyFill="1" applyBorder="1" applyAlignment="1" applyProtection="1">
      <alignment horizontal="center" vertical="center" wrapText="1"/>
      <protection hidden="1"/>
    </xf>
    <xf numFmtId="0" fontId="7" fillId="0" borderId="4" xfId="0" applyFont="1" applyFill="1" applyBorder="1" applyAlignment="1" applyProtection="1">
      <alignment horizontal="center" vertical="center" wrapText="1"/>
      <protection hidden="1"/>
    </xf>
    <xf numFmtId="0" fontId="7" fillId="0" borderId="14" xfId="0" applyFont="1" applyFill="1" applyBorder="1" applyAlignment="1" applyProtection="1">
      <alignment horizontal="center" vertical="center" wrapText="1"/>
      <protection hidden="1"/>
    </xf>
    <xf numFmtId="0" fontId="2" fillId="6" borderId="7" xfId="0" applyNumberFormat="1" applyFont="1" applyFill="1" applyBorder="1" applyAlignment="1" applyProtection="1">
      <alignment horizontal="center" vertical="center" wrapText="1"/>
      <protection hidden="1"/>
    </xf>
    <xf numFmtId="0" fontId="2" fillId="6" borderId="6" xfId="0" applyNumberFormat="1" applyFont="1" applyFill="1" applyBorder="1" applyAlignment="1" applyProtection="1">
      <alignment horizontal="center" vertical="center" wrapText="1"/>
      <protection hidden="1"/>
    </xf>
    <xf numFmtId="0" fontId="16" fillId="4" borderId="9" xfId="0" applyFont="1" applyFill="1" applyBorder="1" applyAlignment="1" applyProtection="1">
      <alignment horizontal="center"/>
      <protection locked="0" hidden="1"/>
    </xf>
    <xf numFmtId="0" fontId="16" fillId="4" borderId="10" xfId="0" applyFont="1" applyFill="1" applyBorder="1" applyAlignment="1" applyProtection="1">
      <alignment horizontal="center"/>
      <protection locked="0" hidden="1"/>
    </xf>
    <xf numFmtId="0" fontId="16" fillId="4" borderId="11" xfId="0" applyFont="1" applyFill="1" applyBorder="1" applyAlignment="1" applyProtection="1">
      <alignment horizontal="center"/>
      <protection locked="0" hidden="1"/>
    </xf>
    <xf numFmtId="164" fontId="5" fillId="0" borderId="9" xfId="0" applyNumberFormat="1" applyFont="1" applyFill="1" applyBorder="1" applyAlignment="1" applyProtection="1">
      <alignment horizontal="center"/>
      <protection hidden="1"/>
    </xf>
    <xf numFmtId="164" fontId="5" fillId="0" borderId="11" xfId="0" applyNumberFormat="1" applyFont="1" applyFill="1" applyBorder="1" applyAlignment="1" applyProtection="1">
      <alignment horizontal="center"/>
      <protection hidden="1"/>
    </xf>
    <xf numFmtId="164" fontId="5" fillId="2" borderId="9" xfId="0" applyNumberFormat="1" applyFont="1" applyFill="1" applyBorder="1" applyAlignment="1" applyProtection="1">
      <alignment horizontal="center"/>
      <protection hidden="1"/>
    </xf>
    <xf numFmtId="164" fontId="5" fillId="2" borderId="11" xfId="0" applyNumberFormat="1" applyFont="1" applyFill="1" applyBorder="1" applyAlignment="1" applyProtection="1">
      <alignment horizontal="center"/>
      <protection hidden="1"/>
    </xf>
    <xf numFmtId="164" fontId="5" fillId="0" borderId="12" xfId="0" applyNumberFormat="1" applyFont="1" applyFill="1" applyBorder="1" applyAlignment="1" applyProtection="1">
      <alignment horizontal="center"/>
      <protection hidden="1"/>
    </xf>
    <xf numFmtId="164" fontId="5" fillId="0" borderId="14" xfId="0" applyNumberFormat="1" applyFont="1" applyFill="1" applyBorder="1" applyAlignment="1" applyProtection="1">
      <alignment horizontal="center"/>
      <protection hidden="1"/>
    </xf>
    <xf numFmtId="0" fontId="8" fillId="0" borderId="3" xfId="0" applyFont="1" applyFill="1" applyBorder="1" applyAlignment="1" applyProtection="1">
      <alignment horizontal="left" vertical="top" wrapText="1"/>
      <protection hidden="1"/>
    </xf>
    <xf numFmtId="0" fontId="8" fillId="0" borderId="0" xfId="0" applyFont="1" applyFill="1" applyBorder="1" applyAlignment="1" applyProtection="1">
      <alignment horizontal="left" vertical="top" wrapText="1"/>
      <protection hidden="1"/>
    </xf>
    <xf numFmtId="0" fontId="8" fillId="0" borderId="17" xfId="0" applyFont="1" applyFill="1" applyBorder="1" applyAlignment="1" applyProtection="1">
      <alignment horizontal="left" vertical="top" wrapText="1"/>
      <protection hidden="1"/>
    </xf>
    <xf numFmtId="0" fontId="1" fillId="0" borderId="1" xfId="0" applyFont="1" applyBorder="1" applyAlignment="1" applyProtection="1">
      <alignment horizontal="center" vertical="center"/>
      <protection hidden="1"/>
    </xf>
    <xf numFmtId="0" fontId="1" fillId="0" borderId="2" xfId="0" applyFont="1" applyBorder="1" applyAlignment="1" applyProtection="1">
      <alignment horizontal="center" vertical="center"/>
      <protection hidden="1"/>
    </xf>
    <xf numFmtId="0" fontId="1" fillId="0" borderId="13" xfId="0" applyFont="1" applyBorder="1" applyAlignment="1" applyProtection="1">
      <alignment horizontal="center" vertical="center"/>
      <protection hidden="1"/>
    </xf>
    <xf numFmtId="0" fontId="1" fillId="0" borderId="12" xfId="0" applyFont="1" applyBorder="1" applyAlignment="1" applyProtection="1">
      <alignment horizontal="center" vertical="center"/>
      <protection hidden="1"/>
    </xf>
    <xf numFmtId="0" fontId="1" fillId="0" borderId="4" xfId="0" applyFont="1" applyBorder="1" applyAlignment="1" applyProtection="1">
      <alignment horizontal="center" vertical="center"/>
      <protection hidden="1"/>
    </xf>
    <xf numFmtId="0" fontId="1" fillId="0" borderId="14" xfId="0" applyFont="1" applyBorder="1" applyAlignment="1" applyProtection="1">
      <alignment horizontal="center" vertical="center"/>
      <protection hidden="1"/>
    </xf>
    <xf numFmtId="0" fontId="29" fillId="0" borderId="1" xfId="0" applyNumberFormat="1" applyFont="1" applyBorder="1" applyAlignment="1" applyProtection="1">
      <alignment horizontal="center" vertical="center" wrapText="1"/>
      <protection hidden="1"/>
    </xf>
    <xf numFmtId="0" fontId="29" fillId="0" borderId="2" xfId="0" applyNumberFormat="1" applyFont="1" applyBorder="1" applyAlignment="1" applyProtection="1">
      <alignment horizontal="center" vertical="center" wrapText="1"/>
      <protection hidden="1"/>
    </xf>
    <xf numFmtId="0" fontId="29" fillId="0" borderId="13" xfId="0" applyNumberFormat="1" applyFont="1" applyBorder="1" applyAlignment="1" applyProtection="1">
      <alignment horizontal="center" vertical="center" wrapText="1"/>
      <protection hidden="1"/>
    </xf>
    <xf numFmtId="0" fontId="29" fillId="0" borderId="12" xfId="0" applyNumberFormat="1" applyFont="1" applyBorder="1" applyAlignment="1" applyProtection="1">
      <alignment horizontal="center" vertical="center" wrapText="1"/>
      <protection hidden="1"/>
    </xf>
    <xf numFmtId="0" fontId="29" fillId="0" borderId="4" xfId="0" applyNumberFormat="1" applyFont="1" applyBorder="1" applyAlignment="1" applyProtection="1">
      <alignment horizontal="center" vertical="center" wrapText="1"/>
      <protection hidden="1"/>
    </xf>
    <xf numFmtId="0" fontId="29" fillId="0" borderId="14" xfId="0" applyNumberFormat="1" applyFont="1" applyBorder="1" applyAlignment="1" applyProtection="1">
      <alignment horizontal="center" vertical="center" wrapText="1"/>
      <protection hidden="1"/>
    </xf>
    <xf numFmtId="0" fontId="17" fillId="2" borderId="11" xfId="0" applyFont="1" applyFill="1" applyBorder="1" applyAlignment="1" applyProtection="1">
      <alignment horizontal="center" vertical="center"/>
      <protection hidden="1"/>
    </xf>
    <xf numFmtId="0" fontId="8" fillId="0" borderId="9" xfId="0" applyFont="1" applyFill="1" applyBorder="1" applyAlignment="1" applyProtection="1">
      <alignment horizontal="center" vertical="center"/>
      <protection hidden="1"/>
    </xf>
    <xf numFmtId="0" fontId="8" fillId="0" borderId="10" xfId="0" applyFont="1" applyFill="1" applyBorder="1" applyAlignment="1" applyProtection="1">
      <alignment horizontal="center" vertical="center"/>
      <protection hidden="1"/>
    </xf>
    <xf numFmtId="0" fontId="8" fillId="0" borderId="11" xfId="0" applyFont="1" applyFill="1" applyBorder="1" applyAlignment="1" applyProtection="1">
      <alignment horizontal="center" vertical="center"/>
      <protection hidden="1"/>
    </xf>
    <xf numFmtId="164" fontId="5" fillId="0" borderId="9" xfId="0" applyNumberFormat="1" applyFont="1" applyBorder="1" applyAlignment="1" applyProtection="1">
      <alignment horizontal="center"/>
      <protection hidden="1"/>
    </xf>
    <xf numFmtId="164" fontId="5" fillId="0" borderId="10" xfId="0" applyNumberFormat="1" applyFont="1" applyBorder="1" applyAlignment="1" applyProtection="1">
      <alignment horizontal="center"/>
      <protection hidden="1"/>
    </xf>
    <xf numFmtId="164" fontId="5" fillId="0" borderId="11" xfId="0" applyNumberFormat="1" applyFont="1" applyBorder="1" applyAlignment="1" applyProtection="1">
      <alignment horizontal="center"/>
      <protection hidden="1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colors>
    <mruColors>
      <color rgb="FF33CC33"/>
      <color rgb="FFFFFF99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571498</xdr:colOff>
      <xdr:row>0</xdr:row>
      <xdr:rowOff>0</xdr:rowOff>
    </xdr:from>
    <xdr:to>
      <xdr:col>19</xdr:col>
      <xdr:colOff>1467164</xdr:colOff>
      <xdr:row>1</xdr:row>
      <xdr:rowOff>714780</xdr:rowOff>
    </xdr:to>
    <xdr:pic>
      <xdr:nvPicPr>
        <xdr:cNvPr id="5" name="Picture 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17284" y="0"/>
          <a:ext cx="5617344" cy="9052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33618</xdr:colOff>
      <xdr:row>1</xdr:row>
      <xdr:rowOff>22412</xdr:rowOff>
    </xdr:from>
    <xdr:to>
      <xdr:col>6</xdr:col>
      <xdr:colOff>974912</xdr:colOff>
      <xdr:row>1</xdr:row>
      <xdr:rowOff>616324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087" t="36249" r="2099" b="32575"/>
        <a:stretch/>
      </xdr:blipFill>
      <xdr:spPr bwMode="auto">
        <a:xfrm>
          <a:off x="6477000" y="212912"/>
          <a:ext cx="1804147" cy="593912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25400</xdr:colOff>
          <xdr:row>1</xdr:row>
          <xdr:rowOff>63500</xdr:rowOff>
        </xdr:from>
        <xdr:to>
          <xdr:col>23</xdr:col>
          <xdr:colOff>1473200</xdr:colOff>
          <xdr:row>1</xdr:row>
          <xdr:rowOff>317500</xdr:rowOff>
        </xdr:to>
        <xdr:sp macro="" textlink="">
          <xdr:nvSpPr>
            <xdr:cNvPr id="13313" name="chkCompleted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12700</xdr:colOff>
          <xdr:row>1</xdr:row>
          <xdr:rowOff>317500</xdr:rowOff>
        </xdr:from>
        <xdr:to>
          <xdr:col>23</xdr:col>
          <xdr:colOff>1485900</xdr:colOff>
          <xdr:row>1</xdr:row>
          <xdr:rowOff>673100</xdr:rowOff>
        </xdr:to>
        <xdr:sp macro="" textlink="">
          <xdr:nvSpPr>
            <xdr:cNvPr id="13314" name="chkPreserveFileType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13</xdr:col>
      <xdr:colOff>571498</xdr:colOff>
      <xdr:row>0</xdr:row>
      <xdr:rowOff>0</xdr:rowOff>
    </xdr:from>
    <xdr:to>
      <xdr:col>19</xdr:col>
      <xdr:colOff>1467164</xdr:colOff>
      <xdr:row>1</xdr:row>
      <xdr:rowOff>714780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49198" y="0"/>
          <a:ext cx="5620066" cy="9052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1130300</xdr:colOff>
          <xdr:row>0</xdr:row>
          <xdr:rowOff>63500</xdr:rowOff>
        </xdr:from>
        <xdr:to>
          <xdr:col>11</xdr:col>
          <xdr:colOff>1473200</xdr:colOff>
          <xdr:row>1</xdr:row>
          <xdr:rowOff>584200</xdr:rowOff>
        </xdr:to>
        <xdr:sp macro="" textlink="">
          <xdr:nvSpPr>
            <xdr:cNvPr id="25550" name="cmdRecalculate" hidden="1">
              <a:extLst>
                <a:ext uri="{63B3BB69-23CF-44E3-9099-C40C66FF867C}">
                  <a14:compatExt spid="_x0000_s25550"/>
                </a:ext>
                <a:ext uri="{FF2B5EF4-FFF2-40B4-BE49-F238E27FC236}">
                  <a16:creationId xmlns:a16="http://schemas.microsoft.com/office/drawing/2014/main" id="{00000000-0008-0000-0200-0000CE6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13608</xdr:colOff>
      <xdr:row>1</xdr:row>
      <xdr:rowOff>95250</xdr:rowOff>
    </xdr:from>
    <xdr:to>
      <xdr:col>8</xdr:col>
      <xdr:colOff>1147083</xdr:colOff>
      <xdr:row>2</xdr:row>
      <xdr:rowOff>419100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087" t="36249" r="2099" b="32575"/>
        <a:stretch/>
      </xdr:blipFill>
      <xdr:spPr bwMode="auto">
        <a:xfrm>
          <a:off x="6177644" y="299357"/>
          <a:ext cx="3038475" cy="51435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13608</xdr:colOff>
      <xdr:row>1</xdr:row>
      <xdr:rowOff>68035</xdr:rowOff>
    </xdr:from>
    <xdr:to>
      <xdr:col>8</xdr:col>
      <xdr:colOff>1147083</xdr:colOff>
      <xdr:row>2</xdr:row>
      <xdr:rowOff>391885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087" t="36249" r="2099" b="32575"/>
        <a:stretch/>
      </xdr:blipFill>
      <xdr:spPr bwMode="auto">
        <a:xfrm>
          <a:off x="6177644" y="272142"/>
          <a:ext cx="3038475" cy="51435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13608</xdr:colOff>
      <xdr:row>1</xdr:row>
      <xdr:rowOff>68035</xdr:rowOff>
    </xdr:from>
    <xdr:to>
      <xdr:col>8</xdr:col>
      <xdr:colOff>1147083</xdr:colOff>
      <xdr:row>2</xdr:row>
      <xdr:rowOff>391885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087" t="36249" r="2099" b="32575"/>
        <a:stretch/>
      </xdr:blipFill>
      <xdr:spPr bwMode="auto">
        <a:xfrm>
          <a:off x="6177644" y="272142"/>
          <a:ext cx="3038475" cy="51435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13608</xdr:colOff>
      <xdr:row>1</xdr:row>
      <xdr:rowOff>81643</xdr:rowOff>
    </xdr:from>
    <xdr:to>
      <xdr:col>8</xdr:col>
      <xdr:colOff>1147083</xdr:colOff>
      <xdr:row>2</xdr:row>
      <xdr:rowOff>405493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087" t="36249" r="2099" b="32575"/>
        <a:stretch/>
      </xdr:blipFill>
      <xdr:spPr bwMode="auto">
        <a:xfrm>
          <a:off x="6177644" y="285750"/>
          <a:ext cx="3038475" cy="51435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13608</xdr:colOff>
      <xdr:row>1</xdr:row>
      <xdr:rowOff>81643</xdr:rowOff>
    </xdr:from>
    <xdr:to>
      <xdr:col>8</xdr:col>
      <xdr:colOff>1147083</xdr:colOff>
      <xdr:row>2</xdr:row>
      <xdr:rowOff>405493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087" t="36249" r="2099" b="32575"/>
        <a:stretch/>
      </xdr:blipFill>
      <xdr:spPr bwMode="auto">
        <a:xfrm>
          <a:off x="6177644" y="285750"/>
          <a:ext cx="3038475" cy="51435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13607</xdr:colOff>
      <xdr:row>1</xdr:row>
      <xdr:rowOff>108857</xdr:rowOff>
    </xdr:from>
    <xdr:to>
      <xdr:col>8</xdr:col>
      <xdr:colOff>1147082</xdr:colOff>
      <xdr:row>2</xdr:row>
      <xdr:rowOff>432707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087" t="36249" r="2099" b="32575"/>
        <a:stretch/>
      </xdr:blipFill>
      <xdr:spPr bwMode="auto">
        <a:xfrm>
          <a:off x="6177643" y="312964"/>
          <a:ext cx="3038475" cy="51435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13608</xdr:colOff>
      <xdr:row>1</xdr:row>
      <xdr:rowOff>95250</xdr:rowOff>
    </xdr:from>
    <xdr:to>
      <xdr:col>8</xdr:col>
      <xdr:colOff>1147083</xdr:colOff>
      <xdr:row>2</xdr:row>
      <xdr:rowOff>419100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087" t="36249" r="2099" b="32575"/>
        <a:stretch/>
      </xdr:blipFill>
      <xdr:spPr bwMode="auto">
        <a:xfrm>
          <a:off x="6177644" y="299357"/>
          <a:ext cx="3038475" cy="51435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1</xdr:row>
      <xdr:rowOff>81643</xdr:rowOff>
    </xdr:from>
    <xdr:to>
      <xdr:col>8</xdr:col>
      <xdr:colOff>1133475</xdr:colOff>
      <xdr:row>2</xdr:row>
      <xdr:rowOff>405493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087" t="36249" r="2099" b="32575"/>
        <a:stretch/>
      </xdr:blipFill>
      <xdr:spPr bwMode="auto">
        <a:xfrm>
          <a:off x="6164036" y="285750"/>
          <a:ext cx="3038475" cy="51435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13608</xdr:colOff>
      <xdr:row>1</xdr:row>
      <xdr:rowOff>95250</xdr:rowOff>
    </xdr:from>
    <xdr:to>
      <xdr:col>8</xdr:col>
      <xdr:colOff>1147083</xdr:colOff>
      <xdr:row>2</xdr:row>
      <xdr:rowOff>419100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087" t="36249" r="2099" b="32575"/>
        <a:stretch/>
      </xdr:blipFill>
      <xdr:spPr bwMode="auto">
        <a:xfrm>
          <a:off x="6177644" y="299357"/>
          <a:ext cx="3038475" cy="51435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13607</xdr:colOff>
      <xdr:row>1</xdr:row>
      <xdr:rowOff>95250</xdr:rowOff>
    </xdr:from>
    <xdr:to>
      <xdr:col>8</xdr:col>
      <xdr:colOff>1147082</xdr:colOff>
      <xdr:row>2</xdr:row>
      <xdr:rowOff>419100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087" t="36249" r="2099" b="32575"/>
        <a:stretch/>
      </xdr:blipFill>
      <xdr:spPr bwMode="auto">
        <a:xfrm>
          <a:off x="6177643" y="299357"/>
          <a:ext cx="3038475" cy="51435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C000"/>
    <pageSetUpPr fitToPage="1"/>
  </sheetPr>
  <dimension ref="A1:BO197"/>
  <sheetViews>
    <sheetView view="pageBreakPreview" zoomScale="70" zoomScaleNormal="70" zoomScaleSheetLayoutView="70" workbookViewId="0">
      <pane xSplit="5" ySplit="5" topLeftCell="F6" activePane="bottomRight" state="frozen"/>
      <selection pane="topRight"/>
      <selection pane="bottomLeft"/>
      <selection pane="bottomRight" activeCell="M4" sqref="M4"/>
    </sheetView>
  </sheetViews>
  <sheetFormatPr baseColWidth="10" defaultColWidth="9.1640625" defaultRowHeight="15"/>
  <cols>
    <col min="1" max="1" width="2.83203125" style="195" customWidth="1"/>
    <col min="2" max="3" width="2.83203125" style="6" hidden="1" customWidth="1"/>
    <col min="4" max="4" width="12" style="10" customWidth="1"/>
    <col min="5" max="5" width="85.83203125" style="262" bestFit="1" customWidth="1"/>
    <col min="6" max="6" width="22.5" style="262" bestFit="1" customWidth="1"/>
    <col min="7" max="7" width="0.83203125" style="262" customWidth="1"/>
    <col min="8" max="8" width="22.5" style="262" bestFit="1" customWidth="1"/>
    <col min="9" max="9" width="0.83203125" style="262" customWidth="1"/>
    <col min="10" max="10" width="22.5" style="262" bestFit="1" customWidth="1"/>
    <col min="11" max="11" width="0.83203125" style="262" customWidth="1"/>
    <col min="12" max="12" width="22.5" style="262" bestFit="1" customWidth="1"/>
    <col min="13" max="13" width="0.83203125" style="262" customWidth="1"/>
    <col min="14" max="14" width="22.5" style="262" bestFit="1" customWidth="1"/>
    <col min="15" max="15" width="0.83203125" style="262" customWidth="1"/>
    <col min="16" max="16" width="22.5" style="262" bestFit="1" customWidth="1"/>
    <col min="17" max="17" width="0.83203125" style="262" customWidth="1"/>
    <col min="18" max="18" width="23.5" style="262" bestFit="1" customWidth="1"/>
    <col min="19" max="19" width="0.83203125" style="262" customWidth="1"/>
    <col min="20" max="20" width="23" style="262" bestFit="1" customWidth="1"/>
    <col min="21" max="21" width="0.83203125" style="262" customWidth="1"/>
    <col min="22" max="22" width="23" style="262" customWidth="1"/>
    <col min="23" max="23" width="0.83203125" style="262" customWidth="1"/>
    <col min="24" max="24" width="22.5" style="262" bestFit="1" customWidth="1"/>
    <col min="25" max="25" width="0.83203125" style="262" customWidth="1"/>
    <col min="26" max="26" width="15.6640625" style="11" customWidth="1"/>
    <col min="27" max="27" width="15.6640625" style="13" customWidth="1"/>
    <col min="28" max="28" width="0.5" style="6" customWidth="1"/>
    <col min="29" max="29" width="11.83203125" style="6" customWidth="1"/>
    <col min="30" max="30" width="12.5" style="6" bestFit="1" customWidth="1"/>
    <col min="31" max="67" width="9.1640625" style="6"/>
    <col min="68" max="16384" width="9.1640625" style="7"/>
  </cols>
  <sheetData>
    <row r="1" spans="1:29" ht="15" customHeight="1">
      <c r="A1" s="194" t="s">
        <v>133</v>
      </c>
      <c r="B1" s="35" t="s">
        <v>49</v>
      </c>
      <c r="C1" s="35" t="s">
        <v>50</v>
      </c>
      <c r="D1" s="462" t="str">
        <f>'Description Sheet'!B1</f>
        <v>KNIGHTSBRIDGE - DESK REVIEW MAINTENANCE SCHEDULE (2021)</v>
      </c>
      <c r="E1" s="463"/>
      <c r="F1" s="463"/>
      <c r="G1" s="463"/>
      <c r="H1" s="463"/>
      <c r="I1" s="463"/>
      <c r="J1" s="464"/>
      <c r="K1" s="201"/>
      <c r="L1" s="473"/>
      <c r="M1" s="473"/>
      <c r="N1" s="473"/>
      <c r="O1" s="473"/>
      <c r="P1" s="473"/>
      <c r="Q1" s="473"/>
      <c r="R1" s="473"/>
      <c r="S1" s="473"/>
      <c r="T1" s="473"/>
      <c r="U1" s="473"/>
      <c r="V1" s="473"/>
      <c r="W1" s="202"/>
      <c r="X1" s="203"/>
      <c r="Y1" s="201"/>
      <c r="Z1" s="36"/>
      <c r="AA1" s="37"/>
      <c r="AB1" s="31"/>
      <c r="AC1" s="31"/>
    </row>
    <row r="2" spans="1:29" ht="57.75" customHeight="1" thickBot="1">
      <c r="A2" s="38"/>
      <c r="B2" s="39"/>
      <c r="C2" s="39"/>
      <c r="D2" s="465"/>
      <c r="E2" s="466"/>
      <c r="F2" s="466"/>
      <c r="G2" s="466"/>
      <c r="H2" s="466"/>
      <c r="I2" s="466"/>
      <c r="J2" s="467"/>
      <c r="K2" s="204"/>
      <c r="L2" s="474"/>
      <c r="M2" s="474"/>
      <c r="N2" s="474"/>
      <c r="O2" s="474"/>
      <c r="P2" s="474"/>
      <c r="Q2" s="474"/>
      <c r="R2" s="474"/>
      <c r="S2" s="474"/>
      <c r="T2" s="474"/>
      <c r="U2" s="474"/>
      <c r="V2" s="474"/>
      <c r="W2" s="204"/>
      <c r="X2" s="205"/>
      <c r="Y2" s="204"/>
      <c r="Z2" s="42"/>
      <c r="AA2" s="43"/>
      <c r="AB2" s="100"/>
      <c r="AC2" s="31"/>
    </row>
    <row r="3" spans="1:29" ht="27" customHeight="1" thickBot="1">
      <c r="A3" s="14"/>
      <c r="B3" s="15"/>
      <c r="C3" s="15"/>
      <c r="D3" s="460" t="s">
        <v>1</v>
      </c>
      <c r="E3" s="461"/>
      <c r="F3" s="461"/>
      <c r="G3" s="461"/>
      <c r="H3" s="461"/>
      <c r="I3" s="461"/>
      <c r="J3" s="461"/>
      <c r="K3" s="461"/>
      <c r="L3" s="461"/>
      <c r="M3" s="461"/>
      <c r="N3" s="461"/>
      <c r="O3" s="461"/>
      <c r="P3" s="461"/>
      <c r="Q3" s="461"/>
      <c r="R3" s="461"/>
      <c r="S3" s="461"/>
      <c r="T3" s="461"/>
      <c r="U3" s="461"/>
      <c r="V3" s="461"/>
      <c r="W3" s="461"/>
      <c r="X3" s="461"/>
      <c r="Y3" s="461"/>
      <c r="Z3" s="475" t="s">
        <v>87</v>
      </c>
      <c r="AA3" s="459" t="s">
        <v>51</v>
      </c>
      <c r="AB3" s="101"/>
      <c r="AC3" s="31"/>
    </row>
    <row r="4" spans="1:29" ht="19" thickBot="1">
      <c r="A4" s="14"/>
      <c r="B4" s="15"/>
      <c r="C4" s="15"/>
      <c r="D4" s="119"/>
      <c r="E4" s="17" t="s">
        <v>114</v>
      </c>
      <c r="F4" s="448" t="s">
        <v>115</v>
      </c>
      <c r="G4" s="206"/>
      <c r="H4" s="448" t="s">
        <v>116</v>
      </c>
      <c r="I4" s="206"/>
      <c r="J4" s="448" t="s">
        <v>117</v>
      </c>
      <c r="K4" s="206"/>
      <c r="L4" s="448" t="s">
        <v>118</v>
      </c>
      <c r="M4" s="206"/>
      <c r="N4" s="448" t="s">
        <v>119</v>
      </c>
      <c r="O4" s="206"/>
      <c r="P4" s="448" t="s">
        <v>120</v>
      </c>
      <c r="Q4" s="206"/>
      <c r="R4" s="448" t="s">
        <v>121</v>
      </c>
      <c r="S4" s="206"/>
      <c r="T4" s="448" t="s">
        <v>122</v>
      </c>
      <c r="U4" s="206"/>
      <c r="V4" s="448" t="s">
        <v>145</v>
      </c>
      <c r="W4" s="206"/>
      <c r="X4" s="448" t="s">
        <v>146</v>
      </c>
      <c r="Y4" s="207"/>
      <c r="Z4" s="476"/>
      <c r="AA4" s="459"/>
      <c r="AB4" s="101"/>
      <c r="AC4" s="31"/>
    </row>
    <row r="5" spans="1:29" ht="29.25" customHeight="1" thickBot="1">
      <c r="A5" s="14"/>
      <c r="B5" s="19"/>
      <c r="C5" s="19"/>
      <c r="D5" s="120" t="s">
        <v>19</v>
      </c>
      <c r="E5" s="121" t="s">
        <v>0</v>
      </c>
      <c r="F5" s="468" t="s">
        <v>39</v>
      </c>
      <c r="G5" s="469"/>
      <c r="H5" s="469"/>
      <c r="I5" s="469"/>
      <c r="J5" s="469"/>
      <c r="K5" s="469"/>
      <c r="L5" s="469"/>
      <c r="M5" s="469"/>
      <c r="N5" s="469"/>
      <c r="O5" s="469"/>
      <c r="P5" s="469"/>
      <c r="Q5" s="469"/>
      <c r="R5" s="469"/>
      <c r="S5" s="469"/>
      <c r="T5" s="469"/>
      <c r="U5" s="469"/>
      <c r="V5" s="469"/>
      <c r="W5" s="469"/>
      <c r="X5" s="469"/>
      <c r="Y5" s="207"/>
      <c r="Z5" s="477"/>
      <c r="AA5" s="459"/>
      <c r="AB5" s="101"/>
      <c r="AC5" s="31"/>
    </row>
    <row r="6" spans="1:29" ht="19" thickBot="1">
      <c r="A6" s="14"/>
      <c r="B6" s="19"/>
      <c r="C6" s="19"/>
      <c r="D6" s="122"/>
      <c r="E6" s="123"/>
      <c r="F6" s="208"/>
      <c r="G6" s="206"/>
      <c r="H6" s="208"/>
      <c r="I6" s="206"/>
      <c r="J6" s="208"/>
      <c r="K6" s="206"/>
      <c r="L6" s="208"/>
      <c r="M6" s="206"/>
      <c r="N6" s="208"/>
      <c r="O6" s="206"/>
      <c r="P6" s="208"/>
      <c r="Q6" s="206"/>
      <c r="R6" s="208"/>
      <c r="S6" s="206"/>
      <c r="T6" s="208"/>
      <c r="U6" s="206"/>
      <c r="V6" s="208"/>
      <c r="W6" s="206"/>
      <c r="X6" s="208"/>
      <c r="Y6" s="207"/>
      <c r="Z6" s="431"/>
      <c r="AA6" s="12"/>
      <c r="AB6" s="101"/>
      <c r="AC6" s="31"/>
    </row>
    <row r="7" spans="1:29" ht="22" thickBot="1">
      <c r="A7" s="14"/>
      <c r="B7" s="19">
        <v>1</v>
      </c>
      <c r="C7" s="19"/>
      <c r="D7" s="120">
        <f>'Description Sheet'!B7</f>
        <v>1</v>
      </c>
      <c r="E7" s="177" t="str">
        <f>'Description Sheet'!C7</f>
        <v>Electrical Areas</v>
      </c>
      <c r="F7" s="209"/>
      <c r="G7" s="206"/>
      <c r="H7" s="210"/>
      <c r="I7" s="206"/>
      <c r="J7" s="210"/>
      <c r="K7" s="206"/>
      <c r="L7" s="210"/>
      <c r="M7" s="206"/>
      <c r="N7" s="210"/>
      <c r="O7" s="206"/>
      <c r="P7" s="210"/>
      <c r="Q7" s="206"/>
      <c r="R7" s="210"/>
      <c r="S7" s="206"/>
      <c r="T7" s="210"/>
      <c r="U7" s="206"/>
      <c r="V7" s="210"/>
      <c r="W7" s="206"/>
      <c r="X7" s="210"/>
      <c r="Y7" s="207"/>
      <c r="Z7" s="431"/>
      <c r="AA7" s="12"/>
      <c r="AB7" s="101"/>
      <c r="AC7" s="31"/>
    </row>
    <row r="8" spans="1:29" ht="18">
      <c r="A8" s="14"/>
      <c r="B8" s="19">
        <v>1</v>
      </c>
      <c r="C8" s="19">
        <v>1</v>
      </c>
      <c r="D8" s="122">
        <f>'Description Sheet'!B8</f>
        <v>1.1000000000000001</v>
      </c>
      <c r="E8" s="128" t="str">
        <f>'Description Sheet'!C8</f>
        <v>General Electrics and Lighting (Replacement/Repairs)</v>
      </c>
      <c r="F8" s="211" t="s">
        <v>138</v>
      </c>
      <c r="G8" s="212"/>
      <c r="H8" s="211" t="s">
        <v>138</v>
      </c>
      <c r="I8" s="212"/>
      <c r="J8" s="211" t="s">
        <v>138</v>
      </c>
      <c r="K8" s="212"/>
      <c r="L8" s="211" t="s">
        <v>138</v>
      </c>
      <c r="M8" s="212"/>
      <c r="N8" s="211" t="s">
        <v>138</v>
      </c>
      <c r="O8" s="212"/>
      <c r="P8" s="211" t="s">
        <v>138</v>
      </c>
      <c r="Q8" s="212"/>
      <c r="R8" s="211" t="s">
        <v>138</v>
      </c>
      <c r="S8" s="212"/>
      <c r="T8" s="211" t="s">
        <v>138</v>
      </c>
      <c r="U8" s="212"/>
      <c r="V8" s="211" t="s">
        <v>138</v>
      </c>
      <c r="W8" s="212"/>
      <c r="X8" s="211" t="s">
        <v>138</v>
      </c>
      <c r="Y8" s="213"/>
      <c r="Z8" s="432"/>
      <c r="AA8" s="12">
        <f>'Description Sheet'!N8</f>
        <v>4500</v>
      </c>
      <c r="AB8" s="101"/>
      <c r="AC8" s="31"/>
    </row>
    <row r="9" spans="1:29" ht="18">
      <c r="A9" s="14"/>
      <c r="B9" s="19">
        <v>1</v>
      </c>
      <c r="C9" s="19">
        <v>2</v>
      </c>
      <c r="D9" s="122">
        <f>'Description Sheet'!B9</f>
        <v>1.2</v>
      </c>
      <c r="E9" s="128" t="str">
        <f>'Description Sheet'!C9</f>
        <v>Generators (Maintenance Savings)</v>
      </c>
      <c r="F9" s="211"/>
      <c r="G9" s="212"/>
      <c r="H9" s="211"/>
      <c r="I9" s="212"/>
      <c r="J9" s="211"/>
      <c r="K9" s="212"/>
      <c r="L9" s="211"/>
      <c r="M9" s="212"/>
      <c r="N9" s="211"/>
      <c r="O9" s="212"/>
      <c r="P9" s="211"/>
      <c r="Q9" s="212"/>
      <c r="R9" s="211"/>
      <c r="S9" s="212"/>
      <c r="T9" s="211"/>
      <c r="U9" s="212"/>
      <c r="V9" s="211"/>
      <c r="W9" s="212"/>
      <c r="X9" s="211"/>
      <c r="Y9" s="213"/>
      <c r="Z9" s="432"/>
      <c r="AA9" s="12">
        <f>'Description Sheet'!N9</f>
        <v>0</v>
      </c>
      <c r="AB9" s="101"/>
      <c r="AC9" s="31"/>
    </row>
    <row r="10" spans="1:29" ht="18">
      <c r="A10" s="14"/>
      <c r="B10" s="19">
        <v>1</v>
      </c>
      <c r="C10" s="19">
        <v>3</v>
      </c>
      <c r="D10" s="122">
        <f>'Description Sheet'!B10</f>
        <v>1.3</v>
      </c>
      <c r="E10" s="128" t="str">
        <f>'Description Sheet'!C10</f>
        <v>Main Gate &amp; Motor (Replacement Savings)</v>
      </c>
      <c r="F10" s="211" t="s">
        <v>138</v>
      </c>
      <c r="G10" s="212"/>
      <c r="H10" s="211" t="s">
        <v>138</v>
      </c>
      <c r="I10" s="212"/>
      <c r="J10" s="211" t="s">
        <v>138</v>
      </c>
      <c r="K10" s="212"/>
      <c r="L10" s="211" t="s">
        <v>138</v>
      </c>
      <c r="M10" s="212"/>
      <c r="N10" s="211" t="s">
        <v>138</v>
      </c>
      <c r="O10" s="212"/>
      <c r="P10" s="211" t="s">
        <v>138</v>
      </c>
      <c r="Q10" s="212"/>
      <c r="R10" s="211" t="s">
        <v>138</v>
      </c>
      <c r="S10" s="212"/>
      <c r="T10" s="211" t="s">
        <v>138</v>
      </c>
      <c r="U10" s="212"/>
      <c r="V10" s="211" t="s">
        <v>138</v>
      </c>
      <c r="W10" s="212"/>
      <c r="X10" s="211" t="s">
        <v>138</v>
      </c>
      <c r="Y10" s="213"/>
      <c r="Z10" s="432"/>
      <c r="AA10" s="12">
        <f>'Description Sheet'!N10</f>
        <v>2941</v>
      </c>
      <c r="AB10" s="101"/>
      <c r="AC10" s="31"/>
    </row>
    <row r="11" spans="1:29" ht="18">
      <c r="A11" s="14"/>
      <c r="B11" s="19">
        <v>1</v>
      </c>
      <c r="C11" s="19">
        <v>4</v>
      </c>
      <c r="D11" s="122">
        <f>'Description Sheet'!B11</f>
        <v>1.4</v>
      </c>
      <c r="E11" s="128" t="str">
        <f>'Description Sheet'!C11</f>
        <v>Tranformers (Service Interval 3 Years)</v>
      </c>
      <c r="F11" s="211"/>
      <c r="G11" s="213"/>
      <c r="H11" s="211"/>
      <c r="I11" s="213"/>
      <c r="J11" s="211"/>
      <c r="K11" s="213"/>
      <c r="L11" s="211"/>
      <c r="M11" s="213"/>
      <c r="N11" s="211"/>
      <c r="O11" s="213"/>
      <c r="P11" s="211"/>
      <c r="Q11" s="213"/>
      <c r="R11" s="211"/>
      <c r="S11" s="213"/>
      <c r="T11" s="211"/>
      <c r="U11" s="213"/>
      <c r="V11" s="211"/>
      <c r="W11" s="213"/>
      <c r="X11" s="211"/>
      <c r="Y11" s="213"/>
      <c r="Z11" s="432"/>
      <c r="AA11" s="12">
        <f>'Description Sheet'!N11</f>
        <v>0</v>
      </c>
      <c r="AB11" s="101"/>
      <c r="AC11" s="31"/>
    </row>
    <row r="12" spans="1:29" ht="18">
      <c r="A12" s="14"/>
      <c r="B12" s="19">
        <v>1</v>
      </c>
      <c r="C12" s="19">
        <v>5</v>
      </c>
      <c r="D12" s="122">
        <f>'Description Sheet'!B12</f>
        <v>1.5</v>
      </c>
      <c r="E12" s="128" t="str">
        <f>'Description Sheet'!C12</f>
        <v>blank</v>
      </c>
      <c r="F12" s="211"/>
      <c r="G12" s="213"/>
      <c r="H12" s="211"/>
      <c r="I12" s="213"/>
      <c r="J12" s="211"/>
      <c r="K12" s="213"/>
      <c r="L12" s="211"/>
      <c r="M12" s="213"/>
      <c r="N12" s="211"/>
      <c r="O12" s="213"/>
      <c r="P12" s="211"/>
      <c r="Q12" s="213"/>
      <c r="R12" s="211"/>
      <c r="S12" s="213"/>
      <c r="T12" s="211"/>
      <c r="U12" s="213"/>
      <c r="V12" s="211"/>
      <c r="W12" s="213"/>
      <c r="X12" s="211"/>
      <c r="Y12" s="213"/>
      <c r="Z12" s="438"/>
      <c r="AA12" s="12">
        <f>'Description Sheet'!N12</f>
        <v>0</v>
      </c>
      <c r="AB12" s="101"/>
      <c r="AC12" s="31"/>
    </row>
    <row r="13" spans="1:29" ht="18">
      <c r="A13" s="14"/>
      <c r="B13" s="19">
        <v>1</v>
      </c>
      <c r="C13" s="19">
        <v>6</v>
      </c>
      <c r="D13" s="122">
        <f>'Description Sheet'!B13</f>
        <v>1.6</v>
      </c>
      <c r="E13" s="128" t="str">
        <f>'Description Sheet'!C13</f>
        <v>blank</v>
      </c>
      <c r="F13" s="211"/>
      <c r="G13" s="213"/>
      <c r="H13" s="211"/>
      <c r="I13" s="213"/>
      <c r="J13" s="211"/>
      <c r="K13" s="213"/>
      <c r="L13" s="211"/>
      <c r="M13" s="213"/>
      <c r="N13" s="211"/>
      <c r="O13" s="213"/>
      <c r="P13" s="211"/>
      <c r="Q13" s="213"/>
      <c r="R13" s="211"/>
      <c r="S13" s="213"/>
      <c r="T13" s="211"/>
      <c r="U13" s="213"/>
      <c r="V13" s="211"/>
      <c r="W13" s="213"/>
      <c r="X13" s="211"/>
      <c r="Y13" s="213"/>
      <c r="Z13" s="432"/>
      <c r="AA13" s="12">
        <f>'Description Sheet'!N13</f>
        <v>0</v>
      </c>
      <c r="AB13" s="101"/>
      <c r="AC13" s="31"/>
    </row>
    <row r="14" spans="1:29" ht="19" thickBot="1">
      <c r="A14" s="14"/>
      <c r="B14" s="19"/>
      <c r="C14" s="19"/>
      <c r="D14" s="122"/>
      <c r="E14" s="214"/>
      <c r="F14" s="211"/>
      <c r="G14" s="213"/>
      <c r="H14" s="211"/>
      <c r="I14" s="213"/>
      <c r="J14" s="211"/>
      <c r="K14" s="213"/>
      <c r="L14" s="211"/>
      <c r="M14" s="213"/>
      <c r="N14" s="211"/>
      <c r="O14" s="213"/>
      <c r="P14" s="211"/>
      <c r="Q14" s="213"/>
      <c r="R14" s="211"/>
      <c r="S14" s="213"/>
      <c r="T14" s="211"/>
      <c r="U14" s="213"/>
      <c r="V14" s="211"/>
      <c r="W14" s="213"/>
      <c r="X14" s="211"/>
      <c r="Y14" s="213"/>
      <c r="Z14" s="439"/>
      <c r="AA14" s="12"/>
      <c r="AB14" s="101"/>
      <c r="AC14" s="31"/>
    </row>
    <row r="15" spans="1:29" s="393" customFormat="1" ht="20" thickBot="1">
      <c r="A15" s="385" t="s">
        <v>64</v>
      </c>
      <c r="B15" s="385"/>
      <c r="C15" s="385"/>
      <c r="D15" s="386"/>
      <c r="E15" s="387" t="s">
        <v>31</v>
      </c>
      <c r="F15" s="388">
        <v>0</v>
      </c>
      <c r="G15" s="389"/>
      <c r="H15" s="390"/>
      <c r="I15" s="390"/>
      <c r="J15" s="390"/>
      <c r="K15" s="390"/>
      <c r="L15" s="390"/>
      <c r="M15" s="390"/>
      <c r="N15" s="390"/>
      <c r="O15" s="390"/>
      <c r="P15" s="390"/>
      <c r="Q15" s="390"/>
      <c r="R15" s="390"/>
      <c r="S15" s="390"/>
      <c r="T15" s="390"/>
      <c r="U15" s="390"/>
      <c r="V15" s="390"/>
      <c r="W15" s="390"/>
      <c r="X15" s="390"/>
      <c r="Y15" s="389"/>
      <c r="Z15" s="434"/>
      <c r="AA15" s="391"/>
      <c r="AB15" s="392"/>
      <c r="AC15" s="392"/>
    </row>
    <row r="16" spans="1:29" ht="18">
      <c r="A16" s="14" t="s">
        <v>65</v>
      </c>
      <c r="B16" s="19"/>
      <c r="C16" s="19"/>
      <c r="D16" s="122"/>
      <c r="E16" s="128" t="s">
        <v>43</v>
      </c>
      <c r="F16" s="129">
        <f>'Year (2021-2022)'!H16</f>
        <v>7441</v>
      </c>
      <c r="G16" s="206"/>
      <c r="H16" s="129">
        <f>'Year (2022-2023)'!H16</f>
        <v>8036.2800000000007</v>
      </c>
      <c r="I16" s="129" t="e">
        <v>#REF!</v>
      </c>
      <c r="J16" s="129">
        <f>'Year (2023-2024)'!H16</f>
        <v>8679.1824000000015</v>
      </c>
      <c r="K16" s="206"/>
      <c r="L16" s="129">
        <f>'Year (2024-2025)'!H16</f>
        <v>9373.5169920000008</v>
      </c>
      <c r="M16" s="206"/>
      <c r="N16" s="129">
        <f>'Year (2025-2026)'!H16</f>
        <v>10123.398351360001</v>
      </c>
      <c r="O16" s="206"/>
      <c r="P16" s="129">
        <f>'Year (2026-2027)'!H16</f>
        <v>10933.270219468803</v>
      </c>
      <c r="Q16" s="206"/>
      <c r="R16" s="129">
        <f>'Year (2027-2028)'!H16</f>
        <v>11807.931837026308</v>
      </c>
      <c r="S16" s="206"/>
      <c r="T16" s="129">
        <f>'Year (2028-2029)'!H16</f>
        <v>12752.566383988415</v>
      </c>
      <c r="U16" s="206"/>
      <c r="V16" s="129">
        <f>'Year (2029-2030)'!H16</f>
        <v>13772.771694707488</v>
      </c>
      <c r="W16" s="206"/>
      <c r="X16" s="129">
        <f>'Year (2030-2031)'!H16</f>
        <v>14874.593430284087</v>
      </c>
      <c r="Y16" s="207"/>
      <c r="Z16" s="431"/>
      <c r="AA16" s="12"/>
      <c r="AB16" s="101"/>
      <c r="AC16" s="31"/>
    </row>
    <row r="17" spans="1:29" s="393" customFormat="1" ht="18">
      <c r="A17" s="385" t="s">
        <v>66</v>
      </c>
      <c r="B17" s="385"/>
      <c r="C17" s="385"/>
      <c r="D17" s="394"/>
      <c r="E17" s="395" t="s">
        <v>48</v>
      </c>
      <c r="F17" s="396">
        <v>0</v>
      </c>
      <c r="G17" s="397"/>
      <c r="H17" s="396">
        <v>0</v>
      </c>
      <c r="I17" s="397"/>
      <c r="J17" s="396">
        <v>0</v>
      </c>
      <c r="K17" s="397"/>
      <c r="L17" s="396">
        <v>0</v>
      </c>
      <c r="M17" s="397"/>
      <c r="N17" s="396">
        <v>0</v>
      </c>
      <c r="O17" s="397"/>
      <c r="P17" s="396">
        <v>0</v>
      </c>
      <c r="Q17" s="397"/>
      <c r="R17" s="396">
        <v>0</v>
      </c>
      <c r="S17" s="397"/>
      <c r="T17" s="396">
        <v>0</v>
      </c>
      <c r="U17" s="397"/>
      <c r="V17" s="396">
        <v>0</v>
      </c>
      <c r="W17" s="397"/>
      <c r="X17" s="396">
        <v>0</v>
      </c>
      <c r="Y17" s="398"/>
      <c r="Z17" s="434"/>
      <c r="AA17" s="391"/>
      <c r="AB17" s="392"/>
      <c r="AC17" s="392"/>
    </row>
    <row r="18" spans="1:29" ht="20" thickBot="1">
      <c r="A18" s="14"/>
      <c r="B18" s="19"/>
      <c r="C18" s="19"/>
      <c r="D18" s="122"/>
      <c r="E18" s="216"/>
      <c r="F18" s="217"/>
      <c r="G18" s="206"/>
      <c r="H18" s="218"/>
      <c r="I18" s="206"/>
      <c r="J18" s="217"/>
      <c r="K18" s="206"/>
      <c r="L18" s="218"/>
      <c r="M18" s="206"/>
      <c r="N18" s="218"/>
      <c r="O18" s="206"/>
      <c r="P18" s="218"/>
      <c r="Q18" s="206"/>
      <c r="R18" s="217"/>
      <c r="S18" s="206"/>
      <c r="T18" s="218"/>
      <c r="U18" s="206"/>
      <c r="V18" s="218"/>
      <c r="W18" s="206"/>
      <c r="X18" s="217"/>
      <c r="Y18" s="207"/>
      <c r="Z18" s="431"/>
      <c r="AA18" s="12"/>
      <c r="AB18" s="101"/>
      <c r="AC18" s="31"/>
    </row>
    <row r="19" spans="1:29" ht="22" thickBot="1">
      <c r="A19" s="14"/>
      <c r="B19" s="19">
        <v>2</v>
      </c>
      <c r="C19" s="19"/>
      <c r="D19" s="120">
        <f>'Description Sheet'!B16</f>
        <v>2</v>
      </c>
      <c r="E19" s="178" t="str">
        <f>'Description Sheet'!C16</f>
        <v>External Plumbing Areas</v>
      </c>
      <c r="F19" s="219"/>
      <c r="G19" s="206"/>
      <c r="H19" s="220"/>
      <c r="I19" s="206"/>
      <c r="J19" s="219"/>
      <c r="K19" s="206"/>
      <c r="L19" s="220"/>
      <c r="M19" s="206"/>
      <c r="N19" s="220"/>
      <c r="O19" s="206"/>
      <c r="P19" s="220"/>
      <c r="Q19" s="206"/>
      <c r="R19" s="219"/>
      <c r="S19" s="206"/>
      <c r="T19" s="220"/>
      <c r="U19" s="206"/>
      <c r="V19" s="220"/>
      <c r="W19" s="206"/>
      <c r="X19" s="219"/>
      <c r="Y19" s="207"/>
      <c r="Z19" s="431"/>
      <c r="AA19" s="12"/>
      <c r="AB19" s="101"/>
      <c r="AC19" s="31"/>
    </row>
    <row r="20" spans="1:29" ht="18">
      <c r="A20" s="14"/>
      <c r="B20" s="19">
        <v>2</v>
      </c>
      <c r="C20" s="19">
        <v>7</v>
      </c>
      <c r="D20" s="122">
        <f>'Description Sheet'!B17</f>
        <v>2.1</v>
      </c>
      <c r="E20" s="128" t="str">
        <f>'Description Sheet'!C17</f>
        <v>General Plumbing Repairs/Upgrade (Stacks, Valves etc.)</v>
      </c>
      <c r="F20" s="211" t="s">
        <v>138</v>
      </c>
      <c r="G20" s="212"/>
      <c r="H20" s="211" t="s">
        <v>138</v>
      </c>
      <c r="I20" s="212"/>
      <c r="J20" s="211" t="s">
        <v>138</v>
      </c>
      <c r="K20" s="212"/>
      <c r="L20" s="211" t="s">
        <v>138</v>
      </c>
      <c r="M20" s="212"/>
      <c r="N20" s="211" t="s">
        <v>138</v>
      </c>
      <c r="O20" s="212"/>
      <c r="P20" s="211" t="s">
        <v>138</v>
      </c>
      <c r="Q20" s="212"/>
      <c r="R20" s="211" t="s">
        <v>138</v>
      </c>
      <c r="S20" s="212"/>
      <c r="T20" s="211" t="s">
        <v>138</v>
      </c>
      <c r="U20" s="212"/>
      <c r="V20" s="211" t="s">
        <v>138</v>
      </c>
      <c r="W20" s="212"/>
      <c r="X20" s="211" t="s">
        <v>138</v>
      </c>
      <c r="Y20" s="213"/>
      <c r="Z20" s="432"/>
      <c r="AA20" s="12">
        <f>'Description Sheet'!N17</f>
        <v>25000</v>
      </c>
      <c r="AB20" s="101"/>
      <c r="AC20" s="31"/>
    </row>
    <row r="21" spans="1:29" ht="18">
      <c r="A21" s="14"/>
      <c r="B21" s="19">
        <v>2</v>
      </c>
      <c r="C21" s="19">
        <v>8</v>
      </c>
      <c r="D21" s="122">
        <f>'Description Sheet'!B18</f>
        <v>2.2000000000000002</v>
      </c>
      <c r="E21" s="128" t="str">
        <f>'Description Sheet'!C18</f>
        <v>Rectify Reticalation Connections at Fire Hydrants</v>
      </c>
      <c r="F21" s="215"/>
      <c r="G21" s="212"/>
      <c r="H21" s="215"/>
      <c r="I21" s="212"/>
      <c r="J21" s="215"/>
      <c r="K21" s="212"/>
      <c r="L21" s="215"/>
      <c r="M21" s="212"/>
      <c r="N21" s="215"/>
      <c r="O21" s="212"/>
      <c r="P21" s="215"/>
      <c r="Q21" s="212"/>
      <c r="R21" s="215"/>
      <c r="S21" s="212"/>
      <c r="T21" s="215"/>
      <c r="U21" s="212"/>
      <c r="V21" s="215"/>
      <c r="W21" s="212"/>
      <c r="X21" s="211"/>
      <c r="Y21" s="213"/>
      <c r="Z21" s="432"/>
      <c r="AA21" s="12">
        <f>'Description Sheet'!N18</f>
        <v>0</v>
      </c>
      <c r="AB21" s="101"/>
      <c r="AC21" s="31"/>
    </row>
    <row r="22" spans="1:29" ht="18">
      <c r="A22" s="14"/>
      <c r="B22" s="19">
        <v>2</v>
      </c>
      <c r="C22" s="19">
        <v>9</v>
      </c>
      <c r="D22" s="122">
        <f>'Description Sheet'!B19</f>
        <v>2.2999999999999998</v>
      </c>
      <c r="E22" s="128" t="str">
        <f>'Description Sheet'!C19</f>
        <v>Repairs to Storm Water Gullies</v>
      </c>
      <c r="F22" s="215"/>
      <c r="G22" s="212"/>
      <c r="H22" s="215"/>
      <c r="I22" s="212"/>
      <c r="J22" s="215"/>
      <c r="K22" s="212"/>
      <c r="L22" s="215"/>
      <c r="M22" s="212"/>
      <c r="N22" s="215"/>
      <c r="O22" s="212"/>
      <c r="P22" s="215"/>
      <c r="Q22" s="212"/>
      <c r="R22" s="215"/>
      <c r="S22" s="212"/>
      <c r="T22" s="215"/>
      <c r="U22" s="212"/>
      <c r="V22" s="215"/>
      <c r="W22" s="212"/>
      <c r="X22" s="211"/>
      <c r="Y22" s="213"/>
      <c r="Z22" s="432"/>
      <c r="AA22" s="12">
        <f>'Description Sheet'!N19</f>
        <v>0</v>
      </c>
      <c r="AB22" s="101"/>
      <c r="AC22" s="31"/>
    </row>
    <row r="23" spans="1:29" ht="18">
      <c r="A23" s="14"/>
      <c r="B23" s="19">
        <v>2</v>
      </c>
      <c r="C23" s="19">
        <v>10</v>
      </c>
      <c r="D23" s="122">
        <f>'Description Sheet'!B20</f>
        <v>2.4</v>
      </c>
      <c r="E23" s="128" t="str">
        <f>'Description Sheet'!C20</f>
        <v>Servicing of Full-Bore Piping</v>
      </c>
      <c r="F23" s="215"/>
      <c r="G23" s="212"/>
      <c r="H23" s="215"/>
      <c r="I23" s="212"/>
      <c r="J23" s="215"/>
      <c r="K23" s="212"/>
      <c r="L23" s="215"/>
      <c r="M23" s="212"/>
      <c r="N23" s="215"/>
      <c r="O23" s="212"/>
      <c r="P23" s="215"/>
      <c r="Q23" s="212"/>
      <c r="R23" s="215"/>
      <c r="S23" s="212"/>
      <c r="T23" s="215"/>
      <c r="U23" s="212"/>
      <c r="V23" s="215"/>
      <c r="W23" s="212"/>
      <c r="X23" s="211"/>
      <c r="Y23" s="213"/>
      <c r="Z23" s="432"/>
      <c r="AA23" s="12">
        <f>'Description Sheet'!N20</f>
        <v>4706</v>
      </c>
      <c r="AB23" s="101"/>
      <c r="AC23" s="31"/>
    </row>
    <row r="24" spans="1:29" ht="18">
      <c r="A24" s="14"/>
      <c r="B24" s="19">
        <v>2</v>
      </c>
      <c r="C24" s="19">
        <v>11</v>
      </c>
      <c r="D24" s="122">
        <f>'Description Sheet'!B21</f>
        <v>2.5</v>
      </c>
      <c r="E24" s="128" t="str">
        <f>'Description Sheet'!C21</f>
        <v>Replacing of Cast Iron Stack Pipes with PVC</v>
      </c>
      <c r="F24" s="215"/>
      <c r="G24" s="212"/>
      <c r="H24" s="211"/>
      <c r="I24" s="213"/>
      <c r="J24" s="211"/>
      <c r="K24" s="213"/>
      <c r="L24" s="211"/>
      <c r="M24" s="213"/>
      <c r="N24" s="211"/>
      <c r="O24" s="213"/>
      <c r="P24" s="211"/>
      <c r="Q24" s="213"/>
      <c r="R24" s="211"/>
      <c r="S24" s="213"/>
      <c r="T24" s="211"/>
      <c r="U24" s="213"/>
      <c r="V24" s="211"/>
      <c r="W24" s="213"/>
      <c r="X24" s="211"/>
      <c r="Y24" s="213"/>
      <c r="Z24" s="432"/>
      <c r="AA24" s="12">
        <f>'Description Sheet'!N21</f>
        <v>111780</v>
      </c>
      <c r="AB24" s="101"/>
      <c r="AC24" s="31"/>
    </row>
    <row r="25" spans="1:29" ht="18">
      <c r="A25" s="14"/>
      <c r="B25" s="19">
        <v>2</v>
      </c>
      <c r="C25" s="19">
        <v>12</v>
      </c>
      <c r="D25" s="122">
        <f>'Description Sheet'!B22</f>
        <v>2.6</v>
      </c>
      <c r="E25" s="128" t="str">
        <f>'Description Sheet'!C22</f>
        <v>Water Tanks and Pumps (Maintenance/Repairs Savings)</v>
      </c>
      <c r="F25" s="211"/>
      <c r="G25" s="212"/>
      <c r="H25" s="211"/>
      <c r="I25" s="212"/>
      <c r="J25" s="211"/>
      <c r="K25" s="212"/>
      <c r="L25" s="211"/>
      <c r="M25" s="212"/>
      <c r="N25" s="211"/>
      <c r="O25" s="212"/>
      <c r="P25" s="211"/>
      <c r="Q25" s="212"/>
      <c r="R25" s="211"/>
      <c r="S25" s="212"/>
      <c r="T25" s="211"/>
      <c r="U25" s="212"/>
      <c r="V25" s="211"/>
      <c r="W25" s="212"/>
      <c r="X25" s="211"/>
      <c r="Y25" s="213"/>
      <c r="Z25" s="432"/>
      <c r="AA25" s="12">
        <f>'Description Sheet'!N22</f>
        <v>0</v>
      </c>
      <c r="AB25" s="101"/>
      <c r="AC25" s="31"/>
    </row>
    <row r="26" spans="1:29" ht="18">
      <c r="A26" s="14"/>
      <c r="B26" s="19">
        <v>2</v>
      </c>
      <c r="C26" s="19">
        <v>13</v>
      </c>
      <c r="D26" s="122">
        <f>'Description Sheet'!B23</f>
        <v>2.7</v>
      </c>
      <c r="E26" s="128" t="str">
        <f>'Description Sheet'!C23</f>
        <v>Asbestos Water Tanks (Replace)</v>
      </c>
      <c r="F26" s="215"/>
      <c r="G26" s="212"/>
      <c r="H26" s="211"/>
      <c r="I26" s="213"/>
      <c r="J26" s="211"/>
      <c r="K26" s="213"/>
      <c r="L26" s="211"/>
      <c r="M26" s="213"/>
      <c r="N26" s="211"/>
      <c r="O26" s="213"/>
      <c r="P26" s="211"/>
      <c r="Q26" s="213"/>
      <c r="R26" s="211"/>
      <c r="S26" s="213"/>
      <c r="T26" s="211"/>
      <c r="U26" s="213"/>
      <c r="V26" s="211"/>
      <c r="W26" s="213"/>
      <c r="X26" s="211"/>
      <c r="Y26" s="213"/>
      <c r="Z26" s="432"/>
      <c r="AA26" s="12">
        <f>'Description Sheet'!N23</f>
        <v>0</v>
      </c>
      <c r="AB26" s="101"/>
      <c r="AC26" s="31"/>
    </row>
    <row r="27" spans="1:29" ht="19" thickBot="1">
      <c r="A27" s="14"/>
      <c r="B27" s="19"/>
      <c r="C27" s="19"/>
      <c r="D27" s="122"/>
      <c r="E27" s="214"/>
      <c r="F27" s="215"/>
      <c r="G27" s="212"/>
      <c r="H27" s="211"/>
      <c r="I27" s="213"/>
      <c r="J27" s="211"/>
      <c r="K27" s="213"/>
      <c r="L27" s="211"/>
      <c r="M27" s="213"/>
      <c r="N27" s="211"/>
      <c r="O27" s="213"/>
      <c r="P27" s="211"/>
      <c r="Q27" s="213"/>
      <c r="R27" s="211"/>
      <c r="S27" s="213"/>
      <c r="T27" s="211"/>
      <c r="U27" s="213"/>
      <c r="V27" s="211"/>
      <c r="W27" s="213"/>
      <c r="X27" s="215"/>
      <c r="Y27" s="213"/>
      <c r="Z27" s="431"/>
      <c r="AA27" s="12"/>
      <c r="AB27" s="101"/>
      <c r="AC27" s="31"/>
    </row>
    <row r="28" spans="1:29" s="393" customFormat="1" ht="20" thickBot="1">
      <c r="A28" s="385" t="s">
        <v>64</v>
      </c>
      <c r="B28" s="385"/>
      <c r="C28" s="385"/>
      <c r="D28" s="386"/>
      <c r="E28" s="387" t="s">
        <v>31</v>
      </c>
      <c r="F28" s="388">
        <v>0</v>
      </c>
      <c r="G28" s="389"/>
      <c r="H28" s="390"/>
      <c r="I28" s="390"/>
      <c r="J28" s="390"/>
      <c r="K28" s="390"/>
      <c r="L28" s="390"/>
      <c r="M28" s="390"/>
      <c r="N28" s="390"/>
      <c r="O28" s="390"/>
      <c r="P28" s="390"/>
      <c r="Q28" s="390"/>
      <c r="R28" s="390"/>
      <c r="S28" s="390"/>
      <c r="T28" s="390"/>
      <c r="U28" s="390"/>
      <c r="V28" s="390"/>
      <c r="W28" s="390"/>
      <c r="X28" s="390"/>
      <c r="Y28" s="389"/>
      <c r="Z28" s="434"/>
      <c r="AA28" s="391"/>
      <c r="AB28" s="392"/>
      <c r="AC28" s="392"/>
    </row>
    <row r="29" spans="1:29" ht="18">
      <c r="A29" s="14" t="s">
        <v>65</v>
      </c>
      <c r="B29" s="19"/>
      <c r="C29" s="19"/>
      <c r="D29" s="122"/>
      <c r="E29" s="128" t="s">
        <v>43</v>
      </c>
      <c r="F29" s="129">
        <f>'Year (2021-2022)'!H26</f>
        <v>25000</v>
      </c>
      <c r="G29" s="206"/>
      <c r="H29" s="129">
        <f>'Year (2022-2023)'!H26</f>
        <v>27000</v>
      </c>
      <c r="I29" s="129">
        <v>0</v>
      </c>
      <c r="J29" s="129">
        <f>'Year (2023-2024)'!H26</f>
        <v>29160.000000000004</v>
      </c>
      <c r="K29" s="206"/>
      <c r="L29" s="129">
        <f>'Year (2024-2025)'!H26</f>
        <v>31492.800000000007</v>
      </c>
      <c r="M29" s="206"/>
      <c r="N29" s="129">
        <f>'Year (2025-2026)'!H26</f>
        <v>34012.224000000009</v>
      </c>
      <c r="O29" s="206"/>
      <c r="P29" s="129">
        <f>'Year (2026-2027)'!H26</f>
        <v>36733.201920000014</v>
      </c>
      <c r="Q29" s="206"/>
      <c r="R29" s="129">
        <f>'Year (2027-2028)'!H26</f>
        <v>39671.858073600015</v>
      </c>
      <c r="S29" s="206"/>
      <c r="T29" s="129">
        <f>'Year (2028-2029)'!H26</f>
        <v>42845.606719488016</v>
      </c>
      <c r="U29" s="206"/>
      <c r="V29" s="129">
        <f>'Year (2029-2030)'!H26</f>
        <v>46273.255257047058</v>
      </c>
      <c r="W29" s="206"/>
      <c r="X29" s="129">
        <f>'Year (2030-2031)'!H26</f>
        <v>49975.115677610826</v>
      </c>
      <c r="Y29" s="207"/>
      <c r="Z29" s="431"/>
      <c r="AA29" s="12"/>
      <c r="AB29" s="101"/>
      <c r="AC29" s="31"/>
    </row>
    <row r="30" spans="1:29" s="393" customFormat="1" ht="18">
      <c r="A30" s="385" t="s">
        <v>66</v>
      </c>
      <c r="B30" s="385"/>
      <c r="C30" s="385"/>
      <c r="D30" s="394"/>
      <c r="E30" s="395" t="s">
        <v>48</v>
      </c>
      <c r="F30" s="396">
        <v>0</v>
      </c>
      <c r="G30" s="397"/>
      <c r="H30" s="396">
        <v>0</v>
      </c>
      <c r="I30" s="397"/>
      <c r="J30" s="396">
        <v>0</v>
      </c>
      <c r="K30" s="397"/>
      <c r="L30" s="396">
        <v>0</v>
      </c>
      <c r="M30" s="397"/>
      <c r="N30" s="396">
        <v>0</v>
      </c>
      <c r="O30" s="397"/>
      <c r="P30" s="396">
        <v>0</v>
      </c>
      <c r="Q30" s="397"/>
      <c r="R30" s="396">
        <v>0</v>
      </c>
      <c r="S30" s="397"/>
      <c r="T30" s="396">
        <v>0</v>
      </c>
      <c r="U30" s="397"/>
      <c r="V30" s="396">
        <v>0</v>
      </c>
      <c r="W30" s="397"/>
      <c r="X30" s="396">
        <v>0</v>
      </c>
      <c r="Y30" s="398"/>
      <c r="Z30" s="434"/>
      <c r="AA30" s="391"/>
      <c r="AB30" s="392"/>
      <c r="AC30" s="392"/>
    </row>
    <row r="31" spans="1:29" ht="20" thickBot="1">
      <c r="A31" s="14"/>
      <c r="B31" s="15"/>
      <c r="C31" s="15"/>
      <c r="D31" s="119"/>
      <c r="E31" s="128"/>
      <c r="F31" s="221"/>
      <c r="G31" s="206"/>
      <c r="H31" s="222"/>
      <c r="I31" s="206"/>
      <c r="J31" s="221"/>
      <c r="K31" s="206"/>
      <c r="L31" s="222"/>
      <c r="M31" s="206"/>
      <c r="N31" s="222"/>
      <c r="O31" s="206"/>
      <c r="P31" s="222"/>
      <c r="Q31" s="206"/>
      <c r="R31" s="221"/>
      <c r="S31" s="206"/>
      <c r="T31" s="222"/>
      <c r="U31" s="206"/>
      <c r="V31" s="222"/>
      <c r="W31" s="206"/>
      <c r="X31" s="217"/>
      <c r="Y31" s="207"/>
      <c r="Z31" s="431"/>
      <c r="AA31" s="12"/>
      <c r="AB31" s="101"/>
      <c r="AC31" s="31"/>
    </row>
    <row r="32" spans="1:29" ht="22" thickBot="1">
      <c r="A32" s="14"/>
      <c r="B32" s="19">
        <v>3</v>
      </c>
      <c r="C32" s="19"/>
      <c r="D32" s="120">
        <f>'Description Sheet'!B26</f>
        <v>3</v>
      </c>
      <c r="E32" s="178" t="str">
        <f>'Description Sheet'!C26</f>
        <v>Heating and Cooling Systems</v>
      </c>
      <c r="F32" s="219"/>
      <c r="G32" s="206"/>
      <c r="H32" s="220"/>
      <c r="I32" s="206"/>
      <c r="J32" s="219"/>
      <c r="K32" s="206"/>
      <c r="L32" s="220"/>
      <c r="M32" s="206"/>
      <c r="N32" s="220"/>
      <c r="O32" s="206"/>
      <c r="P32" s="220"/>
      <c r="Q32" s="206"/>
      <c r="R32" s="219"/>
      <c r="S32" s="206"/>
      <c r="T32" s="220"/>
      <c r="U32" s="206"/>
      <c r="V32" s="220"/>
      <c r="W32" s="206"/>
      <c r="X32" s="219"/>
      <c r="Y32" s="207"/>
      <c r="Z32" s="431"/>
      <c r="AA32" s="12"/>
      <c r="AB32" s="101"/>
      <c r="AC32" s="31"/>
    </row>
    <row r="33" spans="1:29" ht="18">
      <c r="A33" s="14"/>
      <c r="B33" s="19">
        <v>3</v>
      </c>
      <c r="C33" s="19">
        <v>14</v>
      </c>
      <c r="D33" s="122">
        <f>'Description Sheet'!B27</f>
        <v>3.1</v>
      </c>
      <c r="E33" s="128" t="str">
        <f>'Description Sheet'!C27</f>
        <v>Ventilation Shafts (Maintenance &amp; Upgrade Savings)</v>
      </c>
      <c r="F33" s="211"/>
      <c r="G33" s="212"/>
      <c r="H33" s="211"/>
      <c r="I33" s="212"/>
      <c r="J33" s="211"/>
      <c r="K33" s="212"/>
      <c r="L33" s="211"/>
      <c r="M33" s="212"/>
      <c r="N33" s="211"/>
      <c r="O33" s="212"/>
      <c r="P33" s="211"/>
      <c r="Q33" s="212"/>
      <c r="R33" s="211"/>
      <c r="S33" s="212"/>
      <c r="T33" s="211"/>
      <c r="U33" s="212"/>
      <c r="V33" s="211"/>
      <c r="W33" s="212"/>
      <c r="X33" s="211"/>
      <c r="Y33" s="213"/>
      <c r="Z33" s="432"/>
      <c r="AA33" s="12">
        <f>'Description Sheet'!N27</f>
        <v>0</v>
      </c>
      <c r="AB33" s="101"/>
      <c r="AC33" s="31"/>
    </row>
    <row r="34" spans="1:29" ht="18">
      <c r="A34" s="14"/>
      <c r="B34" s="19">
        <v>3</v>
      </c>
      <c r="C34" s="19">
        <v>15</v>
      </c>
      <c r="D34" s="122">
        <f>'Description Sheet'!B28</f>
        <v>3.2</v>
      </c>
      <c r="E34" s="128" t="str">
        <f>'Description Sheet'!C28</f>
        <v>Air Conditioning Units (Maintenance &amp; Upgrade Savings)</v>
      </c>
      <c r="F34" s="215"/>
      <c r="G34" s="212"/>
      <c r="H34" s="215"/>
      <c r="I34" s="212"/>
      <c r="J34" s="215"/>
      <c r="K34" s="212"/>
      <c r="L34" s="215"/>
      <c r="M34" s="212"/>
      <c r="N34" s="215"/>
      <c r="O34" s="212"/>
      <c r="P34" s="215"/>
      <c r="Q34" s="212"/>
      <c r="R34" s="215"/>
      <c r="S34" s="212"/>
      <c r="T34" s="215"/>
      <c r="U34" s="212"/>
      <c r="V34" s="215"/>
      <c r="W34" s="212"/>
      <c r="X34" s="211"/>
      <c r="Y34" s="213"/>
      <c r="Z34" s="432"/>
      <c r="AA34" s="12">
        <f>'Description Sheet'!N28</f>
        <v>0</v>
      </c>
      <c r="AB34" s="101"/>
      <c r="AC34" s="31"/>
    </row>
    <row r="35" spans="1:29" ht="18">
      <c r="A35" s="14"/>
      <c r="B35" s="19">
        <v>3</v>
      </c>
      <c r="C35" s="19">
        <v>16</v>
      </c>
      <c r="D35" s="122">
        <f>'Description Sheet'!B29</f>
        <v>3.3</v>
      </c>
      <c r="E35" s="128" t="str">
        <f>'Description Sheet'!C29</f>
        <v>Solar Panels (Maintenance &amp; Upgrade Savings)</v>
      </c>
      <c r="F35" s="211"/>
      <c r="G35" s="212"/>
      <c r="H35" s="211"/>
      <c r="I35" s="212"/>
      <c r="J35" s="211"/>
      <c r="K35" s="212"/>
      <c r="L35" s="211"/>
      <c r="M35" s="212"/>
      <c r="N35" s="211"/>
      <c r="O35" s="212"/>
      <c r="P35" s="211"/>
      <c r="Q35" s="212"/>
      <c r="R35" s="211"/>
      <c r="S35" s="212"/>
      <c r="T35" s="211"/>
      <c r="U35" s="212"/>
      <c r="V35" s="211"/>
      <c r="W35" s="212"/>
      <c r="X35" s="211"/>
      <c r="Y35" s="213"/>
      <c r="Z35" s="432"/>
      <c r="AA35" s="12">
        <f>'Description Sheet'!N29</f>
        <v>0</v>
      </c>
      <c r="AB35" s="101"/>
      <c r="AC35" s="31"/>
    </row>
    <row r="36" spans="1:29" ht="18">
      <c r="A36" s="14"/>
      <c r="B36" s="19">
        <v>3</v>
      </c>
      <c r="C36" s="19">
        <v>17</v>
      </c>
      <c r="D36" s="122">
        <f>'Description Sheet'!B30</f>
        <v>3.4</v>
      </c>
      <c r="E36" s="128" t="str">
        <f>'Description Sheet'!C30</f>
        <v>blank</v>
      </c>
      <c r="F36" s="215"/>
      <c r="G36" s="212"/>
      <c r="H36" s="211"/>
      <c r="I36" s="213"/>
      <c r="J36" s="211"/>
      <c r="K36" s="213"/>
      <c r="L36" s="211"/>
      <c r="M36" s="213"/>
      <c r="N36" s="211"/>
      <c r="O36" s="213"/>
      <c r="P36" s="211"/>
      <c r="Q36" s="213"/>
      <c r="R36" s="211"/>
      <c r="S36" s="213"/>
      <c r="T36" s="211"/>
      <c r="U36" s="213"/>
      <c r="V36" s="211"/>
      <c r="W36" s="213"/>
      <c r="X36" s="211"/>
      <c r="Y36" s="213"/>
      <c r="Z36" s="432"/>
      <c r="AA36" s="12">
        <f>'Description Sheet'!N30</f>
        <v>0</v>
      </c>
      <c r="AB36" s="101"/>
      <c r="AC36" s="31"/>
    </row>
    <row r="37" spans="1:29" ht="18">
      <c r="A37" s="14"/>
      <c r="B37" s="19">
        <v>3</v>
      </c>
      <c r="C37" s="19">
        <v>18</v>
      </c>
      <c r="D37" s="122">
        <f>'Description Sheet'!B31</f>
        <v>3.5</v>
      </c>
      <c r="E37" s="128" t="str">
        <f>'Description Sheet'!C31</f>
        <v>blank</v>
      </c>
      <c r="F37" s="215"/>
      <c r="G37" s="212"/>
      <c r="H37" s="211"/>
      <c r="I37" s="213"/>
      <c r="J37" s="211"/>
      <c r="K37" s="213"/>
      <c r="L37" s="211"/>
      <c r="M37" s="213"/>
      <c r="N37" s="211"/>
      <c r="O37" s="213"/>
      <c r="P37" s="211"/>
      <c r="Q37" s="213"/>
      <c r="R37" s="211"/>
      <c r="S37" s="213"/>
      <c r="T37" s="211"/>
      <c r="U37" s="213"/>
      <c r="V37" s="211"/>
      <c r="W37" s="213"/>
      <c r="X37" s="211"/>
      <c r="Y37" s="213"/>
      <c r="Z37" s="432"/>
      <c r="AA37" s="12">
        <f>'Description Sheet'!N31</f>
        <v>0</v>
      </c>
      <c r="AB37" s="101"/>
      <c r="AC37" s="31"/>
    </row>
    <row r="38" spans="1:29" ht="19" thickBot="1">
      <c r="A38" s="14"/>
      <c r="B38" s="19"/>
      <c r="C38" s="19"/>
      <c r="D38" s="122"/>
      <c r="E38" s="214"/>
      <c r="F38" s="215"/>
      <c r="G38" s="212"/>
      <c r="H38" s="211"/>
      <c r="I38" s="213"/>
      <c r="J38" s="211"/>
      <c r="K38" s="213"/>
      <c r="L38" s="211"/>
      <c r="M38" s="213"/>
      <c r="N38" s="211"/>
      <c r="O38" s="213"/>
      <c r="P38" s="211"/>
      <c r="Q38" s="213"/>
      <c r="R38" s="211"/>
      <c r="S38" s="213"/>
      <c r="T38" s="211"/>
      <c r="U38" s="213"/>
      <c r="V38" s="211"/>
      <c r="W38" s="213"/>
      <c r="X38" s="215"/>
      <c r="Y38" s="213"/>
      <c r="Z38" s="431"/>
      <c r="AA38" s="12"/>
      <c r="AB38" s="101"/>
      <c r="AC38" s="31"/>
    </row>
    <row r="39" spans="1:29" s="393" customFormat="1" ht="20" thickBot="1">
      <c r="A39" s="385" t="s">
        <v>64</v>
      </c>
      <c r="B39" s="385"/>
      <c r="C39" s="385"/>
      <c r="D39" s="386"/>
      <c r="E39" s="387" t="s">
        <v>31</v>
      </c>
      <c r="F39" s="388">
        <v>0</v>
      </c>
      <c r="G39" s="389"/>
      <c r="H39" s="390"/>
      <c r="I39" s="390"/>
      <c r="J39" s="390"/>
      <c r="K39" s="390"/>
      <c r="L39" s="390"/>
      <c r="M39" s="390"/>
      <c r="N39" s="390"/>
      <c r="O39" s="390"/>
      <c r="P39" s="390"/>
      <c r="Q39" s="390"/>
      <c r="R39" s="390"/>
      <c r="S39" s="390"/>
      <c r="T39" s="390"/>
      <c r="U39" s="390"/>
      <c r="V39" s="390"/>
      <c r="W39" s="390"/>
      <c r="X39" s="390"/>
      <c r="Y39" s="389"/>
      <c r="Z39" s="434"/>
      <c r="AA39" s="391"/>
      <c r="AB39" s="392"/>
      <c r="AC39" s="392"/>
    </row>
    <row r="40" spans="1:29" ht="18">
      <c r="A40" s="14" t="s">
        <v>65</v>
      </c>
      <c r="B40" s="19"/>
      <c r="C40" s="19"/>
      <c r="D40" s="122"/>
      <c r="E40" s="128" t="s">
        <v>43</v>
      </c>
      <c r="F40" s="129">
        <f>'Year (2021-2022)'!H34</f>
        <v>0</v>
      </c>
      <c r="G40" s="206"/>
      <c r="H40" s="129">
        <f>'Year (2022-2023)'!H34</f>
        <v>0</v>
      </c>
      <c r="I40" s="129" t="e">
        <v>#REF!</v>
      </c>
      <c r="J40" s="129">
        <f>'Year (2023-2024)'!H34</f>
        <v>0</v>
      </c>
      <c r="K40" s="206"/>
      <c r="L40" s="129">
        <f>'Year (2024-2025)'!H34</f>
        <v>0</v>
      </c>
      <c r="M40" s="206"/>
      <c r="N40" s="129">
        <f>'Year (2025-2026)'!H34</f>
        <v>0</v>
      </c>
      <c r="O40" s="206"/>
      <c r="P40" s="129">
        <f>'Year (2026-2027)'!H34</f>
        <v>0</v>
      </c>
      <c r="Q40" s="206"/>
      <c r="R40" s="129">
        <f>'Year (2027-2028)'!H34</f>
        <v>0</v>
      </c>
      <c r="S40" s="206"/>
      <c r="T40" s="129">
        <f>'Year (2028-2029)'!H34</f>
        <v>0</v>
      </c>
      <c r="U40" s="206"/>
      <c r="V40" s="129">
        <f>'Year (2029-2030)'!H34</f>
        <v>0</v>
      </c>
      <c r="W40" s="206"/>
      <c r="X40" s="129">
        <f>'Year (2030-2031)'!H34</f>
        <v>0</v>
      </c>
      <c r="Y40" s="207"/>
      <c r="Z40" s="431"/>
      <c r="AA40" s="12"/>
      <c r="AB40" s="101"/>
      <c r="AC40" s="31"/>
    </row>
    <row r="41" spans="1:29" s="393" customFormat="1" ht="18">
      <c r="A41" s="385" t="s">
        <v>66</v>
      </c>
      <c r="B41" s="385"/>
      <c r="C41" s="385"/>
      <c r="D41" s="394"/>
      <c r="E41" s="395" t="s">
        <v>48</v>
      </c>
      <c r="F41" s="396">
        <v>0</v>
      </c>
      <c r="G41" s="397"/>
      <c r="H41" s="396">
        <v>0</v>
      </c>
      <c r="I41" s="397"/>
      <c r="J41" s="396">
        <v>0</v>
      </c>
      <c r="K41" s="397"/>
      <c r="L41" s="396">
        <v>0</v>
      </c>
      <c r="M41" s="397"/>
      <c r="N41" s="396">
        <v>0</v>
      </c>
      <c r="O41" s="397"/>
      <c r="P41" s="396">
        <v>0</v>
      </c>
      <c r="Q41" s="397"/>
      <c r="R41" s="396">
        <v>0</v>
      </c>
      <c r="S41" s="397"/>
      <c r="T41" s="396">
        <v>0</v>
      </c>
      <c r="U41" s="397"/>
      <c r="V41" s="396">
        <v>0</v>
      </c>
      <c r="W41" s="397"/>
      <c r="X41" s="396">
        <v>0</v>
      </c>
      <c r="Y41" s="398"/>
      <c r="Z41" s="434"/>
      <c r="AA41" s="391"/>
      <c r="AB41" s="392"/>
      <c r="AC41" s="392"/>
    </row>
    <row r="42" spans="1:29" ht="20" thickBot="1">
      <c r="A42" s="14"/>
      <c r="B42" s="19"/>
      <c r="C42" s="19"/>
      <c r="D42" s="122"/>
      <c r="E42" s="128"/>
      <c r="F42" s="221"/>
      <c r="G42" s="206"/>
      <c r="H42" s="222"/>
      <c r="I42" s="206"/>
      <c r="J42" s="221"/>
      <c r="K42" s="206"/>
      <c r="L42" s="222"/>
      <c r="M42" s="206"/>
      <c r="N42" s="222"/>
      <c r="O42" s="206"/>
      <c r="P42" s="222"/>
      <c r="Q42" s="206"/>
      <c r="R42" s="221"/>
      <c r="S42" s="206"/>
      <c r="T42" s="222"/>
      <c r="U42" s="206"/>
      <c r="V42" s="222"/>
      <c r="W42" s="206"/>
      <c r="X42" s="217"/>
      <c r="Y42" s="207"/>
      <c r="Z42" s="431"/>
      <c r="AA42" s="12"/>
      <c r="AB42" s="101"/>
      <c r="AC42" s="31"/>
    </row>
    <row r="43" spans="1:29" ht="22" thickBot="1">
      <c r="A43" s="14"/>
      <c r="B43" s="19">
        <v>4</v>
      </c>
      <c r="C43" s="19"/>
      <c r="D43" s="120">
        <f>'Description Sheet'!B34</f>
        <v>4</v>
      </c>
      <c r="E43" s="178" t="str">
        <f>'Description Sheet'!C34</f>
        <v>Lifts</v>
      </c>
      <c r="F43" s="219"/>
      <c r="G43" s="206"/>
      <c r="H43" s="220"/>
      <c r="I43" s="206"/>
      <c r="J43" s="219"/>
      <c r="K43" s="206"/>
      <c r="L43" s="220"/>
      <c r="M43" s="206"/>
      <c r="N43" s="220"/>
      <c r="O43" s="206"/>
      <c r="P43" s="220"/>
      <c r="Q43" s="206"/>
      <c r="R43" s="219"/>
      <c r="S43" s="206"/>
      <c r="T43" s="220"/>
      <c r="U43" s="206"/>
      <c r="V43" s="220"/>
      <c r="W43" s="206"/>
      <c r="X43" s="219"/>
      <c r="Y43" s="207"/>
      <c r="Z43" s="431"/>
      <c r="AA43" s="12"/>
      <c r="AB43" s="101"/>
      <c r="AC43" s="31"/>
    </row>
    <row r="44" spans="1:29" ht="18">
      <c r="A44" s="14"/>
      <c r="B44" s="19">
        <v>4</v>
      </c>
      <c r="C44" s="19">
        <v>19</v>
      </c>
      <c r="D44" s="122">
        <f>'Description Sheet'!B35</f>
        <v>4.0999999999999996</v>
      </c>
      <c r="E44" s="128" t="str">
        <f>'Description Sheet'!C35</f>
        <v>Lift Upgrade Savings</v>
      </c>
      <c r="F44" s="211"/>
      <c r="G44" s="212"/>
      <c r="H44" s="211"/>
      <c r="I44" s="212"/>
      <c r="J44" s="211"/>
      <c r="K44" s="212"/>
      <c r="L44" s="211"/>
      <c r="M44" s="212"/>
      <c r="N44" s="211"/>
      <c r="O44" s="212"/>
      <c r="P44" s="211"/>
      <c r="Q44" s="212"/>
      <c r="R44" s="211"/>
      <c r="S44" s="212"/>
      <c r="T44" s="211"/>
      <c r="U44" s="212"/>
      <c r="V44" s="211"/>
      <c r="W44" s="212"/>
      <c r="X44" s="211"/>
      <c r="Y44" s="207"/>
      <c r="Z44" s="432"/>
      <c r="AA44" s="12">
        <f>'Description Sheet'!N35</f>
        <v>88247</v>
      </c>
      <c r="AB44" s="101"/>
      <c r="AC44" s="31"/>
    </row>
    <row r="45" spans="1:29" ht="18">
      <c r="A45" s="14"/>
      <c r="B45" s="19">
        <v>4</v>
      </c>
      <c r="C45" s="19">
        <v>20</v>
      </c>
      <c r="D45" s="122">
        <f>'Description Sheet'!B36</f>
        <v>4.2</v>
      </c>
      <c r="E45" s="128" t="str">
        <f>'Description Sheet'!C36</f>
        <v>Lift Replacement (Only in 12-15 years)</v>
      </c>
      <c r="F45" s="215"/>
      <c r="G45" s="206"/>
      <c r="H45" s="211"/>
      <c r="I45" s="207"/>
      <c r="J45" s="211"/>
      <c r="K45" s="207"/>
      <c r="L45" s="211"/>
      <c r="M45" s="207"/>
      <c r="N45" s="211"/>
      <c r="O45" s="207"/>
      <c r="P45" s="211"/>
      <c r="Q45" s="207"/>
      <c r="R45" s="211"/>
      <c r="S45" s="207"/>
      <c r="T45" s="211"/>
      <c r="U45" s="207"/>
      <c r="V45" s="211"/>
      <c r="W45" s="207"/>
      <c r="X45" s="215"/>
      <c r="Y45" s="207"/>
      <c r="Z45" s="432"/>
      <c r="AA45" s="12">
        <f>'Description Sheet'!N36</f>
        <v>0</v>
      </c>
      <c r="AB45" s="101"/>
      <c r="AC45" s="31"/>
    </row>
    <row r="46" spans="1:29" ht="18">
      <c r="A46" s="14"/>
      <c r="B46" s="19">
        <v>4</v>
      </c>
      <c r="C46" s="19">
        <v>21</v>
      </c>
      <c r="D46" s="122">
        <f>'Description Sheet'!B37</f>
        <v>4.3</v>
      </c>
      <c r="E46" s="128" t="str">
        <f>'Description Sheet'!C37</f>
        <v>blank</v>
      </c>
      <c r="F46" s="215"/>
      <c r="G46" s="206"/>
      <c r="H46" s="211"/>
      <c r="I46" s="207"/>
      <c r="J46" s="211"/>
      <c r="K46" s="207"/>
      <c r="L46" s="211"/>
      <c r="M46" s="207"/>
      <c r="N46" s="211"/>
      <c r="O46" s="207"/>
      <c r="P46" s="211"/>
      <c r="Q46" s="207"/>
      <c r="R46" s="211"/>
      <c r="S46" s="207"/>
      <c r="T46" s="211"/>
      <c r="U46" s="207"/>
      <c r="V46" s="211"/>
      <c r="W46" s="207"/>
      <c r="X46" s="215"/>
      <c r="Y46" s="207"/>
      <c r="Z46" s="432"/>
      <c r="AA46" s="12">
        <f>'Description Sheet'!N37</f>
        <v>0</v>
      </c>
      <c r="AB46" s="101"/>
      <c r="AC46" s="31"/>
    </row>
    <row r="47" spans="1:29" ht="18">
      <c r="A47" s="14"/>
      <c r="B47" s="19">
        <v>4</v>
      </c>
      <c r="C47" s="19">
        <v>22</v>
      </c>
      <c r="D47" s="122">
        <f>'Description Sheet'!B38</f>
        <v>4.4000000000000004</v>
      </c>
      <c r="E47" s="128" t="str">
        <f>'Description Sheet'!C38</f>
        <v>blank</v>
      </c>
      <c r="F47" s="215"/>
      <c r="G47" s="206"/>
      <c r="H47" s="211"/>
      <c r="I47" s="207"/>
      <c r="J47" s="211"/>
      <c r="K47" s="207"/>
      <c r="L47" s="211"/>
      <c r="M47" s="207"/>
      <c r="N47" s="211"/>
      <c r="O47" s="207"/>
      <c r="P47" s="211"/>
      <c r="Q47" s="207"/>
      <c r="R47" s="211"/>
      <c r="S47" s="207"/>
      <c r="T47" s="211"/>
      <c r="U47" s="207"/>
      <c r="V47" s="211"/>
      <c r="W47" s="207"/>
      <c r="X47" s="215"/>
      <c r="Y47" s="207"/>
      <c r="Z47" s="432"/>
      <c r="AA47" s="12">
        <f>'Description Sheet'!N38</f>
        <v>0</v>
      </c>
      <c r="AB47" s="101"/>
      <c r="AC47" s="31"/>
    </row>
    <row r="48" spans="1:29" ht="19" thickBot="1">
      <c r="A48" s="14"/>
      <c r="B48" s="19"/>
      <c r="C48" s="19"/>
      <c r="D48" s="122"/>
      <c r="E48" s="214"/>
      <c r="F48" s="215"/>
      <c r="G48" s="206"/>
      <c r="H48" s="211"/>
      <c r="I48" s="207"/>
      <c r="J48" s="211"/>
      <c r="K48" s="207"/>
      <c r="L48" s="211"/>
      <c r="M48" s="207"/>
      <c r="N48" s="211"/>
      <c r="O48" s="207"/>
      <c r="P48" s="211"/>
      <c r="Q48" s="207"/>
      <c r="R48" s="211"/>
      <c r="S48" s="207"/>
      <c r="T48" s="211"/>
      <c r="U48" s="207"/>
      <c r="V48" s="211"/>
      <c r="W48" s="207"/>
      <c r="X48" s="215"/>
      <c r="Y48" s="207"/>
      <c r="Z48" s="431"/>
      <c r="AA48" s="12"/>
      <c r="AB48" s="101"/>
      <c r="AC48" s="31"/>
    </row>
    <row r="49" spans="1:30" s="393" customFormat="1" ht="20" thickBot="1">
      <c r="A49" s="385" t="s">
        <v>64</v>
      </c>
      <c r="B49" s="385"/>
      <c r="C49" s="385"/>
      <c r="D49" s="386"/>
      <c r="E49" s="387" t="s">
        <v>31</v>
      </c>
      <c r="F49" s="388">
        <v>0</v>
      </c>
      <c r="G49" s="389"/>
      <c r="H49" s="390"/>
      <c r="I49" s="390"/>
      <c r="J49" s="390"/>
      <c r="K49" s="390"/>
      <c r="L49" s="390"/>
      <c r="M49" s="390"/>
      <c r="N49" s="390"/>
      <c r="O49" s="390"/>
      <c r="P49" s="390"/>
      <c r="Q49" s="390"/>
      <c r="R49" s="390"/>
      <c r="S49" s="390"/>
      <c r="T49" s="390"/>
      <c r="U49" s="390"/>
      <c r="V49" s="390"/>
      <c r="W49" s="390"/>
      <c r="X49" s="390"/>
      <c r="Y49" s="389"/>
      <c r="Z49" s="434"/>
      <c r="AA49" s="391"/>
      <c r="AB49" s="392"/>
      <c r="AC49" s="392"/>
    </row>
    <row r="50" spans="1:30" ht="18">
      <c r="A50" s="14" t="s">
        <v>65</v>
      </c>
      <c r="B50" s="19"/>
      <c r="C50" s="19"/>
      <c r="D50" s="122"/>
      <c r="E50" s="128" t="s">
        <v>43</v>
      </c>
      <c r="F50" s="129">
        <f>'Year (2021-2022)'!H41</f>
        <v>0</v>
      </c>
      <c r="G50" s="206"/>
      <c r="H50" s="129">
        <f>'Year (2022-2023)'!H41</f>
        <v>0</v>
      </c>
      <c r="I50" s="129">
        <v>0</v>
      </c>
      <c r="J50" s="129">
        <f>'Year (2023-2024)'!H41</f>
        <v>0</v>
      </c>
      <c r="K50" s="206"/>
      <c r="L50" s="129">
        <f>'Year (2024-2025)'!H41</f>
        <v>0</v>
      </c>
      <c r="M50" s="206"/>
      <c r="N50" s="129">
        <f>'Year (2025-2026)'!H41</f>
        <v>0</v>
      </c>
      <c r="O50" s="206"/>
      <c r="P50" s="129">
        <f>'Year (2026-2027)'!H41</f>
        <v>0</v>
      </c>
      <c r="Q50" s="206"/>
      <c r="R50" s="129">
        <f>'Year (2027-2028)'!H41</f>
        <v>0</v>
      </c>
      <c r="S50" s="206"/>
      <c r="T50" s="129">
        <f>'Year (2028-2029)'!H41</f>
        <v>0</v>
      </c>
      <c r="U50" s="206"/>
      <c r="V50" s="129">
        <f>'Year (2029-2030)'!H41</f>
        <v>0</v>
      </c>
      <c r="W50" s="206"/>
      <c r="X50" s="129">
        <f>'Year (2030-2031)'!H41</f>
        <v>0</v>
      </c>
      <c r="Y50" s="207"/>
      <c r="Z50" s="431"/>
      <c r="AA50" s="12"/>
      <c r="AB50" s="101"/>
      <c r="AC50" s="31"/>
    </row>
    <row r="51" spans="1:30" s="393" customFormat="1" ht="18">
      <c r="A51" s="385" t="s">
        <v>66</v>
      </c>
      <c r="B51" s="385"/>
      <c r="C51" s="385"/>
      <c r="D51" s="394"/>
      <c r="E51" s="395" t="s">
        <v>48</v>
      </c>
      <c r="F51" s="396">
        <v>0</v>
      </c>
      <c r="G51" s="397"/>
      <c r="H51" s="396">
        <v>0</v>
      </c>
      <c r="I51" s="397"/>
      <c r="J51" s="396">
        <v>0</v>
      </c>
      <c r="K51" s="397"/>
      <c r="L51" s="396">
        <v>0</v>
      </c>
      <c r="M51" s="397"/>
      <c r="N51" s="396">
        <v>0</v>
      </c>
      <c r="O51" s="397"/>
      <c r="P51" s="396">
        <v>0</v>
      </c>
      <c r="Q51" s="397"/>
      <c r="R51" s="396">
        <v>0</v>
      </c>
      <c r="S51" s="397"/>
      <c r="T51" s="396">
        <v>0</v>
      </c>
      <c r="U51" s="397"/>
      <c r="V51" s="396">
        <v>0</v>
      </c>
      <c r="W51" s="397"/>
      <c r="X51" s="396">
        <v>0</v>
      </c>
      <c r="Y51" s="398"/>
      <c r="Z51" s="434"/>
      <c r="AA51" s="391"/>
      <c r="AB51" s="392"/>
      <c r="AC51" s="392"/>
    </row>
    <row r="52" spans="1:30" ht="20" thickBot="1">
      <c r="A52" s="14"/>
      <c r="B52" s="19"/>
      <c r="C52" s="19"/>
      <c r="D52" s="122"/>
      <c r="E52" s="128"/>
      <c r="F52" s="221"/>
      <c r="G52" s="206"/>
      <c r="H52" s="222"/>
      <c r="I52" s="206"/>
      <c r="J52" s="221"/>
      <c r="K52" s="206"/>
      <c r="L52" s="222"/>
      <c r="M52" s="206"/>
      <c r="N52" s="222"/>
      <c r="O52" s="206"/>
      <c r="P52" s="222"/>
      <c r="Q52" s="206"/>
      <c r="R52" s="221"/>
      <c r="S52" s="206"/>
      <c r="T52" s="222"/>
      <c r="U52" s="206"/>
      <c r="V52" s="222"/>
      <c r="W52" s="206"/>
      <c r="X52" s="217"/>
      <c r="Y52" s="207"/>
      <c r="Z52" s="431"/>
      <c r="AA52" s="12"/>
      <c r="AB52" s="101"/>
      <c r="AC52" s="31"/>
    </row>
    <row r="53" spans="1:30" ht="22" thickBot="1">
      <c r="A53" s="14"/>
      <c r="B53" s="19">
        <v>5</v>
      </c>
      <c r="C53" s="19"/>
      <c r="D53" s="120">
        <f>'Description Sheet'!B41</f>
        <v>5</v>
      </c>
      <c r="E53" s="177" t="str">
        <f>'Description Sheet'!C41</f>
        <v>Carpeting and Furnishing</v>
      </c>
      <c r="F53" s="219"/>
      <c r="G53" s="206"/>
      <c r="H53" s="220"/>
      <c r="I53" s="206"/>
      <c r="J53" s="219"/>
      <c r="K53" s="206"/>
      <c r="L53" s="220"/>
      <c r="M53" s="206"/>
      <c r="N53" s="220"/>
      <c r="O53" s="206"/>
      <c r="P53" s="220"/>
      <c r="Q53" s="206"/>
      <c r="R53" s="219"/>
      <c r="S53" s="206"/>
      <c r="T53" s="220"/>
      <c r="U53" s="206"/>
      <c r="V53" s="220"/>
      <c r="W53" s="206"/>
      <c r="X53" s="219"/>
      <c r="Y53" s="207"/>
      <c r="Z53" s="431"/>
      <c r="AA53" s="12"/>
      <c r="AB53" s="101"/>
      <c r="AC53" s="31"/>
    </row>
    <row r="54" spans="1:30" ht="18">
      <c r="A54" s="14"/>
      <c r="B54" s="19">
        <v>5</v>
      </c>
      <c r="C54" s="19">
        <v>23</v>
      </c>
      <c r="D54" s="122">
        <f>'Description Sheet'!B42</f>
        <v>5.0999999999999996</v>
      </c>
      <c r="E54" s="128" t="str">
        <f>'Description Sheet'!C42</f>
        <v>Common Area Equipment/Furnishings (Replacement/Maintenance)</v>
      </c>
      <c r="F54" s="211" t="s">
        <v>138</v>
      </c>
      <c r="G54" s="212"/>
      <c r="H54" s="211" t="s">
        <v>138</v>
      </c>
      <c r="I54" s="212"/>
      <c r="J54" s="211" t="s">
        <v>138</v>
      </c>
      <c r="K54" s="212"/>
      <c r="L54" s="211" t="s">
        <v>138</v>
      </c>
      <c r="M54" s="212"/>
      <c r="N54" s="211" t="s">
        <v>138</v>
      </c>
      <c r="O54" s="212"/>
      <c r="P54" s="211" t="s">
        <v>138</v>
      </c>
      <c r="Q54" s="212"/>
      <c r="R54" s="211" t="s">
        <v>138</v>
      </c>
      <c r="S54" s="212"/>
      <c r="T54" s="211" t="s">
        <v>138</v>
      </c>
      <c r="U54" s="212"/>
      <c r="V54" s="211" t="s">
        <v>138</v>
      </c>
      <c r="W54" s="212"/>
      <c r="X54" s="211" t="s">
        <v>138</v>
      </c>
      <c r="Y54" s="207"/>
      <c r="Z54" s="432"/>
      <c r="AA54" s="12">
        <f>'Description Sheet'!N42</f>
        <v>3500</v>
      </c>
      <c r="AB54" s="101"/>
      <c r="AC54" s="31"/>
      <c r="AD54" s="9"/>
    </row>
    <row r="55" spans="1:30" ht="18">
      <c r="A55" s="14"/>
      <c r="B55" s="19">
        <v>5</v>
      </c>
      <c r="C55" s="19">
        <v>24</v>
      </c>
      <c r="D55" s="122">
        <f>'Description Sheet'!B43</f>
        <v>5.2</v>
      </c>
      <c r="E55" s="128" t="str">
        <f>'Description Sheet'!C43</f>
        <v>blank</v>
      </c>
      <c r="F55" s="215"/>
      <c r="G55" s="206"/>
      <c r="H55" s="211"/>
      <c r="I55" s="207"/>
      <c r="J55" s="211"/>
      <c r="K55" s="207"/>
      <c r="L55" s="211"/>
      <c r="M55" s="207"/>
      <c r="N55" s="211"/>
      <c r="O55" s="207"/>
      <c r="P55" s="211"/>
      <c r="Q55" s="207"/>
      <c r="R55" s="211"/>
      <c r="S55" s="207"/>
      <c r="T55" s="211"/>
      <c r="U55" s="207"/>
      <c r="V55" s="211"/>
      <c r="W55" s="207"/>
      <c r="X55" s="211"/>
      <c r="Y55" s="207"/>
      <c r="Z55" s="432"/>
      <c r="AA55" s="12">
        <f>'Description Sheet'!N43</f>
        <v>0</v>
      </c>
      <c r="AB55" s="101"/>
      <c r="AC55" s="31"/>
      <c r="AD55" s="9"/>
    </row>
    <row r="56" spans="1:30" ht="18">
      <c r="A56" s="14"/>
      <c r="B56" s="19">
        <v>5</v>
      </c>
      <c r="C56" s="19">
        <v>25</v>
      </c>
      <c r="D56" s="122">
        <f>'Description Sheet'!B44</f>
        <v>5.3</v>
      </c>
      <c r="E56" s="128" t="str">
        <f>'Description Sheet'!C44</f>
        <v>blank</v>
      </c>
      <c r="F56" s="215"/>
      <c r="G56" s="206"/>
      <c r="H56" s="211"/>
      <c r="I56" s="207"/>
      <c r="J56" s="211"/>
      <c r="K56" s="207"/>
      <c r="L56" s="211"/>
      <c r="M56" s="207"/>
      <c r="N56" s="211"/>
      <c r="O56" s="207"/>
      <c r="P56" s="211"/>
      <c r="Q56" s="207"/>
      <c r="R56" s="211"/>
      <c r="S56" s="207"/>
      <c r="T56" s="211"/>
      <c r="U56" s="207"/>
      <c r="V56" s="211"/>
      <c r="W56" s="207"/>
      <c r="X56" s="211"/>
      <c r="Y56" s="207"/>
      <c r="Z56" s="432"/>
      <c r="AA56" s="12">
        <f>'Description Sheet'!N44</f>
        <v>0</v>
      </c>
      <c r="AB56" s="101"/>
      <c r="AC56" s="31"/>
      <c r="AD56" s="9"/>
    </row>
    <row r="57" spans="1:30" ht="18">
      <c r="A57" s="14"/>
      <c r="B57" s="19">
        <v>5</v>
      </c>
      <c r="C57" s="19">
        <v>26</v>
      </c>
      <c r="D57" s="122">
        <f>'Description Sheet'!B45</f>
        <v>5.4</v>
      </c>
      <c r="E57" s="128" t="str">
        <f>'Description Sheet'!C45</f>
        <v>blank</v>
      </c>
      <c r="F57" s="215"/>
      <c r="G57" s="206"/>
      <c r="H57" s="211"/>
      <c r="I57" s="207"/>
      <c r="J57" s="211"/>
      <c r="K57" s="207"/>
      <c r="L57" s="211"/>
      <c r="M57" s="207"/>
      <c r="N57" s="211"/>
      <c r="O57" s="207"/>
      <c r="P57" s="211"/>
      <c r="Q57" s="207"/>
      <c r="R57" s="211"/>
      <c r="S57" s="207"/>
      <c r="T57" s="211"/>
      <c r="U57" s="207"/>
      <c r="V57" s="211"/>
      <c r="W57" s="207"/>
      <c r="X57" s="211"/>
      <c r="Y57" s="207"/>
      <c r="Z57" s="432"/>
      <c r="AA57" s="12">
        <f>'Description Sheet'!N45</f>
        <v>0</v>
      </c>
      <c r="AB57" s="101"/>
      <c r="AC57" s="31"/>
      <c r="AD57" s="9"/>
    </row>
    <row r="58" spans="1:30" ht="19" thickBot="1">
      <c r="A58" s="14"/>
      <c r="B58" s="19"/>
      <c r="C58" s="19"/>
      <c r="D58" s="122"/>
      <c r="E58" s="214"/>
      <c r="F58" s="215"/>
      <c r="G58" s="206"/>
      <c r="H58" s="211"/>
      <c r="I58" s="207"/>
      <c r="J58" s="211"/>
      <c r="K58" s="207"/>
      <c r="L58" s="211"/>
      <c r="M58" s="207"/>
      <c r="N58" s="211"/>
      <c r="O58" s="207"/>
      <c r="P58" s="211"/>
      <c r="Q58" s="207"/>
      <c r="R58" s="211"/>
      <c r="S58" s="207"/>
      <c r="T58" s="211"/>
      <c r="U58" s="207"/>
      <c r="V58" s="211"/>
      <c r="W58" s="207"/>
      <c r="X58" s="215"/>
      <c r="Y58" s="207"/>
      <c r="Z58" s="431"/>
      <c r="AA58" s="12"/>
      <c r="AB58" s="101"/>
      <c r="AC58" s="31"/>
      <c r="AD58" s="9"/>
    </row>
    <row r="59" spans="1:30" s="393" customFormat="1" ht="20" thickBot="1">
      <c r="A59" s="385" t="s">
        <v>64</v>
      </c>
      <c r="B59" s="385"/>
      <c r="C59" s="385"/>
      <c r="D59" s="386"/>
      <c r="E59" s="387" t="s">
        <v>31</v>
      </c>
      <c r="F59" s="388">
        <v>0</v>
      </c>
      <c r="G59" s="389"/>
      <c r="H59" s="390"/>
      <c r="I59" s="390"/>
      <c r="J59" s="390"/>
      <c r="K59" s="390"/>
      <c r="L59" s="390"/>
      <c r="M59" s="390"/>
      <c r="N59" s="390"/>
      <c r="O59" s="390"/>
      <c r="P59" s="390"/>
      <c r="Q59" s="390"/>
      <c r="R59" s="390"/>
      <c r="S59" s="390"/>
      <c r="T59" s="390"/>
      <c r="U59" s="390"/>
      <c r="V59" s="390"/>
      <c r="W59" s="390"/>
      <c r="X59" s="390"/>
      <c r="Y59" s="389"/>
      <c r="Z59" s="434"/>
      <c r="AA59" s="391"/>
      <c r="AB59" s="392"/>
      <c r="AC59" s="392"/>
    </row>
    <row r="60" spans="1:30" ht="18">
      <c r="A60" s="14" t="s">
        <v>65</v>
      </c>
      <c r="B60" s="19"/>
      <c r="C60" s="19"/>
      <c r="D60" s="122"/>
      <c r="E60" s="128" t="s">
        <v>43</v>
      </c>
      <c r="F60" s="129">
        <f>'Year (2021-2022)'!H48</f>
        <v>3500</v>
      </c>
      <c r="G60" s="206"/>
      <c r="H60" s="129">
        <f>'Year (2022-2023)'!H48</f>
        <v>3780.0000000000005</v>
      </c>
      <c r="I60" s="129">
        <v>0</v>
      </c>
      <c r="J60" s="129">
        <f>'Year (2023-2024)'!H43</f>
        <v>4082.4000000000005</v>
      </c>
      <c r="K60" s="206"/>
      <c r="L60" s="129">
        <f>'Year (2024-2025)'!H48</f>
        <v>4408.9920000000011</v>
      </c>
      <c r="M60" s="206"/>
      <c r="N60" s="129">
        <f>'Year (2025-2026)'!H48</f>
        <v>4761.7113600000012</v>
      </c>
      <c r="O60" s="206"/>
      <c r="P60" s="129">
        <f>'Year (2026-2027)'!H48</f>
        <v>5142.6482688000015</v>
      </c>
      <c r="Q60" s="206"/>
      <c r="R60" s="129">
        <f>'Year (2027-2028)'!H48</f>
        <v>5554.0601303040021</v>
      </c>
      <c r="S60" s="206"/>
      <c r="T60" s="129">
        <f>'Year (2028-2029)'!H48</f>
        <v>5998.3849407283224</v>
      </c>
      <c r="U60" s="206"/>
      <c r="V60" s="129">
        <f>'Year (2029-2030)'!H48</f>
        <v>6478.2557359865887</v>
      </c>
      <c r="W60" s="206"/>
      <c r="X60" s="129">
        <f>'Year (2030-2031)'!H48</f>
        <v>6996.5161948655159</v>
      </c>
      <c r="Y60" s="207"/>
      <c r="Z60" s="431"/>
      <c r="AA60" s="12"/>
      <c r="AB60" s="101"/>
      <c r="AC60" s="31"/>
    </row>
    <row r="61" spans="1:30" s="393" customFormat="1" ht="18">
      <c r="A61" s="385" t="s">
        <v>66</v>
      </c>
      <c r="B61" s="385"/>
      <c r="C61" s="385"/>
      <c r="D61" s="394"/>
      <c r="E61" s="395" t="s">
        <v>48</v>
      </c>
      <c r="F61" s="396">
        <v>0</v>
      </c>
      <c r="G61" s="397"/>
      <c r="H61" s="396">
        <v>0</v>
      </c>
      <c r="I61" s="397"/>
      <c r="J61" s="396">
        <v>0</v>
      </c>
      <c r="K61" s="397"/>
      <c r="L61" s="396">
        <v>0</v>
      </c>
      <c r="M61" s="397"/>
      <c r="N61" s="396">
        <v>0</v>
      </c>
      <c r="O61" s="397"/>
      <c r="P61" s="396">
        <v>0</v>
      </c>
      <c r="Q61" s="397"/>
      <c r="R61" s="396">
        <v>0</v>
      </c>
      <c r="S61" s="397"/>
      <c r="T61" s="396">
        <v>0</v>
      </c>
      <c r="U61" s="397"/>
      <c r="V61" s="396">
        <v>0</v>
      </c>
      <c r="W61" s="397"/>
      <c r="X61" s="396">
        <v>0</v>
      </c>
      <c r="Y61" s="398"/>
      <c r="Z61" s="434"/>
      <c r="AA61" s="391"/>
      <c r="AB61" s="392"/>
      <c r="AC61" s="392"/>
    </row>
    <row r="62" spans="1:30" ht="20" thickBot="1">
      <c r="A62" s="14"/>
      <c r="B62" s="19"/>
      <c r="C62" s="19"/>
      <c r="D62" s="122"/>
      <c r="E62" s="128"/>
      <c r="F62" s="221"/>
      <c r="G62" s="206"/>
      <c r="H62" s="222"/>
      <c r="I62" s="206"/>
      <c r="J62" s="221"/>
      <c r="K62" s="206"/>
      <c r="L62" s="222"/>
      <c r="M62" s="206"/>
      <c r="N62" s="222"/>
      <c r="O62" s="206"/>
      <c r="P62" s="222"/>
      <c r="Q62" s="206"/>
      <c r="R62" s="221"/>
      <c r="S62" s="206"/>
      <c r="T62" s="222"/>
      <c r="U62" s="206"/>
      <c r="V62" s="222"/>
      <c r="W62" s="206"/>
      <c r="X62" s="217"/>
      <c r="Y62" s="207"/>
      <c r="Z62" s="431"/>
      <c r="AA62" s="12"/>
      <c r="AB62" s="101"/>
      <c r="AC62" s="31"/>
    </row>
    <row r="63" spans="1:30" ht="22" thickBot="1">
      <c r="A63" s="14"/>
      <c r="B63" s="19">
        <v>6</v>
      </c>
      <c r="C63" s="19"/>
      <c r="D63" s="120">
        <f>'Description Sheet'!B48</f>
        <v>6</v>
      </c>
      <c r="E63" s="178" t="str">
        <f>'Description Sheet'!C48</f>
        <v>Roof  Areas</v>
      </c>
      <c r="F63" s="219"/>
      <c r="G63" s="206"/>
      <c r="H63" s="220"/>
      <c r="I63" s="206"/>
      <c r="J63" s="219"/>
      <c r="K63" s="206"/>
      <c r="L63" s="220"/>
      <c r="M63" s="206"/>
      <c r="N63" s="220"/>
      <c r="O63" s="206"/>
      <c r="P63" s="220"/>
      <c r="Q63" s="206"/>
      <c r="R63" s="219"/>
      <c r="S63" s="206"/>
      <c r="T63" s="220"/>
      <c r="U63" s="206"/>
      <c r="V63" s="220"/>
      <c r="W63" s="206"/>
      <c r="X63" s="219"/>
      <c r="Y63" s="207"/>
      <c r="Z63" s="431"/>
      <c r="AA63" s="12"/>
      <c r="AB63" s="101"/>
      <c r="AC63" s="31"/>
    </row>
    <row r="64" spans="1:30" ht="18">
      <c r="A64" s="14"/>
      <c r="B64" s="19">
        <v>6</v>
      </c>
      <c r="C64" s="19">
        <v>27</v>
      </c>
      <c r="D64" s="122">
        <f>'Description Sheet'!B49</f>
        <v>6.1</v>
      </c>
      <c r="E64" s="128" t="str">
        <f>'Description Sheet'!C49</f>
        <v xml:space="preserve">Flashings/Counter Flashings </v>
      </c>
      <c r="F64" s="223"/>
      <c r="G64" s="212"/>
      <c r="H64" s="224"/>
      <c r="I64" s="212"/>
      <c r="J64" s="223"/>
      <c r="K64" s="212"/>
      <c r="L64" s="223"/>
      <c r="M64" s="212"/>
      <c r="N64" s="223"/>
      <c r="O64" s="212"/>
      <c r="P64" s="223"/>
      <c r="Q64" s="212"/>
      <c r="R64" s="223"/>
      <c r="S64" s="212"/>
      <c r="T64" s="223"/>
      <c r="U64" s="212"/>
      <c r="V64" s="223"/>
      <c r="W64" s="212"/>
      <c r="X64" s="225"/>
      <c r="Y64" s="213"/>
      <c r="Z64" s="432"/>
      <c r="AA64" s="12">
        <f>'Description Sheet'!N49</f>
        <v>0</v>
      </c>
      <c r="AB64" s="101"/>
      <c r="AC64" s="31"/>
    </row>
    <row r="65" spans="1:31" ht="18">
      <c r="A65" s="14"/>
      <c r="B65" s="19">
        <v>6</v>
      </c>
      <c r="C65" s="19">
        <v>28</v>
      </c>
      <c r="D65" s="122">
        <f>'Description Sheet'!B50</f>
        <v>6.2</v>
      </c>
      <c r="E65" s="128" t="str">
        <f>'Description Sheet'!C50</f>
        <v>General Roof Repairs</v>
      </c>
      <c r="F65" s="223"/>
      <c r="G65" s="212"/>
      <c r="H65" s="224"/>
      <c r="I65" s="212"/>
      <c r="J65" s="223"/>
      <c r="K65" s="212"/>
      <c r="L65" s="223"/>
      <c r="M65" s="212"/>
      <c r="N65" s="223"/>
      <c r="O65" s="212"/>
      <c r="P65" s="223"/>
      <c r="Q65" s="212"/>
      <c r="R65" s="223"/>
      <c r="S65" s="212"/>
      <c r="T65" s="223"/>
      <c r="U65" s="212"/>
      <c r="V65" s="223"/>
      <c r="W65" s="212"/>
      <c r="X65" s="225"/>
      <c r="Y65" s="213"/>
      <c r="Z65" s="432"/>
      <c r="AA65" s="12">
        <f>'Description Sheet'!N50</f>
        <v>0</v>
      </c>
      <c r="AB65" s="101"/>
      <c r="AC65" s="31"/>
    </row>
    <row r="66" spans="1:31" ht="18">
      <c r="A66" s="14"/>
      <c r="B66" s="19">
        <v>6</v>
      </c>
      <c r="C66" s="19">
        <v>29</v>
      </c>
      <c r="D66" s="122">
        <f>'Description Sheet'!B51</f>
        <v>6.3</v>
      </c>
      <c r="E66" s="128" t="str">
        <f>'Description Sheet'!C51</f>
        <v>Cleaning &amp; Maintenance &amp; Repairs of Gutters and Downpipes</v>
      </c>
      <c r="F66" s="223" t="s">
        <v>138</v>
      </c>
      <c r="G66" s="212"/>
      <c r="H66" s="224" t="s">
        <v>138</v>
      </c>
      <c r="I66" s="212"/>
      <c r="J66" s="223" t="s">
        <v>138</v>
      </c>
      <c r="K66" s="212"/>
      <c r="L66" s="223" t="s">
        <v>138</v>
      </c>
      <c r="M66" s="212"/>
      <c r="N66" s="223" t="s">
        <v>138</v>
      </c>
      <c r="O66" s="212"/>
      <c r="P66" s="223" t="s">
        <v>138</v>
      </c>
      <c r="Q66" s="212"/>
      <c r="R66" s="223" t="s">
        <v>138</v>
      </c>
      <c r="S66" s="212"/>
      <c r="T66" s="223" t="s">
        <v>138</v>
      </c>
      <c r="U66" s="212"/>
      <c r="V66" s="223" t="s">
        <v>138</v>
      </c>
      <c r="W66" s="212"/>
      <c r="X66" s="225" t="s">
        <v>138</v>
      </c>
      <c r="Y66" s="213"/>
      <c r="Z66" s="432"/>
      <c r="AA66" s="12">
        <f>'Description Sheet'!N51</f>
        <v>3190</v>
      </c>
      <c r="AB66" s="101"/>
      <c r="AC66" s="31"/>
    </row>
    <row r="67" spans="1:31" ht="18">
      <c r="A67" s="14"/>
      <c r="B67" s="19">
        <v>6</v>
      </c>
      <c r="C67" s="19">
        <v>30</v>
      </c>
      <c r="D67" s="122">
        <f>'Description Sheet'!B52</f>
        <v>6.4</v>
      </c>
      <c r="E67" s="128" t="str">
        <f>'Description Sheet'!C52</f>
        <v xml:space="preserve">Painting &amp; Repair of Metal Roof Areas </v>
      </c>
      <c r="F67" s="223"/>
      <c r="G67" s="212"/>
      <c r="H67" s="224"/>
      <c r="I67" s="212"/>
      <c r="J67" s="223"/>
      <c r="K67" s="212"/>
      <c r="L67" s="223"/>
      <c r="M67" s="212"/>
      <c r="N67" s="223"/>
      <c r="O67" s="212"/>
      <c r="P67" s="223"/>
      <c r="Q67" s="212"/>
      <c r="R67" s="223"/>
      <c r="S67" s="212"/>
      <c r="T67" s="223"/>
      <c r="U67" s="212"/>
      <c r="V67" s="223"/>
      <c r="W67" s="212"/>
      <c r="X67" s="225"/>
      <c r="Y67" s="213"/>
      <c r="Z67" s="432"/>
      <c r="AA67" s="12">
        <f>'Description Sheet'!N52</f>
        <v>0</v>
      </c>
      <c r="AB67" s="101"/>
      <c r="AC67" s="41"/>
      <c r="AD67" s="8"/>
      <c r="AE67" s="8"/>
    </row>
    <row r="68" spans="1:31" ht="18">
      <c r="A68" s="14"/>
      <c r="B68" s="19">
        <v>6</v>
      </c>
      <c r="C68" s="19">
        <v>31</v>
      </c>
      <c r="D68" s="122">
        <f>'Description Sheet'!B53</f>
        <v>6.5</v>
      </c>
      <c r="E68" s="128" t="str">
        <f>'Description Sheet'!C53</f>
        <v xml:space="preserve">Painting &amp; Repair of Tile Roof Areas </v>
      </c>
      <c r="F68" s="223"/>
      <c r="G68" s="212"/>
      <c r="H68" s="224"/>
      <c r="I68" s="212"/>
      <c r="J68" s="223"/>
      <c r="K68" s="212"/>
      <c r="L68" s="223"/>
      <c r="M68" s="212"/>
      <c r="N68" s="223"/>
      <c r="O68" s="212"/>
      <c r="P68" s="223"/>
      <c r="Q68" s="212"/>
      <c r="R68" s="223"/>
      <c r="S68" s="212"/>
      <c r="T68" s="223"/>
      <c r="U68" s="212"/>
      <c r="V68" s="223"/>
      <c r="W68" s="212"/>
      <c r="X68" s="225"/>
      <c r="Y68" s="213"/>
      <c r="Z68" s="432"/>
      <c r="AA68" s="12">
        <f>'Description Sheet'!N53</f>
        <v>0</v>
      </c>
      <c r="AB68" s="101"/>
      <c r="AC68" s="31"/>
    </row>
    <row r="69" spans="1:31" ht="18">
      <c r="A69" s="14"/>
      <c r="B69" s="19">
        <v>6</v>
      </c>
      <c r="C69" s="19">
        <v>32</v>
      </c>
      <c r="D69" s="122">
        <f>'Description Sheet'!B54</f>
        <v>6.6</v>
      </c>
      <c r="E69" s="128" t="str">
        <f>'Description Sheet'!C54</f>
        <v xml:space="preserve">Painting &amp; Repairs of Asbestos Roof Areas </v>
      </c>
      <c r="F69" s="223"/>
      <c r="G69" s="212"/>
      <c r="H69" s="224"/>
      <c r="I69" s="212"/>
      <c r="J69" s="223"/>
      <c r="K69" s="212"/>
      <c r="L69" s="223"/>
      <c r="M69" s="212"/>
      <c r="N69" s="223"/>
      <c r="O69" s="212"/>
      <c r="P69" s="223"/>
      <c r="Q69" s="212"/>
      <c r="R69" s="223"/>
      <c r="S69" s="212"/>
      <c r="T69" s="223"/>
      <c r="U69" s="212"/>
      <c r="V69" s="223"/>
      <c r="W69" s="212"/>
      <c r="X69" s="225"/>
      <c r="Y69" s="213"/>
      <c r="Z69" s="432"/>
      <c r="AA69" s="12">
        <f>'Description Sheet'!N54</f>
        <v>0</v>
      </c>
      <c r="AB69" s="101"/>
      <c r="AC69" s="31"/>
    </row>
    <row r="70" spans="1:31" ht="18">
      <c r="A70" s="14"/>
      <c r="B70" s="19">
        <v>6</v>
      </c>
      <c r="C70" s="19">
        <v>33</v>
      </c>
      <c r="D70" s="122">
        <f>'Description Sheet'!B55</f>
        <v>6.7</v>
      </c>
      <c r="E70" s="128" t="str">
        <f>'Description Sheet'!C55</f>
        <v xml:space="preserve">Painting &amp; Repairs of Fibre Cement Roof Areas </v>
      </c>
      <c r="F70" s="223"/>
      <c r="G70" s="212"/>
      <c r="H70" s="224"/>
      <c r="I70" s="212"/>
      <c r="J70" s="223"/>
      <c r="K70" s="212"/>
      <c r="L70" s="223"/>
      <c r="M70" s="212"/>
      <c r="N70" s="223"/>
      <c r="O70" s="212"/>
      <c r="P70" s="223"/>
      <c r="Q70" s="212"/>
      <c r="R70" s="223"/>
      <c r="S70" s="212"/>
      <c r="T70" s="223"/>
      <c r="U70" s="212"/>
      <c r="V70" s="223"/>
      <c r="W70" s="212"/>
      <c r="X70" s="225"/>
      <c r="Y70" s="213"/>
      <c r="Z70" s="432"/>
      <c r="AA70" s="12">
        <f>'Description Sheet'!N55</f>
        <v>0</v>
      </c>
      <c r="AB70" s="101"/>
      <c r="AC70" s="31"/>
    </row>
    <row r="71" spans="1:31" ht="18">
      <c r="A71" s="14"/>
      <c r="B71" s="19">
        <v>6</v>
      </c>
      <c r="C71" s="19">
        <v>34</v>
      </c>
      <c r="D71" s="122">
        <f>'Description Sheet'!B56</f>
        <v>6.8</v>
      </c>
      <c r="E71" s="128" t="str">
        <f>'Description Sheet'!C56</f>
        <v>Servicing of Roof Screws</v>
      </c>
      <c r="F71" s="223"/>
      <c r="G71" s="212"/>
      <c r="H71" s="224"/>
      <c r="I71" s="212"/>
      <c r="J71" s="223"/>
      <c r="K71" s="212"/>
      <c r="L71" s="223"/>
      <c r="M71" s="212"/>
      <c r="N71" s="223"/>
      <c r="O71" s="212"/>
      <c r="P71" s="223"/>
      <c r="Q71" s="212"/>
      <c r="R71" s="223"/>
      <c r="S71" s="212"/>
      <c r="T71" s="223"/>
      <c r="U71" s="212"/>
      <c r="V71" s="223"/>
      <c r="W71" s="212"/>
      <c r="X71" s="225"/>
      <c r="Y71" s="213"/>
      <c r="Z71" s="432"/>
      <c r="AA71" s="12">
        <f>'Description Sheet'!N56</f>
        <v>0</v>
      </c>
      <c r="AB71" s="101"/>
      <c r="AC71" s="31"/>
    </row>
    <row r="72" spans="1:31" ht="18">
      <c r="A72" s="14"/>
      <c r="B72" s="19">
        <v>6</v>
      </c>
      <c r="C72" s="19">
        <v>35</v>
      </c>
      <c r="D72" s="122">
        <f>'Description Sheet'!B57</f>
        <v>6.9</v>
      </c>
      <c r="E72" s="128" t="str">
        <f>'Description Sheet'!C57</f>
        <v xml:space="preserve">Servicing and Re-lignment of Gutters </v>
      </c>
      <c r="F72" s="223"/>
      <c r="G72" s="212"/>
      <c r="H72" s="224"/>
      <c r="I72" s="212"/>
      <c r="J72" s="223"/>
      <c r="K72" s="212"/>
      <c r="L72" s="223"/>
      <c r="M72" s="212"/>
      <c r="N72" s="223"/>
      <c r="O72" s="212"/>
      <c r="P72" s="223"/>
      <c r="Q72" s="212"/>
      <c r="R72" s="223"/>
      <c r="S72" s="212"/>
      <c r="T72" s="223"/>
      <c r="U72" s="212"/>
      <c r="V72" s="223"/>
      <c r="W72" s="212"/>
      <c r="X72" s="225"/>
      <c r="Y72" s="213"/>
      <c r="Z72" s="432"/>
      <c r="AA72" s="12">
        <f>'Description Sheet'!N57</f>
        <v>0</v>
      </c>
      <c r="AB72" s="101"/>
      <c r="AC72" s="31"/>
    </row>
    <row r="73" spans="1:31" ht="18">
      <c r="A73" s="14"/>
      <c r="B73" s="19">
        <v>6</v>
      </c>
      <c r="C73" s="19">
        <v>36</v>
      </c>
      <c r="D73" s="131">
        <f>'Description Sheet'!B58</f>
        <v>6.1</v>
      </c>
      <c r="E73" s="128" t="str">
        <f>'Description Sheet'!C58</f>
        <v>Replacement of Damaged Metal Roof Sheeting</v>
      </c>
      <c r="F73" s="223"/>
      <c r="G73" s="212"/>
      <c r="H73" s="224"/>
      <c r="I73" s="212"/>
      <c r="J73" s="223"/>
      <c r="K73" s="212"/>
      <c r="L73" s="223"/>
      <c r="M73" s="212"/>
      <c r="N73" s="223"/>
      <c r="O73" s="212"/>
      <c r="P73" s="223"/>
      <c r="Q73" s="212"/>
      <c r="R73" s="223"/>
      <c r="S73" s="212"/>
      <c r="T73" s="223"/>
      <c r="U73" s="212"/>
      <c r="V73" s="223"/>
      <c r="W73" s="212"/>
      <c r="X73" s="225"/>
      <c r="Y73" s="213"/>
      <c r="Z73" s="432"/>
      <c r="AA73" s="12">
        <f>'Description Sheet'!N58</f>
        <v>0</v>
      </c>
      <c r="AB73" s="101"/>
      <c r="AC73" s="31"/>
    </row>
    <row r="74" spans="1:31" ht="18">
      <c r="A74" s="14"/>
      <c r="B74" s="19">
        <v>6</v>
      </c>
      <c r="C74" s="19">
        <v>37</v>
      </c>
      <c r="D74" s="131">
        <f>'Description Sheet'!B59</f>
        <v>6.11</v>
      </c>
      <c r="E74" s="128" t="str">
        <f>'Description Sheet'!C59</f>
        <v>Replacement of Polycarbonate Roof Sheeting</v>
      </c>
      <c r="F74" s="223"/>
      <c r="G74" s="212"/>
      <c r="H74" s="224"/>
      <c r="I74" s="212"/>
      <c r="J74" s="223"/>
      <c r="K74" s="212"/>
      <c r="L74" s="223"/>
      <c r="M74" s="212"/>
      <c r="N74" s="223"/>
      <c r="O74" s="212"/>
      <c r="P74" s="223"/>
      <c r="Q74" s="212"/>
      <c r="R74" s="223"/>
      <c r="S74" s="212"/>
      <c r="T74" s="223"/>
      <c r="U74" s="212"/>
      <c r="V74" s="223"/>
      <c r="W74" s="212"/>
      <c r="X74" s="225"/>
      <c r="Y74" s="213"/>
      <c r="Z74" s="432"/>
      <c r="AA74" s="12">
        <f>'Description Sheet'!N59</f>
        <v>0</v>
      </c>
      <c r="AB74" s="101"/>
      <c r="AC74" s="31"/>
    </row>
    <row r="75" spans="1:31" ht="18">
      <c r="A75" s="14"/>
      <c r="B75" s="19">
        <v>6</v>
      </c>
      <c r="C75" s="19">
        <v>38</v>
      </c>
      <c r="D75" s="131">
        <f>'Description Sheet'!B60</f>
        <v>6.12</v>
      </c>
      <c r="E75" s="128" t="str">
        <f>'Description Sheet'!C60</f>
        <v>Replacement of Tile Roofs</v>
      </c>
      <c r="F75" s="223"/>
      <c r="G75" s="212"/>
      <c r="H75" s="224"/>
      <c r="I75" s="212"/>
      <c r="J75" s="223"/>
      <c r="K75" s="212"/>
      <c r="L75" s="223"/>
      <c r="M75" s="212"/>
      <c r="N75" s="223"/>
      <c r="O75" s="212"/>
      <c r="P75" s="223"/>
      <c r="Q75" s="212"/>
      <c r="R75" s="223"/>
      <c r="S75" s="212"/>
      <c r="T75" s="223"/>
      <c r="U75" s="212"/>
      <c r="V75" s="223"/>
      <c r="W75" s="212"/>
      <c r="X75" s="225"/>
      <c r="Y75" s="213"/>
      <c r="Z75" s="432"/>
      <c r="AA75" s="12">
        <f>'Description Sheet'!N60</f>
        <v>0</v>
      </c>
      <c r="AB75" s="101"/>
      <c r="AC75" s="31"/>
    </row>
    <row r="76" spans="1:31" ht="18">
      <c r="A76" s="14"/>
      <c r="B76" s="19">
        <v>6</v>
      </c>
      <c r="C76" s="19">
        <v>39</v>
      </c>
      <c r="D76" s="131">
        <f>'Description Sheet'!B61</f>
        <v>6.13</v>
      </c>
      <c r="E76" s="128" t="str">
        <f>'Description Sheet'!C61</f>
        <v>Replacement of Tile Roof and Structure</v>
      </c>
      <c r="F76" s="223"/>
      <c r="G76" s="212"/>
      <c r="H76" s="224"/>
      <c r="I76" s="212"/>
      <c r="J76" s="223"/>
      <c r="K76" s="212"/>
      <c r="L76" s="223"/>
      <c r="M76" s="212"/>
      <c r="N76" s="223"/>
      <c r="O76" s="212"/>
      <c r="P76" s="223"/>
      <c r="Q76" s="212"/>
      <c r="R76" s="223"/>
      <c r="S76" s="212"/>
      <c r="T76" s="223"/>
      <c r="U76" s="212"/>
      <c r="V76" s="223"/>
      <c r="W76" s="212"/>
      <c r="X76" s="225"/>
      <c r="Y76" s="213"/>
      <c r="Z76" s="432"/>
      <c r="AA76" s="12">
        <f>'Description Sheet'!N61</f>
        <v>0</v>
      </c>
      <c r="AB76" s="101"/>
      <c r="AC76" s="31"/>
    </row>
    <row r="77" spans="1:31" ht="18">
      <c r="A77" s="14"/>
      <c r="B77" s="19">
        <v>6</v>
      </c>
      <c r="C77" s="19">
        <v>40</v>
      </c>
      <c r="D77" s="131">
        <f>'Description Sheet'!B62</f>
        <v>6.14</v>
      </c>
      <c r="E77" s="128" t="str">
        <f>'Description Sheet'!C62</f>
        <v>Replacement of Fibre Cement Roof</v>
      </c>
      <c r="F77" s="223"/>
      <c r="G77" s="212"/>
      <c r="H77" s="224"/>
      <c r="I77" s="212"/>
      <c r="J77" s="223"/>
      <c r="K77" s="212"/>
      <c r="L77" s="223"/>
      <c r="M77" s="212"/>
      <c r="N77" s="223"/>
      <c r="O77" s="212"/>
      <c r="P77" s="223"/>
      <c r="Q77" s="212"/>
      <c r="R77" s="223"/>
      <c r="S77" s="212"/>
      <c r="T77" s="223"/>
      <c r="U77" s="212"/>
      <c r="V77" s="223"/>
      <c r="W77" s="212"/>
      <c r="X77" s="225"/>
      <c r="Y77" s="213"/>
      <c r="Z77" s="432"/>
      <c r="AA77" s="12">
        <f>'Description Sheet'!N62</f>
        <v>0</v>
      </c>
      <c r="AB77" s="101"/>
      <c r="AC77" s="31"/>
    </row>
    <row r="78" spans="1:31" ht="18">
      <c r="A78" s="14"/>
      <c r="B78" s="19">
        <v>6</v>
      </c>
      <c r="C78" s="19">
        <v>41</v>
      </c>
      <c r="D78" s="131">
        <f>'Description Sheet'!B63</f>
        <v>6.15</v>
      </c>
      <c r="E78" s="128" t="str">
        <f>'Description Sheet'!C63</f>
        <v>blank</v>
      </c>
      <c r="F78" s="223"/>
      <c r="G78" s="212"/>
      <c r="H78" s="226"/>
      <c r="I78" s="213"/>
      <c r="J78" s="225"/>
      <c r="K78" s="213"/>
      <c r="L78" s="225"/>
      <c r="M78" s="213"/>
      <c r="N78" s="225"/>
      <c r="O78" s="213"/>
      <c r="P78" s="225"/>
      <c r="Q78" s="213"/>
      <c r="R78" s="225"/>
      <c r="S78" s="213"/>
      <c r="T78" s="225"/>
      <c r="U78" s="213"/>
      <c r="V78" s="225"/>
      <c r="W78" s="213"/>
      <c r="X78" s="225"/>
      <c r="Y78" s="213"/>
      <c r="Z78" s="432"/>
      <c r="AA78" s="12">
        <f>'Description Sheet'!N63</f>
        <v>0</v>
      </c>
      <c r="AB78" s="101"/>
      <c r="AC78" s="31"/>
    </row>
    <row r="79" spans="1:31" ht="18">
      <c r="A79" s="14"/>
      <c r="B79" s="19">
        <v>6</v>
      </c>
      <c r="C79" s="19">
        <v>42</v>
      </c>
      <c r="D79" s="131">
        <f>'Description Sheet'!B64</f>
        <v>6.17</v>
      </c>
      <c r="E79" s="128" t="str">
        <f>'Description Sheet'!C64</f>
        <v>blank</v>
      </c>
      <c r="F79" s="223"/>
      <c r="G79" s="212"/>
      <c r="H79" s="226"/>
      <c r="I79" s="213"/>
      <c r="J79" s="225"/>
      <c r="K79" s="213"/>
      <c r="L79" s="225"/>
      <c r="M79" s="213"/>
      <c r="N79" s="225"/>
      <c r="O79" s="213"/>
      <c r="P79" s="225"/>
      <c r="Q79" s="213"/>
      <c r="R79" s="225"/>
      <c r="S79" s="213"/>
      <c r="T79" s="225"/>
      <c r="U79" s="213"/>
      <c r="V79" s="225"/>
      <c r="W79" s="213"/>
      <c r="X79" s="225"/>
      <c r="Y79" s="213"/>
      <c r="Z79" s="432"/>
      <c r="AA79" s="12">
        <f>'Description Sheet'!N64</f>
        <v>0</v>
      </c>
      <c r="AB79" s="101"/>
      <c r="AC79" s="31"/>
    </row>
    <row r="80" spans="1:31" ht="18">
      <c r="A80" s="14"/>
      <c r="B80" s="19">
        <v>6</v>
      </c>
      <c r="C80" s="19">
        <v>43</v>
      </c>
      <c r="D80" s="131">
        <f>'Description Sheet'!B65</f>
        <v>6.18</v>
      </c>
      <c r="E80" s="128" t="str">
        <f>'Description Sheet'!C65</f>
        <v>blank</v>
      </c>
      <c r="F80" s="223"/>
      <c r="G80" s="212"/>
      <c r="H80" s="226"/>
      <c r="I80" s="213"/>
      <c r="J80" s="225"/>
      <c r="K80" s="213"/>
      <c r="L80" s="225"/>
      <c r="M80" s="213"/>
      <c r="N80" s="225"/>
      <c r="O80" s="213"/>
      <c r="P80" s="225"/>
      <c r="Q80" s="213"/>
      <c r="R80" s="225"/>
      <c r="S80" s="213"/>
      <c r="T80" s="225"/>
      <c r="U80" s="213"/>
      <c r="V80" s="225"/>
      <c r="W80" s="213"/>
      <c r="X80" s="225"/>
      <c r="Y80" s="213"/>
      <c r="Z80" s="432"/>
      <c r="AA80" s="12">
        <f>'Description Sheet'!N65</f>
        <v>0</v>
      </c>
      <c r="AB80" s="101"/>
      <c r="AC80" s="31"/>
    </row>
    <row r="81" spans="1:29" ht="19" thickBot="1">
      <c r="A81" s="14"/>
      <c r="B81" s="19"/>
      <c r="C81" s="19"/>
      <c r="D81" s="131"/>
      <c r="E81" s="214"/>
      <c r="F81" s="223"/>
      <c r="G81" s="212"/>
      <c r="H81" s="225"/>
      <c r="I81" s="213"/>
      <c r="J81" s="225"/>
      <c r="K81" s="213"/>
      <c r="L81" s="225"/>
      <c r="M81" s="213"/>
      <c r="N81" s="225"/>
      <c r="O81" s="213"/>
      <c r="P81" s="225"/>
      <c r="Q81" s="213"/>
      <c r="R81" s="225"/>
      <c r="S81" s="213"/>
      <c r="T81" s="225"/>
      <c r="U81" s="213"/>
      <c r="V81" s="225"/>
      <c r="W81" s="213"/>
      <c r="X81" s="223"/>
      <c r="Y81" s="213"/>
      <c r="Z81" s="431"/>
      <c r="AA81" s="12"/>
      <c r="AB81" s="101"/>
      <c r="AC81" s="31"/>
    </row>
    <row r="82" spans="1:29" s="393" customFormat="1" ht="20" thickBot="1">
      <c r="A82" s="385" t="s">
        <v>64</v>
      </c>
      <c r="B82" s="385"/>
      <c r="C82" s="385"/>
      <c r="D82" s="386"/>
      <c r="E82" s="387" t="s">
        <v>31</v>
      </c>
      <c r="F82" s="388">
        <v>0</v>
      </c>
      <c r="G82" s="389"/>
      <c r="H82" s="390"/>
      <c r="I82" s="390"/>
      <c r="J82" s="390"/>
      <c r="K82" s="390"/>
      <c r="L82" s="390"/>
      <c r="M82" s="390"/>
      <c r="N82" s="390"/>
      <c r="O82" s="390"/>
      <c r="P82" s="390"/>
      <c r="Q82" s="390"/>
      <c r="R82" s="390"/>
      <c r="S82" s="390"/>
      <c r="T82" s="390"/>
      <c r="U82" s="390"/>
      <c r="V82" s="390"/>
      <c r="W82" s="390"/>
      <c r="X82" s="390"/>
      <c r="Y82" s="389"/>
      <c r="Z82" s="434"/>
      <c r="AA82" s="391"/>
      <c r="AB82" s="392"/>
      <c r="AC82" s="392"/>
    </row>
    <row r="83" spans="1:29" ht="18">
      <c r="A83" s="14" t="s">
        <v>65</v>
      </c>
      <c r="B83" s="19"/>
      <c r="C83" s="19"/>
      <c r="D83" s="122"/>
      <c r="E83" s="128" t="s">
        <v>43</v>
      </c>
      <c r="F83" s="129">
        <f>'Year (2021-2022)'!H68</f>
        <v>3190</v>
      </c>
      <c r="G83" s="206"/>
      <c r="H83" s="129">
        <f>'Year (2022-2023)'!H68</f>
        <v>3445.2</v>
      </c>
      <c r="I83" s="129">
        <v>0</v>
      </c>
      <c r="J83" s="129">
        <f>'Year (2023-2024)'!H68</f>
        <v>3720.8160000000003</v>
      </c>
      <c r="K83" s="206"/>
      <c r="L83" s="129">
        <f>'Year (2024-2025)'!H68</f>
        <v>4018.4812800000004</v>
      </c>
      <c r="M83" s="206"/>
      <c r="N83" s="129">
        <f>'Year (2025-2026)'!H68</f>
        <v>4339.9597824000011</v>
      </c>
      <c r="O83" s="206"/>
      <c r="P83" s="129">
        <f>'Year (2026-2027)'!H68</f>
        <v>4687.1565649920012</v>
      </c>
      <c r="Q83" s="206"/>
      <c r="R83" s="129">
        <f>'Year (2027-2028)'!H68</f>
        <v>5062.1290901913617</v>
      </c>
      <c r="S83" s="206"/>
      <c r="T83" s="129">
        <f>'Year (2028-2029)'!H68</f>
        <v>5467.0994174066709</v>
      </c>
      <c r="U83" s="206"/>
      <c r="V83" s="129">
        <f>'Year (2029-2030)'!H68</f>
        <v>5904.4673707992051</v>
      </c>
      <c r="W83" s="206"/>
      <c r="X83" s="129">
        <f>'Year (2030-2031)'!H68</f>
        <v>6376.8247604631424</v>
      </c>
      <c r="Y83" s="207"/>
      <c r="Z83" s="431"/>
      <c r="AA83" s="12"/>
      <c r="AB83" s="101"/>
      <c r="AC83" s="31"/>
    </row>
    <row r="84" spans="1:29" s="393" customFormat="1" ht="18">
      <c r="A84" s="385" t="s">
        <v>66</v>
      </c>
      <c r="B84" s="385"/>
      <c r="C84" s="385"/>
      <c r="D84" s="394"/>
      <c r="E84" s="395" t="s">
        <v>48</v>
      </c>
      <c r="F84" s="396">
        <v>0</v>
      </c>
      <c r="G84" s="397"/>
      <c r="H84" s="396">
        <v>0</v>
      </c>
      <c r="I84" s="397"/>
      <c r="J84" s="396">
        <v>0</v>
      </c>
      <c r="K84" s="397"/>
      <c r="L84" s="396">
        <v>0</v>
      </c>
      <c r="M84" s="397"/>
      <c r="N84" s="396">
        <v>0</v>
      </c>
      <c r="O84" s="397"/>
      <c r="P84" s="396">
        <v>0</v>
      </c>
      <c r="Q84" s="397"/>
      <c r="R84" s="396">
        <v>0</v>
      </c>
      <c r="S84" s="397"/>
      <c r="T84" s="396">
        <v>0</v>
      </c>
      <c r="U84" s="397"/>
      <c r="V84" s="396">
        <v>0</v>
      </c>
      <c r="W84" s="397"/>
      <c r="X84" s="396">
        <v>0</v>
      </c>
      <c r="Y84" s="398"/>
      <c r="Z84" s="434"/>
      <c r="AA84" s="391"/>
      <c r="AB84" s="392"/>
      <c r="AC84" s="392"/>
    </row>
    <row r="85" spans="1:29" ht="20" thickBot="1">
      <c r="A85" s="14"/>
      <c r="B85" s="19"/>
      <c r="C85" s="19"/>
      <c r="D85" s="122"/>
      <c r="E85" s="128"/>
      <c r="F85" s="221"/>
      <c r="G85" s="206"/>
      <c r="H85" s="222"/>
      <c r="I85" s="206"/>
      <c r="J85" s="221"/>
      <c r="K85" s="206"/>
      <c r="L85" s="222"/>
      <c r="M85" s="206"/>
      <c r="N85" s="222"/>
      <c r="O85" s="206"/>
      <c r="P85" s="222"/>
      <c r="Q85" s="206"/>
      <c r="R85" s="221"/>
      <c r="S85" s="206"/>
      <c r="T85" s="222"/>
      <c r="U85" s="206"/>
      <c r="V85" s="222"/>
      <c r="W85" s="206"/>
      <c r="X85" s="217"/>
      <c r="Y85" s="207"/>
      <c r="Z85" s="431"/>
      <c r="AA85" s="12"/>
      <c r="AB85" s="101"/>
      <c r="AC85" s="31"/>
    </row>
    <row r="86" spans="1:29" ht="22" thickBot="1">
      <c r="A86" s="14"/>
      <c r="B86" s="19">
        <v>7</v>
      </c>
      <c r="C86" s="19"/>
      <c r="D86" s="120">
        <f>'Description Sheet'!B68</f>
        <v>7</v>
      </c>
      <c r="E86" s="178" t="str">
        <f>'Description Sheet'!C68</f>
        <v>Painting and Repairs</v>
      </c>
      <c r="F86" s="227"/>
      <c r="G86" s="206"/>
      <c r="H86" s="228"/>
      <c r="I86" s="206"/>
      <c r="J86" s="227"/>
      <c r="K86" s="206"/>
      <c r="L86" s="228"/>
      <c r="M86" s="206"/>
      <c r="N86" s="228"/>
      <c r="O86" s="206"/>
      <c r="P86" s="228"/>
      <c r="Q86" s="206"/>
      <c r="R86" s="227"/>
      <c r="S86" s="206"/>
      <c r="T86" s="228"/>
      <c r="U86" s="206"/>
      <c r="V86" s="228"/>
      <c r="W86" s="206"/>
      <c r="X86" s="227"/>
      <c r="Y86" s="207"/>
      <c r="Z86" s="431"/>
      <c r="AA86" s="12"/>
      <c r="AB86" s="101"/>
      <c r="AC86" s="31"/>
    </row>
    <row r="87" spans="1:29" ht="18">
      <c r="A87" s="14"/>
      <c r="B87" s="19">
        <v>7</v>
      </c>
      <c r="C87" s="19">
        <v>44</v>
      </c>
      <c r="D87" s="122">
        <f>'Description Sheet'!B69</f>
        <v>7.1</v>
      </c>
      <c r="E87" s="128" t="str">
        <f>'Description Sheet'!C69</f>
        <v>External  Painting and Remedial Repairs</v>
      </c>
      <c r="F87" s="211" t="s">
        <v>138</v>
      </c>
      <c r="G87" s="212"/>
      <c r="H87" s="211"/>
      <c r="I87" s="212"/>
      <c r="J87" s="211"/>
      <c r="K87" s="212"/>
      <c r="L87" s="211"/>
      <c r="M87" s="212"/>
      <c r="N87" s="211"/>
      <c r="O87" s="212"/>
      <c r="P87" s="211"/>
      <c r="Q87" s="212"/>
      <c r="R87" s="211"/>
      <c r="S87" s="212"/>
      <c r="T87" s="211"/>
      <c r="U87" s="212"/>
      <c r="V87" s="211"/>
      <c r="W87" s="212"/>
      <c r="X87" s="211" t="s">
        <v>138</v>
      </c>
      <c r="Y87" s="231"/>
      <c r="Z87" s="432"/>
      <c r="AA87" s="12">
        <f>'Description Sheet'!N69</f>
        <v>1843248.8</v>
      </c>
      <c r="AB87" s="101"/>
      <c r="AC87" s="31"/>
    </row>
    <row r="88" spans="1:29" ht="18">
      <c r="A88" s="14"/>
      <c r="B88" s="19">
        <v>7</v>
      </c>
      <c r="C88" s="19">
        <v>45</v>
      </c>
      <c r="D88" s="122">
        <f>'Description Sheet'!B70</f>
        <v>7.2</v>
      </c>
      <c r="E88" s="128" t="str">
        <f>'Description Sheet'!C70</f>
        <v>Internal Repairs to Apartments 505, 405, 305</v>
      </c>
      <c r="F88" s="223" t="s">
        <v>138</v>
      </c>
      <c r="G88" s="229"/>
      <c r="H88" s="223"/>
      <c r="I88" s="229"/>
      <c r="J88" s="223"/>
      <c r="K88" s="229"/>
      <c r="L88" s="223"/>
      <c r="M88" s="229"/>
      <c r="N88" s="223"/>
      <c r="O88" s="229"/>
      <c r="P88" s="230"/>
      <c r="Q88" s="229"/>
      <c r="R88" s="223"/>
      <c r="S88" s="229"/>
      <c r="T88" s="223"/>
      <c r="U88" s="229"/>
      <c r="V88" s="223"/>
      <c r="W88" s="229"/>
      <c r="X88" s="225"/>
      <c r="Y88" s="231"/>
      <c r="Z88" s="432"/>
      <c r="AA88" s="12">
        <f>'Description Sheet'!N70</f>
        <v>155250</v>
      </c>
      <c r="AB88" s="101"/>
      <c r="AC88" s="31"/>
    </row>
    <row r="89" spans="1:29" ht="18">
      <c r="A89" s="14"/>
      <c r="B89" s="19">
        <v>7</v>
      </c>
      <c r="C89" s="19">
        <v>46</v>
      </c>
      <c r="D89" s="122">
        <f>'Description Sheet'!B71</f>
        <v>7.3</v>
      </c>
      <c r="E89" s="128" t="str">
        <f>'Description Sheet'!C71</f>
        <v>Exposed Tops</v>
      </c>
      <c r="F89" s="211"/>
      <c r="G89" s="212"/>
      <c r="H89" s="211"/>
      <c r="I89" s="212"/>
      <c r="J89" s="211"/>
      <c r="K89" s="212"/>
      <c r="L89" s="211"/>
      <c r="M89" s="212"/>
      <c r="N89" s="211"/>
      <c r="O89" s="212"/>
      <c r="P89" s="211"/>
      <c r="Q89" s="212"/>
      <c r="R89" s="211"/>
      <c r="S89" s="212"/>
      <c r="T89" s="211"/>
      <c r="U89" s="212"/>
      <c r="V89" s="211"/>
      <c r="W89" s="212"/>
      <c r="X89" s="211"/>
      <c r="Y89" s="231"/>
      <c r="Z89" s="432"/>
      <c r="AA89" s="12">
        <f>'Description Sheet'!N71</f>
        <v>0</v>
      </c>
      <c r="AB89" s="101"/>
      <c r="AC89" s="31"/>
    </row>
    <row r="90" spans="1:29" ht="18">
      <c r="A90" s="14"/>
      <c r="B90" s="19">
        <v>7</v>
      </c>
      <c r="C90" s="19">
        <v>47</v>
      </c>
      <c r="D90" s="122">
        <f>'Description Sheet'!B72</f>
        <v>7.4</v>
      </c>
      <c r="E90" s="128" t="str">
        <f>'Description Sheet'!C72</f>
        <v>Wall to Frame Sealant (Exposed)</v>
      </c>
      <c r="F90" s="211"/>
      <c r="G90" s="212"/>
      <c r="H90" s="211"/>
      <c r="I90" s="212"/>
      <c r="J90" s="211"/>
      <c r="K90" s="212"/>
      <c r="L90" s="211"/>
      <c r="M90" s="212"/>
      <c r="N90" s="211"/>
      <c r="O90" s="212"/>
      <c r="P90" s="211"/>
      <c r="Q90" s="212"/>
      <c r="R90" s="211"/>
      <c r="S90" s="212"/>
      <c r="T90" s="211"/>
      <c r="U90" s="212"/>
      <c r="V90" s="211"/>
      <c r="W90" s="212"/>
      <c r="X90" s="211"/>
      <c r="Y90" s="231"/>
      <c r="Z90" s="432"/>
      <c r="AA90" s="12">
        <f>'Description Sheet'!N72</f>
        <v>0</v>
      </c>
      <c r="AB90" s="101"/>
      <c r="AC90" s="31"/>
    </row>
    <row r="91" spans="1:29" ht="18">
      <c r="A91" s="14"/>
      <c r="B91" s="19">
        <v>7</v>
      </c>
      <c r="C91" s="19">
        <v>48</v>
      </c>
      <c r="D91" s="122">
        <f>'Description Sheet'!B73</f>
        <v>7.5</v>
      </c>
      <c r="E91" s="128" t="str">
        <f>'Description Sheet'!C73</f>
        <v>Glass to Frame Sealant (Skylights)</v>
      </c>
      <c r="F91" s="211"/>
      <c r="G91" s="212"/>
      <c r="H91" s="211"/>
      <c r="I91" s="212"/>
      <c r="J91" s="211"/>
      <c r="K91" s="212"/>
      <c r="L91" s="211"/>
      <c r="M91" s="212"/>
      <c r="N91" s="211"/>
      <c r="O91" s="212"/>
      <c r="P91" s="211"/>
      <c r="Q91" s="212"/>
      <c r="R91" s="211"/>
      <c r="S91" s="212"/>
      <c r="T91" s="211"/>
      <c r="U91" s="212"/>
      <c r="V91" s="211"/>
      <c r="W91" s="212"/>
      <c r="X91" s="211"/>
      <c r="Y91" s="231"/>
      <c r="Z91" s="432"/>
      <c r="AA91" s="12">
        <f>'Description Sheet'!N73</f>
        <v>0</v>
      </c>
      <c r="AB91" s="101"/>
      <c r="AC91" s="31"/>
    </row>
    <row r="92" spans="1:29" ht="18">
      <c r="A92" s="14"/>
      <c r="B92" s="19">
        <v>7</v>
      </c>
      <c r="C92" s="19">
        <v>49</v>
      </c>
      <c r="D92" s="122">
        <f>'Description Sheet'!B74</f>
        <v>7.6</v>
      </c>
      <c r="E92" s="128" t="str">
        <f>'Description Sheet'!C74</f>
        <v>Metal Windows and Putty Repairs</v>
      </c>
      <c r="F92" s="223"/>
      <c r="G92" s="229"/>
      <c r="H92" s="223"/>
      <c r="I92" s="229"/>
      <c r="J92" s="223"/>
      <c r="K92" s="229"/>
      <c r="L92" s="223"/>
      <c r="M92" s="229"/>
      <c r="N92" s="223"/>
      <c r="O92" s="229"/>
      <c r="P92" s="223"/>
      <c r="Q92" s="229"/>
      <c r="R92" s="223"/>
      <c r="S92" s="229"/>
      <c r="T92" s="223"/>
      <c r="U92" s="229"/>
      <c r="V92" s="223"/>
      <c r="W92" s="229"/>
      <c r="X92" s="225"/>
      <c r="Y92" s="231"/>
      <c r="Z92" s="432"/>
      <c r="AA92" s="12">
        <f>'Description Sheet'!N74</f>
        <v>10000</v>
      </c>
      <c r="AB92" s="101"/>
      <c r="AC92" s="31"/>
    </row>
    <row r="93" spans="1:29" ht="18">
      <c r="A93" s="14"/>
      <c r="B93" s="19">
        <v>7</v>
      </c>
      <c r="C93" s="19">
        <v>50</v>
      </c>
      <c r="D93" s="122">
        <f>'Description Sheet'!B75</f>
        <v>7.7</v>
      </c>
      <c r="E93" s="128" t="str">
        <f>'Description Sheet'!C75</f>
        <v xml:space="preserve">External Woodwork </v>
      </c>
      <c r="F93" s="211"/>
      <c r="G93" s="212"/>
      <c r="H93" s="211"/>
      <c r="I93" s="212"/>
      <c r="J93" s="211"/>
      <c r="K93" s="212"/>
      <c r="L93" s="211"/>
      <c r="M93" s="212"/>
      <c r="N93" s="211" t="s">
        <v>138</v>
      </c>
      <c r="O93" s="212"/>
      <c r="P93" s="211"/>
      <c r="Q93" s="212"/>
      <c r="R93" s="211"/>
      <c r="S93" s="212"/>
      <c r="T93" s="211"/>
      <c r="U93" s="212"/>
      <c r="V93" s="211" t="s">
        <v>138</v>
      </c>
      <c r="W93" s="212"/>
      <c r="X93" s="211"/>
      <c r="Y93" s="231"/>
      <c r="Z93" s="432">
        <v>13</v>
      </c>
      <c r="AA93" s="12">
        <f>'Description Sheet'!N75</f>
        <v>32800</v>
      </c>
      <c r="AB93" s="101"/>
      <c r="AC93" s="31"/>
    </row>
    <row r="94" spans="1:29" ht="18">
      <c r="A94" s="14"/>
      <c r="B94" s="19">
        <v>7</v>
      </c>
      <c r="C94" s="19">
        <v>51</v>
      </c>
      <c r="D94" s="122">
        <f>'Description Sheet'!B76</f>
        <v>7.8</v>
      </c>
      <c r="E94" s="128" t="str">
        <f>'Description Sheet'!C76</f>
        <v xml:space="preserve">External Steelwork </v>
      </c>
      <c r="F94" s="223"/>
      <c r="G94" s="229"/>
      <c r="H94" s="223"/>
      <c r="I94" s="229"/>
      <c r="J94" s="223"/>
      <c r="K94" s="229"/>
      <c r="L94" s="223"/>
      <c r="M94" s="229"/>
      <c r="N94" s="223" t="s">
        <v>138</v>
      </c>
      <c r="O94" s="229"/>
      <c r="P94" s="223"/>
      <c r="Q94" s="229"/>
      <c r="R94" s="223"/>
      <c r="S94" s="229"/>
      <c r="T94" s="223"/>
      <c r="U94" s="229"/>
      <c r="V94" s="223" t="s">
        <v>138</v>
      </c>
      <c r="W94" s="229"/>
      <c r="X94" s="225"/>
      <c r="Y94" s="231"/>
      <c r="Z94" s="432">
        <v>13</v>
      </c>
      <c r="AA94" s="12">
        <f>'Description Sheet'!N76</f>
        <v>9160</v>
      </c>
      <c r="AB94" s="101"/>
      <c r="AC94" s="31"/>
    </row>
    <row r="95" spans="1:29" ht="18">
      <c r="A95" s="14"/>
      <c r="B95" s="19">
        <v>7</v>
      </c>
      <c r="C95" s="19">
        <v>52</v>
      </c>
      <c r="D95" s="122">
        <f>'Description Sheet'!B77</f>
        <v>7.9</v>
      </c>
      <c r="E95" s="128" t="str">
        <f>'Description Sheet'!C77</f>
        <v xml:space="preserve">Pointing &amp; Brickwork Repairs </v>
      </c>
      <c r="F95" s="223"/>
      <c r="G95" s="229"/>
      <c r="H95" s="223"/>
      <c r="I95" s="229"/>
      <c r="J95" s="223"/>
      <c r="K95" s="229"/>
      <c r="L95" s="223"/>
      <c r="M95" s="229"/>
      <c r="N95" s="223"/>
      <c r="O95" s="229"/>
      <c r="P95" s="223"/>
      <c r="Q95" s="229"/>
      <c r="R95" s="223"/>
      <c r="S95" s="229"/>
      <c r="T95" s="223"/>
      <c r="U95" s="229"/>
      <c r="V95" s="223"/>
      <c r="W95" s="229"/>
      <c r="X95" s="225"/>
      <c r="Y95" s="231"/>
      <c r="Z95" s="432"/>
      <c r="AA95" s="12">
        <f>'Description Sheet'!N77</f>
        <v>0</v>
      </c>
      <c r="AB95" s="101"/>
      <c r="AC95" s="31"/>
    </row>
    <row r="96" spans="1:29" ht="18">
      <c r="A96" s="14"/>
      <c r="B96" s="19">
        <v>7</v>
      </c>
      <c r="C96" s="19">
        <v>53</v>
      </c>
      <c r="D96" s="131">
        <f>'Description Sheet'!B78</f>
        <v>7.1</v>
      </c>
      <c r="E96" s="128" t="str">
        <f>'Description Sheet'!C78</f>
        <v>Brickwork Repairs</v>
      </c>
      <c r="F96" s="223"/>
      <c r="G96" s="229"/>
      <c r="H96" s="223"/>
      <c r="I96" s="229"/>
      <c r="J96" s="223"/>
      <c r="K96" s="229"/>
      <c r="L96" s="223"/>
      <c r="M96" s="229"/>
      <c r="N96" s="223"/>
      <c r="O96" s="229"/>
      <c r="P96" s="223"/>
      <c r="Q96" s="229"/>
      <c r="R96" s="223"/>
      <c r="S96" s="229"/>
      <c r="T96" s="223"/>
      <c r="U96" s="229"/>
      <c r="V96" s="223"/>
      <c r="W96" s="229"/>
      <c r="X96" s="225"/>
      <c r="Y96" s="231"/>
      <c r="Z96" s="432"/>
      <c r="AA96" s="12">
        <f>'Description Sheet'!N78</f>
        <v>4118</v>
      </c>
      <c r="AB96" s="101"/>
      <c r="AC96" s="31"/>
    </row>
    <row r="97" spans="1:29" ht="18">
      <c r="A97" s="14"/>
      <c r="B97" s="19">
        <v>7</v>
      </c>
      <c r="C97" s="19">
        <v>54</v>
      </c>
      <c r="D97" s="131">
        <f>'Description Sheet'!B79</f>
        <v>7.11</v>
      </c>
      <c r="E97" s="128" t="str">
        <f>'Description Sheet'!C79</f>
        <v>Painted Floors</v>
      </c>
      <c r="F97" s="223"/>
      <c r="G97" s="229"/>
      <c r="H97" s="223"/>
      <c r="I97" s="229"/>
      <c r="J97" s="223"/>
      <c r="K97" s="229"/>
      <c r="L97" s="223"/>
      <c r="M97" s="229"/>
      <c r="N97" s="223"/>
      <c r="O97" s="229"/>
      <c r="P97" s="223"/>
      <c r="Q97" s="229"/>
      <c r="R97" s="223"/>
      <c r="S97" s="229"/>
      <c r="T97" s="223"/>
      <c r="U97" s="229"/>
      <c r="V97" s="223"/>
      <c r="W97" s="229"/>
      <c r="X97" s="225"/>
      <c r="Y97" s="231"/>
      <c r="Z97" s="432"/>
      <c r="AA97" s="12">
        <f>'Description Sheet'!N79</f>
        <v>103360</v>
      </c>
      <c r="AB97" s="101"/>
      <c r="AC97" s="31"/>
    </row>
    <row r="98" spans="1:29" ht="18">
      <c r="A98" s="14"/>
      <c r="B98" s="19">
        <v>7</v>
      </c>
      <c r="C98" s="19">
        <v>55</v>
      </c>
      <c r="D98" s="131">
        <f>'Description Sheet'!B80</f>
        <v>7.12</v>
      </c>
      <c r="E98" s="128" t="str">
        <f>'Description Sheet'!C80</f>
        <v>Nutec Walls</v>
      </c>
      <c r="F98" s="223"/>
      <c r="G98" s="229"/>
      <c r="H98" s="223"/>
      <c r="I98" s="229"/>
      <c r="J98" s="223"/>
      <c r="K98" s="229"/>
      <c r="L98" s="223"/>
      <c r="M98" s="229"/>
      <c r="N98" s="223"/>
      <c r="O98" s="229"/>
      <c r="P98" s="223"/>
      <c r="Q98" s="229"/>
      <c r="R98" s="223"/>
      <c r="S98" s="229"/>
      <c r="T98" s="223"/>
      <c r="U98" s="229"/>
      <c r="V98" s="223"/>
      <c r="W98" s="229"/>
      <c r="X98" s="225"/>
      <c r="Y98" s="231"/>
      <c r="Z98" s="432"/>
      <c r="AA98" s="12">
        <f>'Description Sheet'!N80</f>
        <v>43290</v>
      </c>
      <c r="AB98" s="101"/>
      <c r="AC98" s="31"/>
    </row>
    <row r="99" spans="1:29" ht="18">
      <c r="A99" s="14"/>
      <c r="B99" s="19">
        <v>7</v>
      </c>
      <c r="C99" s="19">
        <v>56</v>
      </c>
      <c r="D99" s="131">
        <f>'Description Sheet'!B81</f>
        <v>7.13</v>
      </c>
      <c r="E99" s="128" t="str">
        <f>'Description Sheet'!C81</f>
        <v xml:space="preserve">Basement Parking Walls and Soffits Areas </v>
      </c>
      <c r="F99" s="211"/>
      <c r="G99" s="212"/>
      <c r="H99" s="211"/>
      <c r="I99" s="212"/>
      <c r="J99" s="211"/>
      <c r="K99" s="212"/>
      <c r="L99" s="211"/>
      <c r="M99" s="212"/>
      <c r="N99" s="211"/>
      <c r="O99" s="212"/>
      <c r="P99" s="211"/>
      <c r="Q99" s="212"/>
      <c r="R99" s="211"/>
      <c r="S99" s="212"/>
      <c r="T99" s="211"/>
      <c r="U99" s="212"/>
      <c r="V99" s="211"/>
      <c r="W99" s="212"/>
      <c r="X99" s="211"/>
      <c r="Y99" s="231"/>
      <c r="Z99" s="432"/>
      <c r="AA99" s="12">
        <f>'Description Sheet'!N81</f>
        <v>0</v>
      </c>
      <c r="AB99" s="101"/>
      <c r="AC99" s="31"/>
    </row>
    <row r="100" spans="1:29" ht="18">
      <c r="A100" s="14"/>
      <c r="B100" s="19">
        <v>7</v>
      </c>
      <c r="C100" s="19">
        <v>57</v>
      </c>
      <c r="D100" s="131">
        <f>'Description Sheet'!B82</f>
        <v>7.14</v>
      </c>
      <c r="E100" s="128" t="str">
        <f>'Description Sheet'!C82</f>
        <v>Internal Common Walls and Soffit Areas</v>
      </c>
      <c r="F100" s="211"/>
      <c r="G100" s="212"/>
      <c r="H100" s="211"/>
      <c r="I100" s="212"/>
      <c r="J100" s="211"/>
      <c r="K100" s="212"/>
      <c r="L100" s="211"/>
      <c r="M100" s="212"/>
      <c r="N100" s="211"/>
      <c r="O100" s="212"/>
      <c r="P100" s="211"/>
      <c r="Q100" s="212"/>
      <c r="R100" s="211"/>
      <c r="S100" s="212"/>
      <c r="T100" s="211"/>
      <c r="U100" s="212"/>
      <c r="V100" s="211"/>
      <c r="W100" s="212"/>
      <c r="X100" s="211"/>
      <c r="Y100" s="231"/>
      <c r="Z100" s="432"/>
      <c r="AA100" s="12">
        <f>'Description Sheet'!N82</f>
        <v>0</v>
      </c>
      <c r="AB100" s="101"/>
      <c r="AC100" s="31"/>
    </row>
    <row r="101" spans="1:29" ht="18">
      <c r="A101" s="14"/>
      <c r="B101" s="19">
        <v>7</v>
      </c>
      <c r="C101" s="19">
        <v>58</v>
      </c>
      <c r="D101" s="131">
        <f>'Description Sheet'!B83</f>
        <v>7.15</v>
      </c>
      <c r="E101" s="128" t="str">
        <f>'Description Sheet'!C83</f>
        <v xml:space="preserve">Basement Parking Walls and Soffits Areas </v>
      </c>
      <c r="F101" s="223"/>
      <c r="G101" s="229"/>
      <c r="H101" s="223"/>
      <c r="I101" s="229"/>
      <c r="J101" s="223"/>
      <c r="K101" s="229"/>
      <c r="L101" s="223"/>
      <c r="M101" s="229"/>
      <c r="N101" s="223"/>
      <c r="O101" s="229"/>
      <c r="P101" s="223"/>
      <c r="Q101" s="229"/>
      <c r="R101" s="223"/>
      <c r="S101" s="229"/>
      <c r="T101" s="223"/>
      <c r="U101" s="229"/>
      <c r="V101" s="223"/>
      <c r="W101" s="229"/>
      <c r="X101" s="225"/>
      <c r="Y101" s="231"/>
      <c r="Z101" s="432"/>
      <c r="AA101" s="12">
        <f>'Description Sheet'!N83</f>
        <v>0</v>
      </c>
      <c r="AB101" s="101"/>
      <c r="AC101" s="31"/>
    </row>
    <row r="102" spans="1:29" ht="18">
      <c r="A102" s="14"/>
      <c r="B102" s="19">
        <v>7</v>
      </c>
      <c r="C102" s="19">
        <v>59</v>
      </c>
      <c r="D102" s="131">
        <f>'Description Sheet'!B84</f>
        <v>7.16</v>
      </c>
      <c r="E102" s="128" t="str">
        <f>'Description Sheet'!C84</f>
        <v>Cleaning of Cladding Panels</v>
      </c>
      <c r="F102" s="223"/>
      <c r="G102" s="229"/>
      <c r="H102" s="223"/>
      <c r="I102" s="229"/>
      <c r="J102" s="223"/>
      <c r="K102" s="229"/>
      <c r="L102" s="223"/>
      <c r="M102" s="229"/>
      <c r="N102" s="223"/>
      <c r="O102" s="229"/>
      <c r="P102" s="223"/>
      <c r="Q102" s="229"/>
      <c r="R102" s="223"/>
      <c r="S102" s="229"/>
      <c r="T102" s="223"/>
      <c r="U102" s="229"/>
      <c r="V102" s="223"/>
      <c r="W102" s="229"/>
      <c r="X102" s="225"/>
      <c r="Y102" s="231"/>
      <c r="Z102" s="432"/>
      <c r="AA102" s="12">
        <f>'Description Sheet'!N84</f>
        <v>0</v>
      </c>
      <c r="AB102" s="101"/>
      <c r="AC102" s="31"/>
    </row>
    <row r="103" spans="1:29" ht="18">
      <c r="A103" s="14"/>
      <c r="B103" s="19">
        <v>7</v>
      </c>
      <c r="C103" s="19">
        <v>60</v>
      </c>
      <c r="D103" s="131">
        <f>'Description Sheet'!B85</f>
        <v>7.17</v>
      </c>
      <c r="E103" s="128" t="str">
        <f>'Description Sheet'!C85</f>
        <v>Painting of Facais and Barge Boarding</v>
      </c>
      <c r="F103" s="223"/>
      <c r="G103" s="229"/>
      <c r="H103" s="223"/>
      <c r="I103" s="229"/>
      <c r="J103" s="223"/>
      <c r="K103" s="229"/>
      <c r="L103" s="223"/>
      <c r="M103" s="229"/>
      <c r="N103" s="223"/>
      <c r="O103" s="229"/>
      <c r="P103" s="223"/>
      <c r="Q103" s="229"/>
      <c r="R103" s="223"/>
      <c r="S103" s="229"/>
      <c r="T103" s="223"/>
      <c r="U103" s="229"/>
      <c r="V103" s="223"/>
      <c r="W103" s="229"/>
      <c r="X103" s="225"/>
      <c r="Y103" s="231"/>
      <c r="Z103" s="432"/>
      <c r="AA103" s="12">
        <f>'Description Sheet'!N85</f>
        <v>0</v>
      </c>
      <c r="AB103" s="101"/>
      <c r="AC103" s="31"/>
    </row>
    <row r="104" spans="1:29" ht="18">
      <c r="A104" s="14"/>
      <c r="B104" s="19">
        <v>7</v>
      </c>
      <c r="C104" s="19">
        <v>61</v>
      </c>
      <c r="D104" s="131">
        <f>'Description Sheet'!B86</f>
        <v>7.18</v>
      </c>
      <c r="E104" s="128" t="str">
        <f>'Description Sheet'!C86</f>
        <v>Painting External Wooden Soffits</v>
      </c>
      <c r="F104" s="223"/>
      <c r="G104" s="229"/>
      <c r="H104" s="223"/>
      <c r="I104" s="229"/>
      <c r="J104" s="223"/>
      <c r="K104" s="229"/>
      <c r="L104" s="223"/>
      <c r="M104" s="229"/>
      <c r="N104" s="223"/>
      <c r="O104" s="229"/>
      <c r="P104" s="223"/>
      <c r="Q104" s="229"/>
      <c r="R104" s="223"/>
      <c r="S104" s="229"/>
      <c r="T104" s="223"/>
      <c r="U104" s="229"/>
      <c r="V104" s="223"/>
      <c r="W104" s="229"/>
      <c r="X104" s="225"/>
      <c r="Y104" s="231"/>
      <c r="Z104" s="432"/>
      <c r="AA104" s="12">
        <f>'Description Sheet'!N86</f>
        <v>0</v>
      </c>
      <c r="AB104" s="101"/>
      <c r="AC104" s="31"/>
    </row>
    <row r="105" spans="1:29" ht="18">
      <c r="A105" s="14"/>
      <c r="B105" s="19">
        <v>7</v>
      </c>
      <c r="C105" s="19">
        <v>62</v>
      </c>
      <c r="D105" s="131">
        <f>'Description Sheet'!B87</f>
        <v>7.19</v>
      </c>
      <c r="E105" s="128" t="str">
        <f>'Description Sheet'!C87</f>
        <v>Painting of Palisade Fencing</v>
      </c>
      <c r="F105" s="211"/>
      <c r="G105" s="212"/>
      <c r="H105" s="211"/>
      <c r="I105" s="212"/>
      <c r="J105" s="211"/>
      <c r="K105" s="212"/>
      <c r="L105" s="211"/>
      <c r="M105" s="212"/>
      <c r="N105" s="211"/>
      <c r="O105" s="212"/>
      <c r="P105" s="211"/>
      <c r="Q105" s="212"/>
      <c r="R105" s="211"/>
      <c r="S105" s="212"/>
      <c r="T105" s="211"/>
      <c r="U105" s="212"/>
      <c r="V105" s="211"/>
      <c r="W105" s="212"/>
      <c r="X105" s="211"/>
      <c r="Y105" s="231"/>
      <c r="Z105" s="432"/>
      <c r="AA105" s="12">
        <f>'Description Sheet'!N87</f>
        <v>0</v>
      </c>
      <c r="AB105" s="101"/>
      <c r="AC105" s="31"/>
    </row>
    <row r="106" spans="1:29" ht="18">
      <c r="A106" s="14"/>
      <c r="B106" s="19">
        <v>7</v>
      </c>
      <c r="C106" s="19">
        <v>63</v>
      </c>
      <c r="D106" s="131">
        <f>'Description Sheet'!B88</f>
        <v>7.2</v>
      </c>
      <c r="E106" s="128" t="str">
        <f>'Description Sheet'!C88</f>
        <v>blank</v>
      </c>
      <c r="F106" s="223"/>
      <c r="G106" s="229"/>
      <c r="H106" s="225"/>
      <c r="I106" s="231"/>
      <c r="J106" s="225"/>
      <c r="K106" s="231"/>
      <c r="L106" s="225"/>
      <c r="M106" s="231"/>
      <c r="N106" s="225"/>
      <c r="O106" s="231"/>
      <c r="P106" s="225"/>
      <c r="Q106" s="231"/>
      <c r="R106" s="225"/>
      <c r="S106" s="231"/>
      <c r="T106" s="225"/>
      <c r="U106" s="231"/>
      <c r="V106" s="225"/>
      <c r="W106" s="231"/>
      <c r="X106" s="225"/>
      <c r="Y106" s="231"/>
      <c r="Z106" s="432"/>
      <c r="AA106" s="12">
        <f>'Description Sheet'!N88</f>
        <v>0</v>
      </c>
      <c r="AB106" s="101"/>
      <c r="AC106" s="31"/>
    </row>
    <row r="107" spans="1:29" ht="18">
      <c r="A107" s="14"/>
      <c r="B107" s="19">
        <v>7</v>
      </c>
      <c r="C107" s="19">
        <v>64</v>
      </c>
      <c r="D107" s="131">
        <f>'Description Sheet'!B89</f>
        <v>7.21</v>
      </c>
      <c r="E107" s="128" t="str">
        <f>'Description Sheet'!C89</f>
        <v>blank</v>
      </c>
      <c r="F107" s="223"/>
      <c r="G107" s="229"/>
      <c r="H107" s="225"/>
      <c r="I107" s="231"/>
      <c r="J107" s="225"/>
      <c r="K107" s="231"/>
      <c r="L107" s="225"/>
      <c r="M107" s="231"/>
      <c r="N107" s="225"/>
      <c r="O107" s="231"/>
      <c r="P107" s="225"/>
      <c r="Q107" s="231"/>
      <c r="R107" s="225"/>
      <c r="S107" s="231"/>
      <c r="T107" s="225"/>
      <c r="U107" s="231"/>
      <c r="V107" s="225"/>
      <c r="W107" s="231"/>
      <c r="X107" s="225"/>
      <c r="Y107" s="231"/>
      <c r="Z107" s="432"/>
      <c r="AA107" s="12">
        <f>'Description Sheet'!N89</f>
        <v>0</v>
      </c>
      <c r="AB107" s="101"/>
      <c r="AC107" s="31"/>
    </row>
    <row r="108" spans="1:29" ht="18">
      <c r="A108" s="14"/>
      <c r="B108" s="19">
        <v>7</v>
      </c>
      <c r="C108" s="19">
        <v>65</v>
      </c>
      <c r="D108" s="131">
        <f>'Description Sheet'!B90</f>
        <v>7.22</v>
      </c>
      <c r="E108" s="128" t="str">
        <f>'Description Sheet'!C90</f>
        <v>blank</v>
      </c>
      <c r="F108" s="223"/>
      <c r="G108" s="229"/>
      <c r="H108" s="225"/>
      <c r="I108" s="231"/>
      <c r="J108" s="225"/>
      <c r="K108" s="231"/>
      <c r="L108" s="225"/>
      <c r="M108" s="231"/>
      <c r="N108" s="225"/>
      <c r="O108" s="231"/>
      <c r="P108" s="225"/>
      <c r="Q108" s="231"/>
      <c r="R108" s="225"/>
      <c r="S108" s="231"/>
      <c r="T108" s="225"/>
      <c r="U108" s="231"/>
      <c r="V108" s="225"/>
      <c r="W108" s="231"/>
      <c r="X108" s="225"/>
      <c r="Y108" s="231"/>
      <c r="Z108" s="432"/>
      <c r="AA108" s="12">
        <f>'Description Sheet'!N90</f>
        <v>0</v>
      </c>
      <c r="AB108" s="101"/>
      <c r="AC108" s="31"/>
    </row>
    <row r="109" spans="1:29" ht="19" thickBot="1">
      <c r="A109" s="14"/>
      <c r="B109" s="19"/>
      <c r="C109" s="19"/>
      <c r="D109" s="131"/>
      <c r="E109" s="214"/>
      <c r="F109" s="223"/>
      <c r="G109" s="229"/>
      <c r="H109" s="225"/>
      <c r="I109" s="231"/>
      <c r="J109" s="225"/>
      <c r="K109" s="231"/>
      <c r="L109" s="225"/>
      <c r="M109" s="231"/>
      <c r="N109" s="225"/>
      <c r="O109" s="231"/>
      <c r="P109" s="225"/>
      <c r="Q109" s="231"/>
      <c r="R109" s="225"/>
      <c r="S109" s="231"/>
      <c r="T109" s="225"/>
      <c r="U109" s="231"/>
      <c r="V109" s="225"/>
      <c r="W109" s="231"/>
      <c r="X109" s="223"/>
      <c r="Y109" s="231"/>
      <c r="Z109" s="431"/>
      <c r="AA109" s="12"/>
      <c r="AB109" s="101"/>
      <c r="AC109" s="31"/>
    </row>
    <row r="110" spans="1:29" s="393" customFormat="1" ht="20" thickBot="1">
      <c r="A110" s="385" t="s">
        <v>64</v>
      </c>
      <c r="B110" s="385"/>
      <c r="C110" s="385"/>
      <c r="D110" s="386"/>
      <c r="E110" s="387" t="s">
        <v>31</v>
      </c>
      <c r="F110" s="388">
        <v>0</v>
      </c>
      <c r="G110" s="389"/>
      <c r="H110" s="390"/>
      <c r="I110" s="390"/>
      <c r="J110" s="390"/>
      <c r="K110" s="390"/>
      <c r="L110" s="390"/>
      <c r="M110" s="390"/>
      <c r="N110" s="390"/>
      <c r="O110" s="390"/>
      <c r="P110" s="390"/>
      <c r="Q110" s="390"/>
      <c r="R110" s="390"/>
      <c r="S110" s="390"/>
      <c r="T110" s="390"/>
      <c r="U110" s="390"/>
      <c r="V110" s="390"/>
      <c r="W110" s="390"/>
      <c r="X110" s="390"/>
      <c r="Y110" s="389"/>
      <c r="Z110" s="434"/>
      <c r="AA110" s="391"/>
      <c r="AB110" s="392"/>
      <c r="AC110" s="392"/>
    </row>
    <row r="111" spans="1:29" ht="18">
      <c r="A111" s="14" t="s">
        <v>65</v>
      </c>
      <c r="B111" s="19"/>
      <c r="C111" s="19"/>
      <c r="D111" s="122"/>
      <c r="E111" s="128" t="s">
        <v>43</v>
      </c>
      <c r="F111" s="129">
        <f>'Year (2021-2022)'!H93</f>
        <v>1998498.8</v>
      </c>
      <c r="G111" s="206"/>
      <c r="H111" s="129">
        <f>'Year (2022-2023)'!H93</f>
        <v>0</v>
      </c>
      <c r="I111" s="129" t="e">
        <v>#REF!</v>
      </c>
      <c r="J111" s="129">
        <f>'Year (2023-2024)'!H93</f>
        <v>0</v>
      </c>
      <c r="K111" s="206"/>
      <c r="L111" s="129">
        <f>'Year (2024-2025)'!H93</f>
        <v>0</v>
      </c>
      <c r="M111" s="206"/>
      <c r="N111" s="129">
        <f>'Year (2025-2026)'!H93</f>
        <v>57086.116761600017</v>
      </c>
      <c r="O111" s="206"/>
      <c r="P111" s="129">
        <f>'Year (2026-2027)'!H93</f>
        <v>0</v>
      </c>
      <c r="Q111" s="206"/>
      <c r="R111" s="129">
        <f>'Year (2027-2028)'!H93</f>
        <v>0</v>
      </c>
      <c r="S111" s="206"/>
      <c r="T111" s="129">
        <f>'Year (2028-2029)'!H93</f>
        <v>0</v>
      </c>
      <c r="U111" s="206"/>
      <c r="V111" s="129">
        <f>'Year (2029-2030)'!H93</f>
        <v>77665.0316234278</v>
      </c>
      <c r="W111" s="206"/>
      <c r="X111" s="129">
        <f>'Year (2030-2031)'!H93</f>
        <v>3684662.880104694</v>
      </c>
      <c r="Y111" s="207"/>
      <c r="Z111" s="431"/>
      <c r="AA111" s="12"/>
      <c r="AB111" s="101"/>
      <c r="AC111" s="31"/>
    </row>
    <row r="112" spans="1:29" s="393" customFormat="1" ht="18">
      <c r="A112" s="385" t="s">
        <v>66</v>
      </c>
      <c r="B112" s="385"/>
      <c r="C112" s="385"/>
      <c r="D112" s="394"/>
      <c r="E112" s="395" t="s">
        <v>48</v>
      </c>
      <c r="F112" s="396">
        <v>0</v>
      </c>
      <c r="G112" s="397"/>
      <c r="H112" s="396">
        <v>0</v>
      </c>
      <c r="I112" s="397"/>
      <c r="J112" s="396">
        <v>0</v>
      </c>
      <c r="K112" s="397"/>
      <c r="L112" s="396">
        <v>0</v>
      </c>
      <c r="M112" s="397"/>
      <c r="N112" s="396">
        <v>0</v>
      </c>
      <c r="O112" s="397"/>
      <c r="P112" s="396">
        <v>0</v>
      </c>
      <c r="Q112" s="397"/>
      <c r="R112" s="396">
        <v>0</v>
      </c>
      <c r="S112" s="397"/>
      <c r="T112" s="396">
        <v>0</v>
      </c>
      <c r="U112" s="397"/>
      <c r="V112" s="396">
        <v>0</v>
      </c>
      <c r="W112" s="397"/>
      <c r="X112" s="396">
        <v>0</v>
      </c>
      <c r="Y112" s="398"/>
      <c r="Z112" s="434"/>
      <c r="AA112" s="391"/>
      <c r="AB112" s="392"/>
      <c r="AC112" s="392"/>
    </row>
    <row r="113" spans="1:29" ht="19.5" customHeight="1" thickBot="1">
      <c r="A113" s="14"/>
      <c r="B113" s="19"/>
      <c r="C113" s="19"/>
      <c r="D113" s="122"/>
      <c r="E113" s="128"/>
      <c r="F113" s="221"/>
      <c r="G113" s="206"/>
      <c r="H113" s="222"/>
      <c r="I113" s="206"/>
      <c r="J113" s="221"/>
      <c r="K113" s="206"/>
      <c r="L113" s="222"/>
      <c r="M113" s="206"/>
      <c r="N113" s="222"/>
      <c r="O113" s="206"/>
      <c r="P113" s="222"/>
      <c r="Q113" s="206"/>
      <c r="R113" s="221"/>
      <c r="S113" s="206"/>
      <c r="T113" s="222"/>
      <c r="U113" s="206"/>
      <c r="V113" s="222"/>
      <c r="W113" s="206"/>
      <c r="X113" s="217"/>
      <c r="Y113" s="207"/>
      <c r="Z113" s="431"/>
      <c r="AA113" s="12"/>
      <c r="AB113" s="101"/>
      <c r="AC113" s="31"/>
    </row>
    <row r="114" spans="1:29" ht="22" thickBot="1">
      <c r="A114" s="14"/>
      <c r="B114" s="19">
        <v>8</v>
      </c>
      <c r="C114" s="19"/>
      <c r="D114" s="122"/>
      <c r="E114" s="178" t="str">
        <f>'Description Sheet'!C93</f>
        <v xml:space="preserve">Waterproofing </v>
      </c>
      <c r="F114" s="227"/>
      <c r="G114" s="206"/>
      <c r="H114" s="228"/>
      <c r="I114" s="206"/>
      <c r="J114" s="227"/>
      <c r="K114" s="206"/>
      <c r="L114" s="228"/>
      <c r="M114" s="206"/>
      <c r="N114" s="228"/>
      <c r="O114" s="206"/>
      <c r="P114" s="228"/>
      <c r="Q114" s="206"/>
      <c r="R114" s="227"/>
      <c r="S114" s="206"/>
      <c r="T114" s="228"/>
      <c r="U114" s="206"/>
      <c r="V114" s="228"/>
      <c r="W114" s="206"/>
      <c r="X114" s="227"/>
      <c r="Y114" s="207"/>
      <c r="Z114" s="431"/>
      <c r="AA114" s="12"/>
      <c r="AB114" s="101"/>
      <c r="AC114" s="31"/>
    </row>
    <row r="115" spans="1:29" ht="18">
      <c r="A115" s="14"/>
      <c r="B115" s="19">
        <v>8</v>
      </c>
      <c r="C115" s="19">
        <v>66</v>
      </c>
      <c r="D115" s="131">
        <f>'Description Sheet'!B94</f>
        <v>7.23</v>
      </c>
      <c r="E115" s="128" t="str">
        <f>'Description Sheet'!C94</f>
        <v>Waterproofing of Walkways</v>
      </c>
      <c r="F115" s="215" t="s">
        <v>138</v>
      </c>
      <c r="G115" s="212"/>
      <c r="H115" s="215"/>
      <c r="I115" s="212"/>
      <c r="J115" s="215"/>
      <c r="K115" s="212"/>
      <c r="L115" s="215"/>
      <c r="M115" s="212"/>
      <c r="N115" s="215"/>
      <c r="O115" s="212"/>
      <c r="P115" s="215"/>
      <c r="Q115" s="212"/>
      <c r="R115" s="215"/>
      <c r="S115" s="212"/>
      <c r="T115" s="215"/>
      <c r="U115" s="212"/>
      <c r="V115" s="215"/>
      <c r="W115" s="212"/>
      <c r="X115" s="211"/>
      <c r="Y115" s="213"/>
      <c r="Z115" s="432"/>
      <c r="AA115" s="12">
        <f>'Description Sheet'!N94</f>
        <v>161894.70000000001</v>
      </c>
      <c r="AB115" s="101"/>
      <c r="AC115" s="31"/>
    </row>
    <row r="116" spans="1:29" ht="18">
      <c r="A116" s="14"/>
      <c r="B116" s="19">
        <v>8</v>
      </c>
      <c r="C116" s="19">
        <v>67</v>
      </c>
      <c r="D116" s="131">
        <f>'Description Sheet'!B95</f>
        <v>7.24</v>
      </c>
      <c r="E116" s="128" t="str">
        <f>'Description Sheet'!C95</f>
        <v>Roof Repairs (Phase 2)</v>
      </c>
      <c r="F116" s="215"/>
      <c r="G116" s="212"/>
      <c r="H116" s="215"/>
      <c r="I116" s="212"/>
      <c r="J116" s="215"/>
      <c r="K116" s="212"/>
      <c r="L116" s="215"/>
      <c r="M116" s="212"/>
      <c r="N116" s="215"/>
      <c r="O116" s="212"/>
      <c r="P116" s="215"/>
      <c r="Q116" s="212"/>
      <c r="R116" s="215"/>
      <c r="S116" s="212"/>
      <c r="T116" s="215"/>
      <c r="U116" s="212"/>
      <c r="V116" s="215"/>
      <c r="W116" s="212"/>
      <c r="X116" s="211"/>
      <c r="Y116" s="213"/>
      <c r="Z116" s="432"/>
      <c r="AA116" s="12">
        <f>'Description Sheet'!N95</f>
        <v>500000</v>
      </c>
      <c r="AB116" s="101"/>
      <c r="AC116" s="31"/>
    </row>
    <row r="117" spans="1:29" ht="18">
      <c r="A117" s="14"/>
      <c r="B117" s="19">
        <v>8</v>
      </c>
      <c r="C117" s="19">
        <v>68</v>
      </c>
      <c r="D117" s="131">
        <f>'Description Sheet'!B96</f>
        <v>7.25</v>
      </c>
      <c r="E117" s="128" t="str">
        <f>'Description Sheet'!C96</f>
        <v xml:space="preserve">Flat Roof Service </v>
      </c>
      <c r="F117" s="211"/>
      <c r="G117" s="212"/>
      <c r="H117" s="211"/>
      <c r="I117" s="212"/>
      <c r="J117" s="211" t="s">
        <v>138</v>
      </c>
      <c r="K117" s="212"/>
      <c r="L117" s="211"/>
      <c r="M117" s="212"/>
      <c r="N117" s="211"/>
      <c r="O117" s="212"/>
      <c r="P117" s="211" t="s">
        <v>138</v>
      </c>
      <c r="Q117" s="212"/>
      <c r="R117" s="211"/>
      <c r="S117" s="212"/>
      <c r="T117" s="211"/>
      <c r="U117" s="212"/>
      <c r="V117" s="211" t="s">
        <v>138</v>
      </c>
      <c r="W117" s="212"/>
      <c r="X117" s="211"/>
      <c r="Y117" s="213"/>
      <c r="Z117" s="432">
        <v>11</v>
      </c>
      <c r="AA117" s="12">
        <f>'Description Sheet'!N96</f>
        <v>58175</v>
      </c>
      <c r="AB117" s="101"/>
      <c r="AC117" s="31"/>
    </row>
    <row r="118" spans="1:29" ht="18">
      <c r="A118" s="14"/>
      <c r="B118" s="19">
        <v>8</v>
      </c>
      <c r="C118" s="19">
        <v>69</v>
      </c>
      <c r="D118" s="131">
        <f>'Description Sheet'!B97</f>
        <v>7.26</v>
      </c>
      <c r="E118" s="128" t="str">
        <f>'Description Sheet'!C97</f>
        <v>Flat Roof Replacement</v>
      </c>
      <c r="F118" s="215"/>
      <c r="G118" s="212"/>
      <c r="H118" s="215"/>
      <c r="I118" s="212"/>
      <c r="J118" s="215"/>
      <c r="K118" s="212"/>
      <c r="L118" s="215"/>
      <c r="M118" s="212"/>
      <c r="N118" s="215"/>
      <c r="O118" s="212"/>
      <c r="P118" s="215"/>
      <c r="Q118" s="212"/>
      <c r="R118" s="215"/>
      <c r="S118" s="212"/>
      <c r="T118" s="215"/>
      <c r="U118" s="212"/>
      <c r="V118" s="215"/>
      <c r="W118" s="212"/>
      <c r="X118" s="211"/>
      <c r="Y118" s="213"/>
      <c r="Z118" s="432"/>
      <c r="AA118" s="12">
        <f>'Description Sheet'!N97</f>
        <v>647147</v>
      </c>
      <c r="AB118" s="101"/>
      <c r="AC118" s="31"/>
    </row>
    <row r="119" spans="1:29" ht="18">
      <c r="A119" s="14"/>
      <c r="B119" s="19">
        <v>8</v>
      </c>
      <c r="C119" s="19">
        <v>70</v>
      </c>
      <c r="D119" s="131">
        <f>'Description Sheet'!B98</f>
        <v>7.27</v>
      </c>
      <c r="E119" s="128" t="str">
        <f>'Description Sheet'!C98</f>
        <v xml:space="preserve">Walkway and Staircases (Cementitious Waterproofing) </v>
      </c>
      <c r="F119" s="215"/>
      <c r="G119" s="212"/>
      <c r="H119" s="215"/>
      <c r="I119" s="212"/>
      <c r="J119" s="215"/>
      <c r="K119" s="212"/>
      <c r="L119" s="215"/>
      <c r="M119" s="212"/>
      <c r="N119" s="215"/>
      <c r="O119" s="212"/>
      <c r="P119" s="215"/>
      <c r="Q119" s="212"/>
      <c r="R119" s="215"/>
      <c r="S119" s="212"/>
      <c r="T119" s="215"/>
      <c r="U119" s="212"/>
      <c r="V119" s="215"/>
      <c r="W119" s="212"/>
      <c r="X119" s="211"/>
      <c r="Y119" s="213"/>
      <c r="Z119" s="432"/>
      <c r="AA119" s="12">
        <f>'Description Sheet'!N98</f>
        <v>0</v>
      </c>
      <c r="AB119" s="101"/>
      <c r="AC119" s="31"/>
    </row>
    <row r="120" spans="1:29" ht="18">
      <c r="A120" s="14"/>
      <c r="B120" s="19">
        <v>8</v>
      </c>
      <c r="C120" s="19">
        <v>71</v>
      </c>
      <c r="D120" s="131">
        <f>'Description Sheet'!B99</f>
        <v>7.28</v>
      </c>
      <c r="E120" s="128" t="str">
        <f>'Description Sheet'!C99</f>
        <v>Waterproofing Servicing of Parapets</v>
      </c>
      <c r="F120" s="215"/>
      <c r="G120" s="212"/>
      <c r="H120" s="211"/>
      <c r="I120" s="213"/>
      <c r="J120" s="211"/>
      <c r="K120" s="213"/>
      <c r="L120" s="211"/>
      <c r="M120" s="213"/>
      <c r="N120" s="211"/>
      <c r="O120" s="213"/>
      <c r="P120" s="211"/>
      <c r="Q120" s="213"/>
      <c r="R120" s="211"/>
      <c r="S120" s="213"/>
      <c r="T120" s="211"/>
      <c r="U120" s="213"/>
      <c r="V120" s="211"/>
      <c r="W120" s="213"/>
      <c r="X120" s="211"/>
      <c r="Y120" s="213"/>
      <c r="Z120" s="432"/>
      <c r="AA120" s="12">
        <f>'Description Sheet'!N99</f>
        <v>0</v>
      </c>
      <c r="AB120" s="101"/>
      <c r="AC120" s="31"/>
    </row>
    <row r="121" spans="1:29" ht="18">
      <c r="A121" s="14"/>
      <c r="B121" s="19">
        <v>8</v>
      </c>
      <c r="C121" s="19">
        <v>72</v>
      </c>
      <c r="D121" s="131">
        <f>'Description Sheet'!B100</f>
        <v>7.29</v>
      </c>
      <c r="E121" s="128" t="str">
        <f>'Description Sheet'!C100</f>
        <v>blank</v>
      </c>
      <c r="F121" s="215"/>
      <c r="G121" s="212"/>
      <c r="H121" s="211"/>
      <c r="I121" s="213"/>
      <c r="J121" s="211"/>
      <c r="K121" s="213"/>
      <c r="L121" s="211"/>
      <c r="M121" s="213"/>
      <c r="N121" s="211"/>
      <c r="O121" s="213"/>
      <c r="P121" s="211"/>
      <c r="Q121" s="213"/>
      <c r="R121" s="211"/>
      <c r="S121" s="213"/>
      <c r="T121" s="211"/>
      <c r="U121" s="213"/>
      <c r="V121" s="211"/>
      <c r="W121" s="213"/>
      <c r="X121" s="211"/>
      <c r="Y121" s="213"/>
      <c r="Z121" s="432"/>
      <c r="AA121" s="12">
        <f>'Description Sheet'!N100</f>
        <v>0</v>
      </c>
      <c r="AB121" s="101"/>
      <c r="AC121" s="31"/>
    </row>
    <row r="122" spans="1:29" ht="18">
      <c r="A122" s="14"/>
      <c r="B122" s="19">
        <v>8</v>
      </c>
      <c r="C122" s="19">
        <v>73</v>
      </c>
      <c r="D122" s="131">
        <f>'Description Sheet'!B101</f>
        <v>7.3</v>
      </c>
      <c r="E122" s="128" t="str">
        <f>'Description Sheet'!C101</f>
        <v>blank</v>
      </c>
      <c r="F122" s="215"/>
      <c r="G122" s="212"/>
      <c r="H122" s="211"/>
      <c r="I122" s="213"/>
      <c r="J122" s="211"/>
      <c r="K122" s="213"/>
      <c r="L122" s="211"/>
      <c r="M122" s="213"/>
      <c r="N122" s="211"/>
      <c r="O122" s="213"/>
      <c r="P122" s="211"/>
      <c r="Q122" s="213"/>
      <c r="R122" s="211"/>
      <c r="S122" s="213"/>
      <c r="T122" s="211"/>
      <c r="U122" s="213"/>
      <c r="V122" s="211"/>
      <c r="W122" s="213"/>
      <c r="X122" s="211"/>
      <c r="Y122" s="213"/>
      <c r="Z122" s="432"/>
      <c r="AA122" s="12">
        <f>'Description Sheet'!N101</f>
        <v>0</v>
      </c>
      <c r="AB122" s="101"/>
      <c r="AC122" s="31"/>
    </row>
    <row r="123" spans="1:29" ht="19" thickBot="1">
      <c r="A123" s="14"/>
      <c r="B123" s="19"/>
      <c r="C123" s="19"/>
      <c r="D123" s="131"/>
      <c r="E123" s="214"/>
      <c r="F123" s="215"/>
      <c r="G123" s="212"/>
      <c r="H123" s="211"/>
      <c r="I123" s="213"/>
      <c r="J123" s="211"/>
      <c r="K123" s="213"/>
      <c r="L123" s="211"/>
      <c r="M123" s="213"/>
      <c r="N123" s="211"/>
      <c r="O123" s="213"/>
      <c r="P123" s="211"/>
      <c r="Q123" s="213"/>
      <c r="R123" s="211"/>
      <c r="S123" s="213"/>
      <c r="T123" s="211"/>
      <c r="U123" s="213"/>
      <c r="V123" s="211"/>
      <c r="W123" s="213"/>
      <c r="X123" s="215"/>
      <c r="Y123" s="213"/>
      <c r="Z123" s="431"/>
      <c r="AA123" s="12"/>
      <c r="AB123" s="101"/>
      <c r="AC123" s="31"/>
    </row>
    <row r="124" spans="1:29" s="393" customFormat="1" ht="20" thickBot="1">
      <c r="A124" s="385" t="s">
        <v>64</v>
      </c>
      <c r="B124" s="385"/>
      <c r="C124" s="385"/>
      <c r="D124" s="386"/>
      <c r="E124" s="387" t="s">
        <v>31</v>
      </c>
      <c r="F124" s="388">
        <v>0</v>
      </c>
      <c r="G124" s="389"/>
      <c r="H124" s="390"/>
      <c r="I124" s="390"/>
      <c r="J124" s="390"/>
      <c r="K124" s="390"/>
      <c r="L124" s="390"/>
      <c r="M124" s="390"/>
      <c r="N124" s="390"/>
      <c r="O124" s="390"/>
      <c r="P124" s="390"/>
      <c r="Q124" s="390"/>
      <c r="R124" s="390"/>
      <c r="S124" s="390"/>
      <c r="T124" s="390"/>
      <c r="U124" s="390"/>
      <c r="V124" s="390"/>
      <c r="W124" s="390"/>
      <c r="X124" s="390"/>
      <c r="Y124" s="389"/>
      <c r="Z124" s="434"/>
      <c r="AA124" s="391"/>
      <c r="AB124" s="392"/>
      <c r="AC124" s="392"/>
    </row>
    <row r="125" spans="1:29" ht="18">
      <c r="A125" s="14" t="s">
        <v>65</v>
      </c>
      <c r="B125" s="19"/>
      <c r="C125" s="19"/>
      <c r="D125" s="122"/>
      <c r="E125" s="128" t="s">
        <v>43</v>
      </c>
      <c r="F125" s="129">
        <f>'Year (2021-2022)'!H104</f>
        <v>161894.70000000001</v>
      </c>
      <c r="G125" s="206"/>
      <c r="H125" s="129">
        <f>'Year (2022-2023)'!H104</f>
        <v>0</v>
      </c>
      <c r="I125" s="129">
        <v>0</v>
      </c>
      <c r="J125" s="129">
        <f>'Year (2023-2024)'!H104</f>
        <v>67855.320000000007</v>
      </c>
      <c r="K125" s="206"/>
      <c r="L125" s="129">
        <f>'Year (2024-2025)'!H104</f>
        <v>0</v>
      </c>
      <c r="M125" s="206"/>
      <c r="N125" s="129">
        <f>'Year (2025-2026)'!H104</f>
        <v>0</v>
      </c>
      <c r="O125" s="206"/>
      <c r="P125" s="129">
        <f>'Year (2026-2027)'!H104</f>
        <v>85478.160867840008</v>
      </c>
      <c r="Q125" s="206"/>
      <c r="R125" s="129">
        <f>'Year (2027-2028)'!H104</f>
        <v>0</v>
      </c>
      <c r="S125" s="206"/>
      <c r="T125" s="129">
        <f>'Year (2028-2029)'!H104</f>
        <v>0</v>
      </c>
      <c r="U125" s="206"/>
      <c r="V125" s="129">
        <f>'Year (2029-2030)'!H104</f>
        <v>107677.86498314848</v>
      </c>
      <c r="W125" s="206"/>
      <c r="X125" s="129">
        <f>'Year (2030-2031)'!H104</f>
        <v>0</v>
      </c>
      <c r="Y125" s="207"/>
      <c r="Z125" s="431"/>
      <c r="AA125" s="12"/>
      <c r="AB125" s="101"/>
      <c r="AC125" s="31"/>
    </row>
    <row r="126" spans="1:29" s="393" customFormat="1" ht="18">
      <c r="A126" s="385" t="s">
        <v>66</v>
      </c>
      <c r="B126" s="385"/>
      <c r="C126" s="385"/>
      <c r="D126" s="394"/>
      <c r="E126" s="395" t="s">
        <v>48</v>
      </c>
      <c r="F126" s="396">
        <v>0</v>
      </c>
      <c r="G126" s="397"/>
      <c r="H126" s="396">
        <v>0</v>
      </c>
      <c r="I126" s="397"/>
      <c r="J126" s="396">
        <v>0</v>
      </c>
      <c r="K126" s="397"/>
      <c r="L126" s="396">
        <v>0</v>
      </c>
      <c r="M126" s="397"/>
      <c r="N126" s="396">
        <v>0</v>
      </c>
      <c r="O126" s="397"/>
      <c r="P126" s="396">
        <v>0</v>
      </c>
      <c r="Q126" s="397"/>
      <c r="R126" s="396">
        <v>0</v>
      </c>
      <c r="S126" s="397"/>
      <c r="T126" s="396">
        <v>0</v>
      </c>
      <c r="U126" s="397"/>
      <c r="V126" s="396">
        <v>0</v>
      </c>
      <c r="W126" s="397"/>
      <c r="X126" s="396">
        <v>0</v>
      </c>
      <c r="Y126" s="398"/>
      <c r="Z126" s="434"/>
      <c r="AA126" s="391"/>
      <c r="AB126" s="392"/>
      <c r="AC126" s="392"/>
    </row>
    <row r="127" spans="1:29" ht="20" thickBot="1">
      <c r="A127" s="14"/>
      <c r="B127" s="19"/>
      <c r="C127" s="19"/>
      <c r="D127" s="122"/>
      <c r="E127" s="128"/>
      <c r="F127" s="221"/>
      <c r="G127" s="206"/>
      <c r="H127" s="222"/>
      <c r="I127" s="206"/>
      <c r="J127" s="221"/>
      <c r="K127" s="206"/>
      <c r="L127" s="222"/>
      <c r="M127" s="206"/>
      <c r="N127" s="222"/>
      <c r="O127" s="206"/>
      <c r="P127" s="222"/>
      <c r="Q127" s="206"/>
      <c r="R127" s="221"/>
      <c r="S127" s="206"/>
      <c r="T127" s="222"/>
      <c r="U127" s="206"/>
      <c r="V127" s="222"/>
      <c r="W127" s="206"/>
      <c r="X127" s="217"/>
      <c r="Y127" s="207"/>
      <c r="Z127" s="431"/>
      <c r="AA127" s="12"/>
      <c r="AB127" s="101"/>
      <c r="AC127" s="31"/>
    </row>
    <row r="128" spans="1:29" ht="22" thickBot="1">
      <c r="A128" s="14"/>
      <c r="B128" s="19">
        <v>9</v>
      </c>
      <c r="C128" s="19"/>
      <c r="D128" s="120">
        <f>'Description Sheet'!B104</f>
        <v>8</v>
      </c>
      <c r="E128" s="174" t="str">
        <f>'Description Sheet'!C104</f>
        <v>Communication and Service Supply Systems</v>
      </c>
      <c r="F128" s="232"/>
      <c r="G128" s="233"/>
      <c r="H128" s="228"/>
      <c r="I128" s="234"/>
      <c r="J128" s="228"/>
      <c r="K128" s="234"/>
      <c r="L128" s="228"/>
      <c r="M128" s="234"/>
      <c r="N128" s="228"/>
      <c r="O128" s="234"/>
      <c r="P128" s="228"/>
      <c r="Q128" s="234"/>
      <c r="R128" s="228"/>
      <c r="S128" s="234"/>
      <c r="T128" s="228"/>
      <c r="U128" s="234"/>
      <c r="V128" s="228"/>
      <c r="W128" s="234"/>
      <c r="X128" s="235"/>
      <c r="Y128" s="206"/>
      <c r="Z128" s="431"/>
      <c r="AA128" s="12"/>
      <c r="AB128" s="101"/>
      <c r="AC128" s="31"/>
    </row>
    <row r="129" spans="1:29" ht="19">
      <c r="A129" s="14"/>
      <c r="B129" s="19">
        <v>9</v>
      </c>
      <c r="C129" s="19">
        <v>74</v>
      </c>
      <c r="D129" s="122">
        <f>'Description Sheet'!B105</f>
        <v>8.1</v>
      </c>
      <c r="E129" s="236" t="str">
        <f>'Description Sheet'!C105</f>
        <v>Communication Systems (Service &amp; Upgrade Savings)</v>
      </c>
      <c r="F129" s="211"/>
      <c r="G129" s="212"/>
      <c r="H129" s="211"/>
      <c r="I129" s="212"/>
      <c r="J129" s="211"/>
      <c r="K129" s="212"/>
      <c r="L129" s="211"/>
      <c r="M129" s="212"/>
      <c r="N129" s="211"/>
      <c r="O129" s="212"/>
      <c r="P129" s="211"/>
      <c r="Q129" s="212"/>
      <c r="R129" s="211"/>
      <c r="S129" s="212"/>
      <c r="T129" s="211"/>
      <c r="U129" s="212"/>
      <c r="V129" s="211"/>
      <c r="W129" s="212"/>
      <c r="X129" s="211"/>
      <c r="Y129" s="207"/>
      <c r="Z129" s="432"/>
      <c r="AA129" s="12">
        <f>'Description Sheet'!N105</f>
        <v>0</v>
      </c>
      <c r="AB129" s="101"/>
      <c r="AC129" s="31"/>
    </row>
    <row r="130" spans="1:29" ht="19">
      <c r="A130" s="14"/>
      <c r="B130" s="19">
        <v>9</v>
      </c>
      <c r="C130" s="19">
        <v>75</v>
      </c>
      <c r="D130" s="122">
        <f>'Description Sheet'!B106</f>
        <v>8.1999999999999993</v>
      </c>
      <c r="E130" s="236" t="str">
        <f>'Description Sheet'!C106</f>
        <v>Intercom Systems (Replacement Maintenance/Savings)</v>
      </c>
      <c r="F130" s="223" t="s">
        <v>138</v>
      </c>
      <c r="G130" s="206"/>
      <c r="H130" s="225" t="s">
        <v>138</v>
      </c>
      <c r="I130" s="207"/>
      <c r="J130" s="225" t="s">
        <v>138</v>
      </c>
      <c r="K130" s="207"/>
      <c r="L130" s="225" t="s">
        <v>138</v>
      </c>
      <c r="M130" s="207"/>
      <c r="N130" s="225" t="s">
        <v>138</v>
      </c>
      <c r="O130" s="207"/>
      <c r="P130" s="225" t="s">
        <v>138</v>
      </c>
      <c r="Q130" s="207"/>
      <c r="R130" s="226" t="s">
        <v>138</v>
      </c>
      <c r="S130" s="207"/>
      <c r="T130" s="226" t="s">
        <v>138</v>
      </c>
      <c r="U130" s="207"/>
      <c r="V130" s="226" t="s">
        <v>138</v>
      </c>
      <c r="W130" s="207"/>
      <c r="X130" s="225" t="s">
        <v>138</v>
      </c>
      <c r="Y130" s="207"/>
      <c r="Z130" s="432"/>
      <c r="AA130" s="12">
        <f>'Description Sheet'!N106</f>
        <v>4118</v>
      </c>
      <c r="AB130" s="101"/>
      <c r="AC130" s="31"/>
    </row>
    <row r="131" spans="1:29" ht="19">
      <c r="A131" s="14"/>
      <c r="B131" s="19">
        <v>9</v>
      </c>
      <c r="C131" s="19">
        <v>76</v>
      </c>
      <c r="D131" s="122">
        <f>'Description Sheet'!B107</f>
        <v>8.3000000000000007</v>
      </c>
      <c r="E131" s="236" t="str">
        <f>'Description Sheet'!C107</f>
        <v xml:space="preserve">Intercom System Replacement </v>
      </c>
      <c r="F131" s="223"/>
      <c r="G131" s="206"/>
      <c r="H131" s="225"/>
      <c r="I131" s="207"/>
      <c r="J131" s="225"/>
      <c r="K131" s="207"/>
      <c r="L131" s="225"/>
      <c r="M131" s="207"/>
      <c r="N131" s="225"/>
      <c r="O131" s="207"/>
      <c r="P131" s="225"/>
      <c r="Q131" s="207"/>
      <c r="R131" s="226"/>
      <c r="S131" s="207"/>
      <c r="T131" s="226"/>
      <c r="U131" s="207"/>
      <c r="V131" s="226"/>
      <c r="W131" s="207"/>
      <c r="X131" s="225"/>
      <c r="Y131" s="207"/>
      <c r="Z131" s="432"/>
      <c r="AA131" s="12">
        <f>'Description Sheet'!N107</f>
        <v>42000</v>
      </c>
      <c r="AB131" s="101"/>
      <c r="AC131" s="31"/>
    </row>
    <row r="132" spans="1:29" ht="19">
      <c r="A132" s="14"/>
      <c r="B132" s="19">
        <v>9</v>
      </c>
      <c r="C132" s="19">
        <v>77</v>
      </c>
      <c r="D132" s="122">
        <f>'Description Sheet'!B108</f>
        <v>8.4</v>
      </c>
      <c r="E132" s="236" t="str">
        <f>'Description Sheet'!C108</f>
        <v>blank</v>
      </c>
      <c r="F132" s="223"/>
      <c r="G132" s="206"/>
      <c r="H132" s="225"/>
      <c r="I132" s="207"/>
      <c r="J132" s="225"/>
      <c r="K132" s="207"/>
      <c r="L132" s="225"/>
      <c r="M132" s="207"/>
      <c r="N132" s="225"/>
      <c r="O132" s="207"/>
      <c r="P132" s="225"/>
      <c r="Q132" s="207"/>
      <c r="R132" s="226"/>
      <c r="S132" s="207"/>
      <c r="T132" s="226"/>
      <c r="U132" s="207"/>
      <c r="V132" s="226"/>
      <c r="W132" s="207"/>
      <c r="X132" s="225"/>
      <c r="Y132" s="207"/>
      <c r="Z132" s="432"/>
      <c r="AA132" s="12">
        <f>'Description Sheet'!N108</f>
        <v>0</v>
      </c>
      <c r="AB132" s="101"/>
      <c r="AC132" s="31"/>
    </row>
    <row r="133" spans="1:29" ht="19" thickBot="1">
      <c r="A133" s="14"/>
      <c r="B133" s="19"/>
      <c r="C133" s="19"/>
      <c r="D133" s="122"/>
      <c r="E133" s="237"/>
      <c r="F133" s="223"/>
      <c r="G133" s="206"/>
      <c r="H133" s="225"/>
      <c r="I133" s="207"/>
      <c r="J133" s="225"/>
      <c r="K133" s="207"/>
      <c r="L133" s="225"/>
      <c r="M133" s="207"/>
      <c r="N133" s="225"/>
      <c r="O133" s="207"/>
      <c r="P133" s="225"/>
      <c r="Q133" s="207"/>
      <c r="R133" s="226"/>
      <c r="S133" s="207"/>
      <c r="T133" s="226"/>
      <c r="U133" s="207"/>
      <c r="V133" s="226"/>
      <c r="W133" s="207"/>
      <c r="X133" s="223"/>
      <c r="Y133" s="207"/>
      <c r="Z133" s="431"/>
      <c r="AA133" s="12"/>
      <c r="AB133" s="101"/>
      <c r="AC133" s="31"/>
    </row>
    <row r="134" spans="1:29" s="393" customFormat="1" ht="20" thickBot="1">
      <c r="A134" s="385" t="s">
        <v>64</v>
      </c>
      <c r="B134" s="385"/>
      <c r="C134" s="385"/>
      <c r="D134" s="386"/>
      <c r="E134" s="387" t="s">
        <v>31</v>
      </c>
      <c r="F134" s="388">
        <v>0</v>
      </c>
      <c r="G134" s="389"/>
      <c r="H134" s="390"/>
      <c r="I134" s="390"/>
      <c r="J134" s="390"/>
      <c r="K134" s="390"/>
      <c r="L134" s="390"/>
      <c r="M134" s="390"/>
      <c r="N134" s="390"/>
      <c r="O134" s="390"/>
      <c r="P134" s="390"/>
      <c r="Q134" s="390"/>
      <c r="R134" s="390"/>
      <c r="S134" s="390"/>
      <c r="T134" s="390"/>
      <c r="U134" s="390"/>
      <c r="V134" s="390"/>
      <c r="W134" s="390"/>
      <c r="X134" s="390"/>
      <c r="Y134" s="389"/>
      <c r="Z134" s="434"/>
      <c r="AA134" s="391"/>
      <c r="AB134" s="392"/>
      <c r="AC134" s="392"/>
    </row>
    <row r="135" spans="1:29" ht="18">
      <c r="A135" s="14" t="s">
        <v>65</v>
      </c>
      <c r="B135" s="19"/>
      <c r="C135" s="19"/>
      <c r="D135" s="122"/>
      <c r="E135" s="128" t="s">
        <v>43</v>
      </c>
      <c r="F135" s="129">
        <f>'Year (2021-2022)'!H111</f>
        <v>4118</v>
      </c>
      <c r="G135" s="206"/>
      <c r="H135" s="129">
        <f>'Year (2022-2023)'!H111</f>
        <v>4447.4400000000005</v>
      </c>
      <c r="I135" s="129" t="e">
        <v>#REF!</v>
      </c>
      <c r="J135" s="129">
        <f>'Year (2023-2024)'!H111</f>
        <v>4803.235200000001</v>
      </c>
      <c r="K135" s="206"/>
      <c r="L135" s="129">
        <f>'Year (2024-2025)'!H111</f>
        <v>5187.4940160000015</v>
      </c>
      <c r="M135" s="206"/>
      <c r="N135" s="129">
        <f>'Year (2025-2026)'!H111</f>
        <v>5602.4935372800019</v>
      </c>
      <c r="O135" s="206"/>
      <c r="P135" s="129">
        <f>'Year (2026-2027)'!H111</f>
        <v>6050.6930202624026</v>
      </c>
      <c r="Q135" s="206"/>
      <c r="R135" s="129">
        <f>'Year (2027-2028)'!H111</f>
        <v>6534.7484618833951</v>
      </c>
      <c r="S135" s="206"/>
      <c r="T135" s="129">
        <f>'Year (2028-2029)'!H111</f>
        <v>7057.5283388340667</v>
      </c>
      <c r="U135" s="206"/>
      <c r="V135" s="129">
        <f>'Year (2029-2030)'!H111</f>
        <v>7622.1306059407925</v>
      </c>
      <c r="W135" s="206"/>
      <c r="X135" s="129">
        <f>'Year (2030-2031)'!H111</f>
        <v>8231.9010544160556</v>
      </c>
      <c r="Y135" s="207"/>
      <c r="Z135" s="431"/>
      <c r="AA135" s="12"/>
      <c r="AB135" s="101"/>
      <c r="AC135" s="31"/>
    </row>
    <row r="136" spans="1:29" s="393" customFormat="1" ht="18">
      <c r="A136" s="385" t="s">
        <v>66</v>
      </c>
      <c r="B136" s="385"/>
      <c r="C136" s="385"/>
      <c r="D136" s="394"/>
      <c r="E136" s="395" t="s">
        <v>48</v>
      </c>
      <c r="F136" s="396">
        <v>0</v>
      </c>
      <c r="G136" s="397"/>
      <c r="H136" s="396">
        <v>0</v>
      </c>
      <c r="I136" s="397"/>
      <c r="J136" s="396">
        <v>0</v>
      </c>
      <c r="K136" s="397"/>
      <c r="L136" s="396">
        <v>0</v>
      </c>
      <c r="M136" s="397"/>
      <c r="N136" s="396">
        <v>0</v>
      </c>
      <c r="O136" s="397"/>
      <c r="P136" s="396">
        <v>0</v>
      </c>
      <c r="Q136" s="397"/>
      <c r="R136" s="396">
        <v>0</v>
      </c>
      <c r="S136" s="397"/>
      <c r="T136" s="396">
        <v>0</v>
      </c>
      <c r="U136" s="397"/>
      <c r="V136" s="396">
        <v>0</v>
      </c>
      <c r="W136" s="397"/>
      <c r="X136" s="396">
        <v>0</v>
      </c>
      <c r="Y136" s="398"/>
      <c r="Z136" s="434"/>
      <c r="AA136" s="391"/>
      <c r="AB136" s="392"/>
      <c r="AC136" s="392"/>
    </row>
    <row r="137" spans="1:29" ht="19" thickBot="1">
      <c r="A137" s="14"/>
      <c r="B137" s="15"/>
      <c r="C137" s="15"/>
      <c r="D137" s="119"/>
      <c r="E137" s="132"/>
      <c r="F137" s="238"/>
      <c r="G137" s="206"/>
      <c r="H137" s="239"/>
      <c r="I137" s="206"/>
      <c r="J137" s="239"/>
      <c r="K137" s="206"/>
      <c r="L137" s="239"/>
      <c r="M137" s="206"/>
      <c r="N137" s="239"/>
      <c r="O137" s="206"/>
      <c r="P137" s="238"/>
      <c r="Q137" s="206"/>
      <c r="R137" s="240"/>
      <c r="S137" s="206"/>
      <c r="T137" s="240"/>
      <c r="U137" s="206"/>
      <c r="V137" s="240"/>
      <c r="W137" s="206"/>
      <c r="X137" s="238"/>
      <c r="Y137" s="207"/>
      <c r="Z137" s="431"/>
      <c r="AA137" s="12"/>
      <c r="AB137" s="101"/>
      <c r="AC137" s="31"/>
    </row>
    <row r="138" spans="1:29" ht="22" thickBot="1">
      <c r="A138" s="14"/>
      <c r="B138" s="19">
        <v>10</v>
      </c>
      <c r="C138" s="19"/>
      <c r="D138" s="120">
        <f>'Description Sheet'!B111</f>
        <v>9</v>
      </c>
      <c r="E138" s="178" t="str">
        <f>'Description Sheet'!C111</f>
        <v>Parking Facilities</v>
      </c>
      <c r="F138" s="241"/>
      <c r="G138" s="206"/>
      <c r="H138" s="235"/>
      <c r="I138" s="206"/>
      <c r="J138" s="241"/>
      <c r="K138" s="206"/>
      <c r="L138" s="235"/>
      <c r="M138" s="206"/>
      <c r="N138" s="235"/>
      <c r="O138" s="206"/>
      <c r="P138" s="235"/>
      <c r="Q138" s="206"/>
      <c r="R138" s="241"/>
      <c r="S138" s="206"/>
      <c r="T138" s="235"/>
      <c r="U138" s="206"/>
      <c r="V138" s="235"/>
      <c r="W138" s="206"/>
      <c r="X138" s="227"/>
      <c r="Y138" s="207"/>
      <c r="Z138" s="431"/>
      <c r="AA138" s="12"/>
      <c r="AB138" s="101"/>
      <c r="AC138" s="31"/>
    </row>
    <row r="139" spans="1:29" ht="19">
      <c r="A139" s="14"/>
      <c r="B139" s="19">
        <v>10</v>
      </c>
      <c r="C139" s="19">
        <v>78</v>
      </c>
      <c r="D139" s="122">
        <f>'Description Sheet'!B112</f>
        <v>9.1</v>
      </c>
      <c r="E139" s="236" t="str">
        <f>'Description Sheet'!C112</f>
        <v>Painting of Demarcation Lines</v>
      </c>
      <c r="F139" s="223"/>
      <c r="G139" s="206"/>
      <c r="H139" s="223"/>
      <c r="I139" s="206"/>
      <c r="J139" s="223"/>
      <c r="K139" s="206"/>
      <c r="L139" s="223"/>
      <c r="M139" s="206"/>
      <c r="N139" s="223" t="s">
        <v>138</v>
      </c>
      <c r="O139" s="206"/>
      <c r="P139" s="223"/>
      <c r="Q139" s="206"/>
      <c r="R139" s="223"/>
      <c r="S139" s="206"/>
      <c r="T139" s="223"/>
      <c r="U139" s="206"/>
      <c r="V139" s="223" t="s">
        <v>138</v>
      </c>
      <c r="W139" s="206"/>
      <c r="X139" s="225"/>
      <c r="Y139" s="207"/>
      <c r="Z139" s="432">
        <v>13</v>
      </c>
      <c r="AA139" s="12">
        <f>'Description Sheet'!N112</f>
        <v>6500</v>
      </c>
      <c r="AB139" s="101"/>
      <c r="AC139" s="31"/>
    </row>
    <row r="140" spans="1:29" ht="19">
      <c r="A140" s="14"/>
      <c r="B140" s="19">
        <v>10</v>
      </c>
      <c r="C140" s="19">
        <v>79</v>
      </c>
      <c r="D140" s="122">
        <f>'Description Sheet'!B113</f>
        <v>9.1999999999999993</v>
      </c>
      <c r="E140" s="236" t="str">
        <f>'Description Sheet'!C113</f>
        <v>Shade Port Netting (Replacement and Maintanance)</v>
      </c>
      <c r="F140" s="223"/>
      <c r="G140" s="206"/>
      <c r="H140" s="225"/>
      <c r="I140" s="207"/>
      <c r="J140" s="225"/>
      <c r="K140" s="207"/>
      <c r="L140" s="225"/>
      <c r="M140" s="207"/>
      <c r="N140" s="225"/>
      <c r="O140" s="207"/>
      <c r="P140" s="225"/>
      <c r="Q140" s="207"/>
      <c r="R140" s="225"/>
      <c r="S140" s="207"/>
      <c r="T140" s="225"/>
      <c r="U140" s="207"/>
      <c r="V140" s="225"/>
      <c r="W140" s="207"/>
      <c r="X140" s="225"/>
      <c r="Y140" s="207"/>
      <c r="Z140" s="432"/>
      <c r="AA140" s="12">
        <f>'Description Sheet'!N113</f>
        <v>0</v>
      </c>
      <c r="AB140" s="101"/>
      <c r="AC140" s="31"/>
    </row>
    <row r="141" spans="1:29" ht="19">
      <c r="A141" s="14"/>
      <c r="B141" s="19">
        <v>10</v>
      </c>
      <c r="C141" s="19">
        <v>80</v>
      </c>
      <c r="D141" s="122">
        <f>'Description Sheet'!B114</f>
        <v>9.3000000000000007</v>
      </c>
      <c r="E141" s="236" t="str">
        <f>'Description Sheet'!C114</f>
        <v>Garages (Maintanance)</v>
      </c>
      <c r="F141" s="223"/>
      <c r="G141" s="206"/>
      <c r="H141" s="225"/>
      <c r="I141" s="207"/>
      <c r="J141" s="225"/>
      <c r="K141" s="207"/>
      <c r="L141" s="225"/>
      <c r="M141" s="207"/>
      <c r="N141" s="225"/>
      <c r="O141" s="207"/>
      <c r="P141" s="225"/>
      <c r="Q141" s="207"/>
      <c r="R141" s="225"/>
      <c r="S141" s="207"/>
      <c r="T141" s="225"/>
      <c r="U141" s="207"/>
      <c r="V141" s="225"/>
      <c r="W141" s="207"/>
      <c r="X141" s="225"/>
      <c r="Y141" s="207"/>
      <c r="Z141" s="432"/>
      <c r="AA141" s="12">
        <f>'Description Sheet'!N114</f>
        <v>0</v>
      </c>
      <c r="AB141" s="101"/>
      <c r="AC141" s="31"/>
    </row>
    <row r="142" spans="1:29" ht="19">
      <c r="A142" s="14"/>
      <c r="B142" s="19">
        <v>10</v>
      </c>
      <c r="C142" s="19">
        <v>81</v>
      </c>
      <c r="D142" s="122">
        <f>'Description Sheet'!B115</f>
        <v>9.4</v>
      </c>
      <c r="E142" s="236" t="str">
        <f>'Description Sheet'!C115</f>
        <v>Parking Facilities</v>
      </c>
      <c r="F142" s="223"/>
      <c r="G142" s="206"/>
      <c r="H142" s="225"/>
      <c r="I142" s="207"/>
      <c r="J142" s="225"/>
      <c r="K142" s="207"/>
      <c r="L142" s="225"/>
      <c r="M142" s="207"/>
      <c r="N142" s="225"/>
      <c r="O142" s="207"/>
      <c r="P142" s="225"/>
      <c r="Q142" s="207"/>
      <c r="R142" s="225"/>
      <c r="S142" s="207"/>
      <c r="T142" s="225"/>
      <c r="U142" s="207"/>
      <c r="V142" s="225"/>
      <c r="W142" s="207"/>
      <c r="X142" s="225"/>
      <c r="Y142" s="207"/>
      <c r="Z142" s="432"/>
      <c r="AA142" s="12">
        <f>'Description Sheet'!N115</f>
        <v>0</v>
      </c>
      <c r="AB142" s="101"/>
      <c r="AC142" s="31"/>
    </row>
    <row r="143" spans="1:29" ht="19" thickBot="1">
      <c r="A143" s="14"/>
      <c r="B143" s="19"/>
      <c r="C143" s="19"/>
      <c r="D143" s="122"/>
      <c r="E143" s="237"/>
      <c r="F143" s="223"/>
      <c r="G143" s="206"/>
      <c r="H143" s="225"/>
      <c r="I143" s="207"/>
      <c r="J143" s="225"/>
      <c r="K143" s="207"/>
      <c r="L143" s="225"/>
      <c r="M143" s="207"/>
      <c r="N143" s="225"/>
      <c r="O143" s="207"/>
      <c r="P143" s="225"/>
      <c r="Q143" s="207"/>
      <c r="R143" s="225"/>
      <c r="S143" s="207"/>
      <c r="T143" s="225"/>
      <c r="U143" s="207"/>
      <c r="V143" s="225"/>
      <c r="W143" s="207"/>
      <c r="X143" s="223"/>
      <c r="Y143" s="207"/>
      <c r="Z143" s="431"/>
      <c r="AA143" s="12"/>
      <c r="AB143" s="101"/>
      <c r="AC143" s="31"/>
    </row>
    <row r="144" spans="1:29" s="393" customFormat="1" ht="20" thickBot="1">
      <c r="A144" s="385" t="s">
        <v>64</v>
      </c>
      <c r="B144" s="385"/>
      <c r="C144" s="385"/>
      <c r="D144" s="386"/>
      <c r="E144" s="387" t="s">
        <v>31</v>
      </c>
      <c r="F144" s="388">
        <v>0</v>
      </c>
      <c r="G144" s="389"/>
      <c r="H144" s="390"/>
      <c r="I144" s="390"/>
      <c r="J144" s="390"/>
      <c r="K144" s="390"/>
      <c r="L144" s="390"/>
      <c r="M144" s="390"/>
      <c r="N144" s="390"/>
      <c r="O144" s="390"/>
      <c r="P144" s="390"/>
      <c r="Q144" s="390"/>
      <c r="R144" s="390"/>
      <c r="S144" s="390"/>
      <c r="T144" s="390"/>
      <c r="U144" s="390"/>
      <c r="V144" s="390"/>
      <c r="W144" s="390"/>
      <c r="X144" s="390"/>
      <c r="Y144" s="389"/>
      <c r="Z144" s="434"/>
      <c r="AA144" s="391"/>
      <c r="AB144" s="392"/>
      <c r="AC144" s="392"/>
    </row>
    <row r="145" spans="1:29" ht="18">
      <c r="A145" s="14" t="s">
        <v>65</v>
      </c>
      <c r="B145" s="19"/>
      <c r="C145" s="19"/>
      <c r="D145" s="122"/>
      <c r="E145" s="128" t="s">
        <v>43</v>
      </c>
      <c r="F145" s="129">
        <f>'Year (2021-2022)'!H118</f>
        <v>0</v>
      </c>
      <c r="G145" s="206"/>
      <c r="H145" s="129">
        <f>'Year (2022-2023)'!H118</f>
        <v>0</v>
      </c>
      <c r="I145" s="129" t="e">
        <v>#REF!</v>
      </c>
      <c r="J145" s="129">
        <f>'Year (2023-2024)'!H118</f>
        <v>0</v>
      </c>
      <c r="K145" s="206"/>
      <c r="L145" s="129">
        <f>'Year (2024-2025)'!H118</f>
        <v>0</v>
      </c>
      <c r="M145" s="206"/>
      <c r="N145" s="129">
        <f>'Year (2025-2026)'!H118</f>
        <v>8843.1782400000029</v>
      </c>
      <c r="O145" s="206"/>
      <c r="P145" s="129">
        <f>'Year (2026-2027)'!H118</f>
        <v>0</v>
      </c>
      <c r="Q145" s="206"/>
      <c r="R145" s="129">
        <f>'Year (2027-2028)'!H118</f>
        <v>0</v>
      </c>
      <c r="S145" s="206"/>
      <c r="T145" s="129">
        <f>'Year (2028-2029)'!H118</f>
        <v>0</v>
      </c>
      <c r="U145" s="206"/>
      <c r="V145" s="129">
        <f>'Year (2029-2030)'!H118</f>
        <v>12031.046366832237</v>
      </c>
      <c r="W145" s="206"/>
      <c r="X145" s="129">
        <f>'Year (2030-2031)'!H118</f>
        <v>0</v>
      </c>
      <c r="Y145" s="207"/>
      <c r="Z145" s="431"/>
      <c r="AA145" s="12"/>
      <c r="AB145" s="101"/>
      <c r="AC145" s="31"/>
    </row>
    <row r="146" spans="1:29" s="393" customFormat="1" ht="18">
      <c r="A146" s="385" t="s">
        <v>66</v>
      </c>
      <c r="B146" s="385"/>
      <c r="C146" s="385"/>
      <c r="D146" s="394"/>
      <c r="E146" s="395" t="s">
        <v>48</v>
      </c>
      <c r="F146" s="396">
        <v>0</v>
      </c>
      <c r="G146" s="397"/>
      <c r="H146" s="396">
        <v>0</v>
      </c>
      <c r="I146" s="397"/>
      <c r="J146" s="396">
        <v>0</v>
      </c>
      <c r="K146" s="397"/>
      <c r="L146" s="396">
        <v>0</v>
      </c>
      <c r="M146" s="397"/>
      <c r="N146" s="396">
        <v>0</v>
      </c>
      <c r="O146" s="397"/>
      <c r="P146" s="396">
        <v>0</v>
      </c>
      <c r="Q146" s="397"/>
      <c r="R146" s="396">
        <v>0</v>
      </c>
      <c r="S146" s="397"/>
      <c r="T146" s="396">
        <v>0</v>
      </c>
      <c r="U146" s="397"/>
      <c r="V146" s="396">
        <v>0</v>
      </c>
      <c r="W146" s="397"/>
      <c r="X146" s="396">
        <v>0</v>
      </c>
      <c r="Y146" s="398"/>
      <c r="Z146" s="434"/>
      <c r="AA146" s="391"/>
      <c r="AB146" s="392"/>
      <c r="AC146" s="392"/>
    </row>
    <row r="147" spans="1:29" ht="20" thickBot="1">
      <c r="A147" s="14"/>
      <c r="B147" s="19"/>
      <c r="C147" s="19"/>
      <c r="D147" s="122"/>
      <c r="E147" s="236"/>
      <c r="F147" s="221"/>
      <c r="G147" s="206"/>
      <c r="H147" s="222"/>
      <c r="I147" s="206"/>
      <c r="J147" s="221"/>
      <c r="K147" s="206"/>
      <c r="L147" s="222"/>
      <c r="M147" s="206"/>
      <c r="N147" s="222"/>
      <c r="O147" s="206"/>
      <c r="P147" s="222"/>
      <c r="Q147" s="206"/>
      <c r="R147" s="221"/>
      <c r="S147" s="206"/>
      <c r="T147" s="222"/>
      <c r="U147" s="206"/>
      <c r="V147" s="222"/>
      <c r="W147" s="206"/>
      <c r="X147" s="217"/>
      <c r="Y147" s="207"/>
      <c r="Z147" s="431"/>
      <c r="AA147" s="12"/>
      <c r="AB147" s="101"/>
      <c r="AC147" s="31"/>
    </row>
    <row r="148" spans="1:29" ht="22" thickBot="1">
      <c r="A148" s="14"/>
      <c r="B148" s="19">
        <v>11</v>
      </c>
      <c r="C148" s="19"/>
      <c r="D148" s="120">
        <f>'Description Sheet'!B118</f>
        <v>10</v>
      </c>
      <c r="E148" s="178" t="str">
        <f>'Description Sheet'!C118</f>
        <v>Roadways and Paved Areas</v>
      </c>
      <c r="F148" s="241"/>
      <c r="G148" s="206"/>
      <c r="H148" s="235"/>
      <c r="I148" s="206"/>
      <c r="J148" s="241"/>
      <c r="K148" s="206"/>
      <c r="L148" s="235"/>
      <c r="M148" s="206"/>
      <c r="N148" s="235"/>
      <c r="O148" s="206"/>
      <c r="P148" s="235"/>
      <c r="Q148" s="206"/>
      <c r="R148" s="241"/>
      <c r="S148" s="206"/>
      <c r="T148" s="235"/>
      <c r="U148" s="206"/>
      <c r="V148" s="235"/>
      <c r="W148" s="206"/>
      <c r="X148" s="227"/>
      <c r="Y148" s="207"/>
      <c r="Z148" s="431"/>
      <c r="AA148" s="12"/>
      <c r="AB148" s="101"/>
      <c r="AC148" s="31"/>
    </row>
    <row r="149" spans="1:29" ht="19">
      <c r="A149" s="14"/>
      <c r="B149" s="19">
        <v>11</v>
      </c>
      <c r="C149" s="19">
        <v>82</v>
      </c>
      <c r="D149" s="122">
        <f>'Description Sheet'!B119</f>
        <v>10.1</v>
      </c>
      <c r="E149" s="236" t="str">
        <f>'Description Sheet'!C119</f>
        <v>Tarmac Areas (Reinstatement)</v>
      </c>
      <c r="F149" s="223"/>
      <c r="G149" s="206"/>
      <c r="H149" s="223"/>
      <c r="I149" s="206"/>
      <c r="J149" s="223"/>
      <c r="K149" s="206"/>
      <c r="L149" s="223"/>
      <c r="M149" s="206"/>
      <c r="N149" s="223"/>
      <c r="O149" s="206"/>
      <c r="P149" s="223"/>
      <c r="Q149" s="206"/>
      <c r="R149" s="223"/>
      <c r="S149" s="206"/>
      <c r="T149" s="223"/>
      <c r="U149" s="206"/>
      <c r="V149" s="223"/>
      <c r="W149" s="206"/>
      <c r="X149" s="225"/>
      <c r="Y149" s="207"/>
      <c r="Z149" s="432"/>
      <c r="AA149" s="12">
        <f>'Description Sheet'!N119</f>
        <v>0</v>
      </c>
      <c r="AB149" s="101"/>
      <c r="AC149" s="31"/>
    </row>
    <row r="150" spans="1:29" ht="19">
      <c r="A150" s="14"/>
      <c r="B150" s="19">
        <v>11</v>
      </c>
      <c r="C150" s="19">
        <v>83</v>
      </c>
      <c r="D150" s="122">
        <f>'Description Sheet'!B120</f>
        <v>10.199999999999999</v>
      </c>
      <c r="E150" s="236" t="str">
        <f>'Description Sheet'!C120</f>
        <v>Concrete Areas (Reinstatement)</v>
      </c>
      <c r="F150" s="211"/>
      <c r="G150" s="212"/>
      <c r="H150" s="211"/>
      <c r="I150" s="212"/>
      <c r="J150" s="211"/>
      <c r="K150" s="212"/>
      <c r="L150" s="211"/>
      <c r="M150" s="212"/>
      <c r="N150" s="211"/>
      <c r="O150" s="212"/>
      <c r="P150" s="211"/>
      <c r="Q150" s="212"/>
      <c r="R150" s="211"/>
      <c r="S150" s="212"/>
      <c r="T150" s="211"/>
      <c r="U150" s="212"/>
      <c r="V150" s="211"/>
      <c r="W150" s="212"/>
      <c r="X150" s="211"/>
      <c r="Y150" s="207"/>
      <c r="Z150" s="432"/>
      <c r="AA150" s="12">
        <f>'Description Sheet'!N120</f>
        <v>2353</v>
      </c>
      <c r="AB150" s="101"/>
      <c r="AC150" s="31"/>
    </row>
    <row r="151" spans="1:29" ht="19">
      <c r="A151" s="14"/>
      <c r="B151" s="19">
        <v>11</v>
      </c>
      <c r="C151" s="19">
        <v>84</v>
      </c>
      <c r="D151" s="122">
        <f>'Description Sheet'!B121</f>
        <v>10.3</v>
      </c>
      <c r="E151" s="236" t="str">
        <f>'Description Sheet'!C121</f>
        <v>Paving  Areas (Reinstatement)</v>
      </c>
      <c r="F151" s="211"/>
      <c r="G151" s="212"/>
      <c r="H151" s="211"/>
      <c r="I151" s="212"/>
      <c r="J151" s="211"/>
      <c r="K151" s="212"/>
      <c r="L151" s="211"/>
      <c r="M151" s="212"/>
      <c r="N151" s="211"/>
      <c r="O151" s="212"/>
      <c r="P151" s="211"/>
      <c r="Q151" s="212"/>
      <c r="R151" s="211"/>
      <c r="S151" s="212"/>
      <c r="T151" s="211"/>
      <c r="U151" s="212"/>
      <c r="V151" s="211"/>
      <c r="W151" s="212"/>
      <c r="X151" s="211"/>
      <c r="Y151" s="207"/>
      <c r="Z151" s="432"/>
      <c r="AA151" s="12">
        <f>'Description Sheet'!N121</f>
        <v>2353</v>
      </c>
      <c r="AB151" s="101"/>
      <c r="AC151" s="31"/>
    </row>
    <row r="152" spans="1:29" ht="19">
      <c r="A152" s="14"/>
      <c r="B152" s="19">
        <v>11</v>
      </c>
      <c r="C152" s="19">
        <v>85</v>
      </c>
      <c r="D152" s="122">
        <f>'Description Sheet'!B122</f>
        <v>10.4</v>
      </c>
      <c r="E152" s="236" t="str">
        <f>'Description Sheet'!C122</f>
        <v>Reinstatement of Walkways (Grouting and Tiles)</v>
      </c>
      <c r="F152" s="211"/>
      <c r="G152" s="212"/>
      <c r="H152" s="211"/>
      <c r="I152" s="212"/>
      <c r="J152" s="211"/>
      <c r="K152" s="212"/>
      <c r="L152" s="211"/>
      <c r="M152" s="212"/>
      <c r="N152" s="211"/>
      <c r="O152" s="212"/>
      <c r="P152" s="211"/>
      <c r="Q152" s="212"/>
      <c r="R152" s="211"/>
      <c r="S152" s="212"/>
      <c r="T152" s="211"/>
      <c r="U152" s="212"/>
      <c r="V152" s="211"/>
      <c r="W152" s="212"/>
      <c r="X152" s="211"/>
      <c r="Y152" s="207"/>
      <c r="Z152" s="432"/>
      <c r="AA152" s="12">
        <f>'Description Sheet'!N122</f>
        <v>2353</v>
      </c>
      <c r="AB152" s="101"/>
      <c r="AC152" s="31"/>
    </row>
    <row r="153" spans="1:29" ht="19">
      <c r="A153" s="14"/>
      <c r="B153" s="19">
        <v>11</v>
      </c>
      <c r="C153" s="19">
        <v>86</v>
      </c>
      <c r="D153" s="122">
        <f>'Description Sheet'!B123</f>
        <v>10.5</v>
      </c>
      <c r="E153" s="236" t="str">
        <f>'Description Sheet'!C123</f>
        <v>Tarmac Damaged Areas (Replacement)</v>
      </c>
      <c r="F153" s="223"/>
      <c r="G153" s="206"/>
      <c r="H153" s="225"/>
      <c r="I153" s="207"/>
      <c r="J153" s="225"/>
      <c r="K153" s="207"/>
      <c r="L153" s="225"/>
      <c r="M153" s="207"/>
      <c r="N153" s="225"/>
      <c r="O153" s="207"/>
      <c r="P153" s="225"/>
      <c r="Q153" s="207"/>
      <c r="R153" s="225"/>
      <c r="S153" s="207"/>
      <c r="T153" s="225"/>
      <c r="U153" s="207"/>
      <c r="V153" s="225"/>
      <c r="W153" s="207"/>
      <c r="X153" s="225"/>
      <c r="Y153" s="207"/>
      <c r="Z153" s="432"/>
      <c r="AA153" s="12">
        <f>'Description Sheet'!N123</f>
        <v>0</v>
      </c>
      <c r="AB153" s="101"/>
      <c r="AC153" s="31"/>
    </row>
    <row r="154" spans="1:29" ht="19">
      <c r="A154" s="14"/>
      <c r="B154" s="19">
        <v>11</v>
      </c>
      <c r="C154" s="19">
        <v>87</v>
      </c>
      <c r="D154" s="122">
        <f>'Description Sheet'!B124</f>
        <v>10.6</v>
      </c>
      <c r="E154" s="236" t="str">
        <f>'Description Sheet'!C124</f>
        <v>blank</v>
      </c>
      <c r="F154" s="223"/>
      <c r="G154" s="206"/>
      <c r="H154" s="225"/>
      <c r="I154" s="207"/>
      <c r="J154" s="225"/>
      <c r="K154" s="207"/>
      <c r="L154" s="225"/>
      <c r="M154" s="207"/>
      <c r="N154" s="225"/>
      <c r="O154" s="207"/>
      <c r="P154" s="225"/>
      <c r="Q154" s="207"/>
      <c r="R154" s="225"/>
      <c r="S154" s="207"/>
      <c r="T154" s="225"/>
      <c r="U154" s="207"/>
      <c r="V154" s="225"/>
      <c r="W154" s="207"/>
      <c r="X154" s="225"/>
      <c r="Y154" s="207"/>
      <c r="Z154" s="432"/>
      <c r="AA154" s="12">
        <f>'Description Sheet'!N124</f>
        <v>0</v>
      </c>
      <c r="AB154" s="101"/>
      <c r="AC154" s="31"/>
    </row>
    <row r="155" spans="1:29" ht="19">
      <c r="A155" s="14"/>
      <c r="B155" s="19">
        <v>11</v>
      </c>
      <c r="C155" s="19">
        <v>88</v>
      </c>
      <c r="D155" s="122">
        <f>'Description Sheet'!B125</f>
        <v>10.7</v>
      </c>
      <c r="E155" s="236" t="str">
        <f>'Description Sheet'!C125</f>
        <v>blank</v>
      </c>
      <c r="F155" s="223"/>
      <c r="G155" s="206"/>
      <c r="H155" s="225"/>
      <c r="I155" s="207"/>
      <c r="J155" s="225"/>
      <c r="K155" s="207"/>
      <c r="L155" s="225"/>
      <c r="M155" s="207"/>
      <c r="N155" s="225"/>
      <c r="O155" s="207"/>
      <c r="P155" s="225"/>
      <c r="Q155" s="207"/>
      <c r="R155" s="225"/>
      <c r="S155" s="207"/>
      <c r="T155" s="225"/>
      <c r="U155" s="207"/>
      <c r="V155" s="225"/>
      <c r="W155" s="207"/>
      <c r="X155" s="225"/>
      <c r="Y155" s="207"/>
      <c r="Z155" s="432"/>
      <c r="AA155" s="12">
        <f>'Description Sheet'!N125</f>
        <v>0</v>
      </c>
      <c r="AB155" s="101"/>
      <c r="AC155" s="31"/>
    </row>
    <row r="156" spans="1:29" ht="19" thickBot="1">
      <c r="A156" s="14"/>
      <c r="B156" s="19"/>
      <c r="C156" s="19"/>
      <c r="D156" s="122"/>
      <c r="E156" s="237"/>
      <c r="F156" s="223"/>
      <c r="G156" s="206"/>
      <c r="H156" s="225"/>
      <c r="I156" s="207"/>
      <c r="J156" s="225"/>
      <c r="K156" s="207"/>
      <c r="L156" s="225"/>
      <c r="M156" s="207"/>
      <c r="N156" s="225"/>
      <c r="O156" s="207"/>
      <c r="P156" s="225"/>
      <c r="Q156" s="207"/>
      <c r="R156" s="225"/>
      <c r="S156" s="207"/>
      <c r="T156" s="225"/>
      <c r="U156" s="207"/>
      <c r="V156" s="225"/>
      <c r="W156" s="207"/>
      <c r="X156" s="223"/>
      <c r="Y156" s="207"/>
      <c r="Z156" s="431"/>
      <c r="AA156" s="12"/>
      <c r="AB156" s="101"/>
      <c r="AC156" s="31"/>
    </row>
    <row r="157" spans="1:29" s="393" customFormat="1" ht="20" thickBot="1">
      <c r="A157" s="385" t="s">
        <v>64</v>
      </c>
      <c r="B157" s="385"/>
      <c r="C157" s="385"/>
      <c r="D157" s="386"/>
      <c r="E157" s="387" t="s">
        <v>31</v>
      </c>
      <c r="F157" s="388">
        <v>0</v>
      </c>
      <c r="G157" s="389"/>
      <c r="H157" s="390"/>
      <c r="I157" s="390"/>
      <c r="J157" s="390"/>
      <c r="K157" s="390"/>
      <c r="L157" s="390"/>
      <c r="M157" s="390"/>
      <c r="N157" s="390"/>
      <c r="O157" s="390"/>
      <c r="P157" s="390"/>
      <c r="Q157" s="390"/>
      <c r="R157" s="390"/>
      <c r="S157" s="390"/>
      <c r="T157" s="390"/>
      <c r="U157" s="390"/>
      <c r="V157" s="390"/>
      <c r="W157" s="390"/>
      <c r="X157" s="390"/>
      <c r="Y157" s="389"/>
      <c r="Z157" s="434"/>
      <c r="AA157" s="391"/>
      <c r="AB157" s="392"/>
      <c r="AC157" s="392"/>
    </row>
    <row r="158" spans="1:29" ht="18">
      <c r="A158" s="14" t="s">
        <v>65</v>
      </c>
      <c r="B158" s="19"/>
      <c r="C158" s="19"/>
      <c r="D158" s="122"/>
      <c r="E158" s="128" t="s">
        <v>43</v>
      </c>
      <c r="F158" s="129">
        <f>'Year (2021-2022)'!H128</f>
        <v>0</v>
      </c>
      <c r="G158" s="206"/>
      <c r="H158" s="129">
        <f>'Year (2022-2023)'!H128</f>
        <v>0</v>
      </c>
      <c r="I158" s="129" t="e">
        <v>#REF!</v>
      </c>
      <c r="J158" s="129">
        <f>'Year (2023-2024)'!H128</f>
        <v>0</v>
      </c>
      <c r="K158" s="206"/>
      <c r="L158" s="129">
        <f>'Year (2024-2025)'!H128</f>
        <v>0</v>
      </c>
      <c r="M158" s="206"/>
      <c r="N158" s="129">
        <f>'Year (2025-2026)'!H128</f>
        <v>0</v>
      </c>
      <c r="O158" s="206"/>
      <c r="P158" s="129">
        <f>'Year (2026-2027)'!H128</f>
        <v>0</v>
      </c>
      <c r="Q158" s="206"/>
      <c r="R158" s="129">
        <f>'Year (2027-2028)'!H128</f>
        <v>0</v>
      </c>
      <c r="S158" s="206"/>
      <c r="T158" s="129">
        <f>'Year (2028-2029)'!H128</f>
        <v>0</v>
      </c>
      <c r="U158" s="206"/>
      <c r="V158" s="129">
        <f>'Year (2029-2030)'!H128</f>
        <v>0</v>
      </c>
      <c r="W158" s="206"/>
      <c r="X158" s="129">
        <f>'Year (2030-2031)'!H128</f>
        <v>0</v>
      </c>
      <c r="Y158" s="207"/>
      <c r="Z158" s="431"/>
      <c r="AA158" s="12"/>
      <c r="AB158" s="101"/>
      <c r="AC158" s="31"/>
    </row>
    <row r="159" spans="1:29" s="393" customFormat="1" ht="18">
      <c r="A159" s="385" t="s">
        <v>66</v>
      </c>
      <c r="B159" s="385"/>
      <c r="C159" s="385"/>
      <c r="D159" s="394"/>
      <c r="E159" s="395" t="s">
        <v>48</v>
      </c>
      <c r="F159" s="396">
        <v>0</v>
      </c>
      <c r="G159" s="397"/>
      <c r="H159" s="396">
        <v>0</v>
      </c>
      <c r="I159" s="397"/>
      <c r="J159" s="396">
        <v>0</v>
      </c>
      <c r="K159" s="397"/>
      <c r="L159" s="396">
        <v>0</v>
      </c>
      <c r="M159" s="397"/>
      <c r="N159" s="396">
        <v>0</v>
      </c>
      <c r="O159" s="397"/>
      <c r="P159" s="396">
        <v>0</v>
      </c>
      <c r="Q159" s="397"/>
      <c r="R159" s="396">
        <v>0</v>
      </c>
      <c r="S159" s="397"/>
      <c r="T159" s="396">
        <v>0</v>
      </c>
      <c r="U159" s="397"/>
      <c r="V159" s="396">
        <v>0</v>
      </c>
      <c r="W159" s="397"/>
      <c r="X159" s="396">
        <v>0</v>
      </c>
      <c r="Y159" s="398"/>
      <c r="Z159" s="434"/>
      <c r="AA159" s="391"/>
      <c r="AB159" s="392"/>
      <c r="AC159" s="392"/>
    </row>
    <row r="160" spans="1:29" ht="20" thickBot="1">
      <c r="A160" s="14"/>
      <c r="B160" s="19"/>
      <c r="C160" s="19"/>
      <c r="D160" s="122"/>
      <c r="E160" s="236"/>
      <c r="F160" s="221"/>
      <c r="G160" s="206"/>
      <c r="H160" s="222"/>
      <c r="I160" s="206"/>
      <c r="J160" s="221"/>
      <c r="K160" s="206"/>
      <c r="L160" s="222"/>
      <c r="M160" s="206"/>
      <c r="N160" s="222"/>
      <c r="O160" s="206"/>
      <c r="P160" s="222"/>
      <c r="Q160" s="206"/>
      <c r="R160" s="221"/>
      <c r="S160" s="206"/>
      <c r="T160" s="222"/>
      <c r="U160" s="206"/>
      <c r="V160" s="222"/>
      <c r="W160" s="206"/>
      <c r="X160" s="217"/>
      <c r="Y160" s="207"/>
      <c r="Z160" s="431"/>
      <c r="AA160" s="12"/>
      <c r="AB160" s="101"/>
      <c r="AC160" s="31"/>
    </row>
    <row r="161" spans="1:29" ht="22" thickBot="1">
      <c r="A161" s="14"/>
      <c r="B161" s="19">
        <v>12</v>
      </c>
      <c r="C161" s="19"/>
      <c r="D161" s="120">
        <f>'Description Sheet'!B128</f>
        <v>11</v>
      </c>
      <c r="E161" s="178" t="str">
        <f>'Description Sheet'!C128</f>
        <v>Security Systems and Facilities</v>
      </c>
      <c r="F161" s="241"/>
      <c r="G161" s="206"/>
      <c r="H161" s="235"/>
      <c r="I161" s="206"/>
      <c r="J161" s="241"/>
      <c r="K161" s="206"/>
      <c r="L161" s="235"/>
      <c r="M161" s="206"/>
      <c r="N161" s="235"/>
      <c r="O161" s="206"/>
      <c r="P161" s="235"/>
      <c r="Q161" s="206"/>
      <c r="R161" s="241"/>
      <c r="S161" s="206"/>
      <c r="T161" s="235"/>
      <c r="U161" s="206"/>
      <c r="V161" s="235"/>
      <c r="W161" s="206"/>
      <c r="X161" s="227"/>
      <c r="Y161" s="207"/>
      <c r="Z161" s="431"/>
      <c r="AA161" s="12"/>
      <c r="AB161" s="101"/>
      <c r="AC161" s="31"/>
    </row>
    <row r="162" spans="1:29" ht="18" customHeight="1">
      <c r="A162" s="14"/>
      <c r="B162" s="19">
        <v>12</v>
      </c>
      <c r="C162" s="19">
        <v>89</v>
      </c>
      <c r="D162" s="133">
        <f>'Description Sheet'!B129</f>
        <v>11.1</v>
      </c>
      <c r="E162" s="236" t="str">
        <f>'Description Sheet'!C129</f>
        <v>Security Equipment (Replacement/Upgrade Savings)</v>
      </c>
      <c r="F162" s="211" t="s">
        <v>138</v>
      </c>
      <c r="G162" s="212"/>
      <c r="H162" s="211" t="s">
        <v>138</v>
      </c>
      <c r="I162" s="212"/>
      <c r="J162" s="211" t="s">
        <v>138</v>
      </c>
      <c r="K162" s="212"/>
      <c r="L162" s="211" t="s">
        <v>138</v>
      </c>
      <c r="M162" s="212"/>
      <c r="N162" s="211" t="s">
        <v>138</v>
      </c>
      <c r="O162" s="212"/>
      <c r="P162" s="211" t="s">
        <v>138</v>
      </c>
      <c r="Q162" s="212"/>
      <c r="R162" s="211" t="s">
        <v>138</v>
      </c>
      <c r="S162" s="212"/>
      <c r="T162" s="211" t="s">
        <v>138</v>
      </c>
      <c r="U162" s="212"/>
      <c r="V162" s="211" t="s">
        <v>138</v>
      </c>
      <c r="W162" s="212"/>
      <c r="X162" s="211" t="s">
        <v>138</v>
      </c>
      <c r="Y162" s="207"/>
      <c r="Z162" s="432"/>
      <c r="AA162" s="12">
        <f>'Description Sheet'!N129</f>
        <v>6500</v>
      </c>
      <c r="AB162" s="101"/>
      <c r="AC162" s="31"/>
    </row>
    <row r="163" spans="1:29" ht="18" customHeight="1">
      <c r="A163" s="14"/>
      <c r="B163" s="19">
        <v>12</v>
      </c>
      <c r="C163" s="19">
        <v>90</v>
      </c>
      <c r="D163" s="133">
        <f>'Description Sheet'!B130</f>
        <v>11.2</v>
      </c>
      <c r="E163" s="236" t="str">
        <f>'Description Sheet'!C130</f>
        <v>CCTV Installation</v>
      </c>
      <c r="F163" s="223"/>
      <c r="G163" s="206"/>
      <c r="H163" s="225"/>
      <c r="I163" s="207"/>
      <c r="J163" s="225"/>
      <c r="K163" s="207"/>
      <c r="L163" s="225"/>
      <c r="M163" s="207"/>
      <c r="N163" s="225"/>
      <c r="O163" s="207"/>
      <c r="P163" s="225"/>
      <c r="Q163" s="207"/>
      <c r="R163" s="225"/>
      <c r="S163" s="207"/>
      <c r="T163" s="225"/>
      <c r="U163" s="207"/>
      <c r="V163" s="225"/>
      <c r="W163" s="207"/>
      <c r="X163" s="225"/>
      <c r="Y163" s="207"/>
      <c r="Z163" s="432"/>
      <c r="AA163" s="12">
        <f>'Description Sheet'!N130</f>
        <v>42000</v>
      </c>
      <c r="AB163" s="101"/>
      <c r="AC163" s="31"/>
    </row>
    <row r="164" spans="1:29" ht="18" customHeight="1">
      <c r="A164" s="14"/>
      <c r="B164" s="19">
        <v>12</v>
      </c>
      <c r="C164" s="19">
        <v>91</v>
      </c>
      <c r="D164" s="133">
        <f>'Description Sheet'!B131</f>
        <v>11.3</v>
      </c>
      <c r="E164" s="236" t="str">
        <f>'Description Sheet'!C131</f>
        <v>blank</v>
      </c>
      <c r="F164" s="223"/>
      <c r="G164" s="206"/>
      <c r="H164" s="225"/>
      <c r="I164" s="207"/>
      <c r="J164" s="225"/>
      <c r="K164" s="207"/>
      <c r="L164" s="225"/>
      <c r="M164" s="207"/>
      <c r="N164" s="225"/>
      <c r="O164" s="207"/>
      <c r="P164" s="225"/>
      <c r="Q164" s="207"/>
      <c r="R164" s="225"/>
      <c r="S164" s="207"/>
      <c r="T164" s="225"/>
      <c r="U164" s="207"/>
      <c r="V164" s="225"/>
      <c r="W164" s="207"/>
      <c r="X164" s="225"/>
      <c r="Y164" s="207"/>
      <c r="Z164" s="432"/>
      <c r="AA164" s="12">
        <f>'Description Sheet'!N131</f>
        <v>0</v>
      </c>
      <c r="AB164" s="101"/>
      <c r="AC164" s="31"/>
    </row>
    <row r="165" spans="1:29" ht="18" customHeight="1">
      <c r="A165" s="14"/>
      <c r="B165" s="19">
        <v>12</v>
      </c>
      <c r="C165" s="19">
        <v>92</v>
      </c>
      <c r="D165" s="133">
        <f>'Description Sheet'!B132</f>
        <v>11.4</v>
      </c>
      <c r="E165" s="236" t="str">
        <f>'Description Sheet'!C132</f>
        <v>blank</v>
      </c>
      <c r="F165" s="223"/>
      <c r="G165" s="206"/>
      <c r="H165" s="225"/>
      <c r="I165" s="207"/>
      <c r="J165" s="225"/>
      <c r="K165" s="207"/>
      <c r="L165" s="225"/>
      <c r="M165" s="207"/>
      <c r="N165" s="225"/>
      <c r="O165" s="207"/>
      <c r="P165" s="225"/>
      <c r="Q165" s="207"/>
      <c r="R165" s="225"/>
      <c r="S165" s="207"/>
      <c r="T165" s="225"/>
      <c r="U165" s="207"/>
      <c r="V165" s="225"/>
      <c r="W165" s="207"/>
      <c r="X165" s="225"/>
      <c r="Y165" s="207"/>
      <c r="Z165" s="432"/>
      <c r="AA165" s="12">
        <f>'Description Sheet'!N132</f>
        <v>0</v>
      </c>
      <c r="AB165" s="101"/>
      <c r="AC165" s="31"/>
    </row>
    <row r="166" spans="1:29" ht="18" customHeight="1" thickBot="1">
      <c r="A166" s="14"/>
      <c r="B166" s="19"/>
      <c r="C166" s="19"/>
      <c r="D166" s="133"/>
      <c r="E166" s="237"/>
      <c r="F166" s="223"/>
      <c r="G166" s="206"/>
      <c r="H166" s="225"/>
      <c r="I166" s="207"/>
      <c r="J166" s="225"/>
      <c r="K166" s="207"/>
      <c r="L166" s="225"/>
      <c r="M166" s="207"/>
      <c r="N166" s="225"/>
      <c r="O166" s="207"/>
      <c r="P166" s="225"/>
      <c r="Q166" s="207"/>
      <c r="R166" s="225"/>
      <c r="S166" s="207"/>
      <c r="T166" s="225"/>
      <c r="U166" s="207"/>
      <c r="V166" s="225"/>
      <c r="W166" s="207"/>
      <c r="X166" s="223"/>
      <c r="Y166" s="207"/>
      <c r="Z166" s="431"/>
      <c r="AA166" s="12"/>
      <c r="AB166" s="101"/>
      <c r="AC166" s="31"/>
    </row>
    <row r="167" spans="1:29" s="393" customFormat="1" ht="20" thickBot="1">
      <c r="A167" s="385" t="s">
        <v>64</v>
      </c>
      <c r="B167" s="385"/>
      <c r="C167" s="385"/>
      <c r="D167" s="386"/>
      <c r="E167" s="387" t="s">
        <v>31</v>
      </c>
      <c r="F167" s="388">
        <v>0</v>
      </c>
      <c r="G167" s="389"/>
      <c r="H167" s="390"/>
      <c r="I167" s="390"/>
      <c r="J167" s="390"/>
      <c r="K167" s="390"/>
      <c r="L167" s="390"/>
      <c r="M167" s="390"/>
      <c r="N167" s="390"/>
      <c r="O167" s="390"/>
      <c r="P167" s="390"/>
      <c r="Q167" s="390"/>
      <c r="R167" s="390"/>
      <c r="S167" s="390"/>
      <c r="T167" s="390"/>
      <c r="U167" s="390"/>
      <c r="V167" s="390"/>
      <c r="W167" s="390"/>
      <c r="X167" s="390"/>
      <c r="Y167" s="389"/>
      <c r="Z167" s="434"/>
      <c r="AA167" s="391"/>
      <c r="AB167" s="392"/>
      <c r="AC167" s="392"/>
    </row>
    <row r="168" spans="1:29" ht="18">
      <c r="A168" s="14" t="s">
        <v>65</v>
      </c>
      <c r="B168" s="19"/>
      <c r="C168" s="19"/>
      <c r="D168" s="122"/>
      <c r="E168" s="128" t="s">
        <v>43</v>
      </c>
      <c r="F168" s="129">
        <f>'Year (2021-2022)'!H135</f>
        <v>6500</v>
      </c>
      <c r="G168" s="206"/>
      <c r="H168" s="129">
        <f>'Year (2022-2023)'!H135</f>
        <v>7020.0000000000009</v>
      </c>
      <c r="I168" s="129" t="e">
        <v>#REF!</v>
      </c>
      <c r="J168" s="129">
        <f>'Year (2023-2024)'!H135</f>
        <v>7581.6000000000013</v>
      </c>
      <c r="K168" s="206"/>
      <c r="L168" s="129">
        <f>'Year (2024-2025)'!H135</f>
        <v>8188.1280000000015</v>
      </c>
      <c r="M168" s="206"/>
      <c r="N168" s="129">
        <f>'Year (2025-2026)'!H135</f>
        <v>8843.1782400000029</v>
      </c>
      <c r="O168" s="206"/>
      <c r="P168" s="129">
        <f>'Year (2026-2027)'!H135</f>
        <v>9550.6324992000045</v>
      </c>
      <c r="Q168" s="206"/>
      <c r="R168" s="129">
        <f>'Year (2027-2028)'!H135</f>
        <v>10314.683099136006</v>
      </c>
      <c r="S168" s="206"/>
      <c r="T168" s="129">
        <f>'Year (2028-2029)'!H135</f>
        <v>11139.857747066886</v>
      </c>
      <c r="U168" s="206"/>
      <c r="V168" s="129">
        <f>'Year (2029-2030)'!H135</f>
        <v>12031.046366832237</v>
      </c>
      <c r="W168" s="206"/>
      <c r="X168" s="129">
        <f>'Year (2030-2031)'!H135</f>
        <v>12993.530076178817</v>
      </c>
      <c r="Y168" s="207"/>
      <c r="Z168" s="431"/>
      <c r="AA168" s="12"/>
      <c r="AB168" s="101"/>
      <c r="AC168" s="31"/>
    </row>
    <row r="169" spans="1:29" s="393" customFormat="1" ht="18">
      <c r="A169" s="385" t="s">
        <v>66</v>
      </c>
      <c r="B169" s="385"/>
      <c r="C169" s="385"/>
      <c r="D169" s="394"/>
      <c r="E169" s="395" t="s">
        <v>48</v>
      </c>
      <c r="F169" s="396">
        <v>0</v>
      </c>
      <c r="G169" s="397"/>
      <c r="H169" s="396">
        <v>0</v>
      </c>
      <c r="I169" s="397"/>
      <c r="J169" s="396">
        <v>0</v>
      </c>
      <c r="K169" s="397"/>
      <c r="L169" s="396">
        <v>0</v>
      </c>
      <c r="M169" s="397"/>
      <c r="N169" s="396">
        <v>0</v>
      </c>
      <c r="O169" s="397"/>
      <c r="P169" s="396">
        <v>0</v>
      </c>
      <c r="Q169" s="397"/>
      <c r="R169" s="396">
        <v>0</v>
      </c>
      <c r="S169" s="397"/>
      <c r="T169" s="396">
        <v>0</v>
      </c>
      <c r="U169" s="397"/>
      <c r="V169" s="396">
        <v>0</v>
      </c>
      <c r="W169" s="397"/>
      <c r="X169" s="396">
        <v>0</v>
      </c>
      <c r="Y169" s="398"/>
      <c r="Z169" s="434"/>
      <c r="AA169" s="391"/>
      <c r="AB169" s="392"/>
      <c r="AC169" s="392"/>
    </row>
    <row r="170" spans="1:29" ht="20" thickBot="1">
      <c r="A170" s="14"/>
      <c r="B170" s="19"/>
      <c r="C170" s="19"/>
      <c r="D170" s="122"/>
      <c r="E170" s="236"/>
      <c r="F170" s="221"/>
      <c r="G170" s="206"/>
      <c r="H170" s="222"/>
      <c r="I170" s="206"/>
      <c r="J170" s="221"/>
      <c r="K170" s="206"/>
      <c r="L170" s="222"/>
      <c r="M170" s="206"/>
      <c r="N170" s="222"/>
      <c r="O170" s="206"/>
      <c r="P170" s="222"/>
      <c r="Q170" s="206"/>
      <c r="R170" s="221"/>
      <c r="S170" s="206"/>
      <c r="T170" s="222"/>
      <c r="U170" s="206"/>
      <c r="V170" s="222"/>
      <c r="W170" s="206"/>
      <c r="X170" s="217"/>
      <c r="Y170" s="207"/>
      <c r="Z170" s="431"/>
      <c r="AA170" s="12"/>
      <c r="AB170" s="101"/>
      <c r="AC170" s="31"/>
    </row>
    <row r="171" spans="1:29" ht="22" thickBot="1">
      <c r="A171" s="14"/>
      <c r="B171" s="19">
        <v>13</v>
      </c>
      <c r="C171" s="19"/>
      <c r="D171" s="120">
        <f>'Description Sheet'!B135</f>
        <v>12</v>
      </c>
      <c r="E171" s="178" t="str">
        <f>'Description Sheet'!C135</f>
        <v>Community and Recreational Facilities</v>
      </c>
      <c r="F171" s="241"/>
      <c r="G171" s="206"/>
      <c r="H171" s="235"/>
      <c r="I171" s="206"/>
      <c r="J171" s="241"/>
      <c r="K171" s="206"/>
      <c r="L171" s="235"/>
      <c r="M171" s="206"/>
      <c r="N171" s="235"/>
      <c r="O171" s="206"/>
      <c r="P171" s="235"/>
      <c r="Q171" s="206"/>
      <c r="R171" s="241"/>
      <c r="S171" s="206"/>
      <c r="T171" s="235"/>
      <c r="U171" s="206"/>
      <c r="V171" s="235"/>
      <c r="W171" s="206"/>
      <c r="X171" s="227"/>
      <c r="Y171" s="207"/>
      <c r="Z171" s="431"/>
      <c r="AA171" s="12"/>
      <c r="AB171" s="101"/>
      <c r="AC171" s="31"/>
    </row>
    <row r="172" spans="1:29" ht="18">
      <c r="A172" s="14"/>
      <c r="B172" s="19">
        <v>13</v>
      </c>
      <c r="C172" s="19">
        <v>93</v>
      </c>
      <c r="D172" s="122">
        <f>'Description Sheet'!B136</f>
        <v>12.1</v>
      </c>
      <c r="E172" s="128" t="str">
        <f>'Description Sheet'!C136</f>
        <v>Fire Equipment and Signage (Replace)</v>
      </c>
      <c r="F172" s="211" t="s">
        <v>138</v>
      </c>
      <c r="G172" s="212"/>
      <c r="H172" s="211" t="s">
        <v>138</v>
      </c>
      <c r="I172" s="212"/>
      <c r="J172" s="211" t="s">
        <v>138</v>
      </c>
      <c r="K172" s="212"/>
      <c r="L172" s="211" t="s">
        <v>138</v>
      </c>
      <c r="M172" s="212"/>
      <c r="N172" s="211" t="s">
        <v>138</v>
      </c>
      <c r="O172" s="212"/>
      <c r="P172" s="211" t="s">
        <v>138</v>
      </c>
      <c r="Q172" s="212"/>
      <c r="R172" s="211" t="s">
        <v>138</v>
      </c>
      <c r="S172" s="212"/>
      <c r="T172" s="211" t="s">
        <v>138</v>
      </c>
      <c r="U172" s="212"/>
      <c r="V172" s="211" t="s">
        <v>138</v>
      </c>
      <c r="W172" s="212"/>
      <c r="X172" s="211" t="s">
        <v>138</v>
      </c>
      <c r="Y172" s="207"/>
      <c r="Z172" s="432"/>
      <c r="AA172" s="12">
        <f>'Description Sheet'!N136</f>
        <v>3000</v>
      </c>
      <c r="AB172" s="101"/>
      <c r="AC172" s="31"/>
    </row>
    <row r="173" spans="1:29" ht="18">
      <c r="A173" s="14"/>
      <c r="B173" s="19">
        <v>13</v>
      </c>
      <c r="C173" s="19">
        <v>94</v>
      </c>
      <c r="D173" s="122">
        <f>'Description Sheet'!B137</f>
        <v>12.2</v>
      </c>
      <c r="E173" s="128" t="str">
        <f>'Description Sheet'!C137</f>
        <v>Communal Areas (Pool, Gym Areas, ablutions etc Upgrade/Replacment of Fixtures &amp; Equipment)</v>
      </c>
      <c r="F173" s="211"/>
      <c r="G173" s="212"/>
      <c r="H173" s="211"/>
      <c r="I173" s="212"/>
      <c r="J173" s="211"/>
      <c r="K173" s="212"/>
      <c r="L173" s="211"/>
      <c r="M173" s="212"/>
      <c r="N173" s="211"/>
      <c r="O173" s="212"/>
      <c r="P173" s="211"/>
      <c r="Q173" s="212"/>
      <c r="R173" s="211"/>
      <c r="S173" s="212"/>
      <c r="T173" s="211"/>
      <c r="U173" s="212"/>
      <c r="V173" s="211"/>
      <c r="W173" s="212"/>
      <c r="X173" s="211"/>
      <c r="Y173" s="207"/>
      <c r="Z173" s="432"/>
      <c r="AA173" s="12">
        <f>'Description Sheet'!N137</f>
        <v>0</v>
      </c>
      <c r="AB173" s="101"/>
      <c r="AC173" s="31"/>
    </row>
    <row r="174" spans="1:29" ht="18">
      <c r="A174" s="14"/>
      <c r="B174" s="19">
        <v>13</v>
      </c>
      <c r="C174" s="19">
        <v>95</v>
      </c>
      <c r="D174" s="122">
        <f>'Description Sheet'!B138</f>
        <v>12.3</v>
      </c>
      <c r="E174" s="128" t="str">
        <f>'Description Sheet'!C138</f>
        <v>Laundry Room (Maintain/Replace)</v>
      </c>
      <c r="F174" s="211"/>
      <c r="G174" s="212"/>
      <c r="H174" s="211"/>
      <c r="I174" s="212"/>
      <c r="J174" s="211"/>
      <c r="K174" s="212"/>
      <c r="L174" s="211"/>
      <c r="M174" s="212"/>
      <c r="N174" s="211"/>
      <c r="O174" s="212"/>
      <c r="P174" s="211"/>
      <c r="Q174" s="212"/>
      <c r="R174" s="211"/>
      <c r="S174" s="212"/>
      <c r="T174" s="211"/>
      <c r="U174" s="212"/>
      <c r="V174" s="211"/>
      <c r="W174" s="212"/>
      <c r="X174" s="211"/>
      <c r="Y174" s="207"/>
      <c r="Z174" s="432"/>
      <c r="AA174" s="12">
        <f>'Description Sheet'!N138</f>
        <v>0</v>
      </c>
      <c r="AB174" s="101"/>
      <c r="AC174" s="31"/>
    </row>
    <row r="175" spans="1:29" ht="18">
      <c r="A175" s="14"/>
      <c r="B175" s="19">
        <v>13</v>
      </c>
      <c r="C175" s="19">
        <v>96</v>
      </c>
      <c r="D175" s="122">
        <f>'Description Sheet'!B139</f>
        <v>12.4</v>
      </c>
      <c r="E175" s="128" t="str">
        <f>'Description Sheet'!C139</f>
        <v>Bin Room</v>
      </c>
      <c r="F175" s="223"/>
      <c r="G175" s="206"/>
      <c r="H175" s="223"/>
      <c r="I175" s="206"/>
      <c r="J175" s="223"/>
      <c r="K175" s="206"/>
      <c r="L175" s="223"/>
      <c r="M175" s="206"/>
      <c r="N175" s="223"/>
      <c r="O175" s="206"/>
      <c r="P175" s="223"/>
      <c r="Q175" s="206"/>
      <c r="R175" s="223"/>
      <c r="S175" s="206"/>
      <c r="T175" s="223"/>
      <c r="U175" s="206"/>
      <c r="V175" s="223"/>
      <c r="W175" s="206"/>
      <c r="X175" s="225"/>
      <c r="Y175" s="207"/>
      <c r="Z175" s="432"/>
      <c r="AA175" s="12">
        <f>'Description Sheet'!N139</f>
        <v>0</v>
      </c>
      <c r="AB175" s="101"/>
      <c r="AC175" s="31"/>
    </row>
    <row r="176" spans="1:29" ht="18">
      <c r="A176" s="14"/>
      <c r="B176" s="19">
        <v>13</v>
      </c>
      <c r="C176" s="19">
        <v>97</v>
      </c>
      <c r="D176" s="122">
        <f>'Description Sheet'!B140</f>
        <v>12.5</v>
      </c>
      <c r="E176" s="128" t="str">
        <f>'Description Sheet'!C140</f>
        <v>Pool Area (Re-Surfacing)</v>
      </c>
      <c r="F176" s="223"/>
      <c r="G176" s="206"/>
      <c r="H176" s="223"/>
      <c r="I176" s="206"/>
      <c r="J176" s="223"/>
      <c r="K176" s="206"/>
      <c r="L176" s="223"/>
      <c r="M176" s="206"/>
      <c r="N176" s="223"/>
      <c r="O176" s="206"/>
      <c r="P176" s="223"/>
      <c r="Q176" s="206"/>
      <c r="R176" s="223"/>
      <c r="S176" s="206"/>
      <c r="T176" s="223"/>
      <c r="U176" s="206"/>
      <c r="V176" s="223"/>
      <c r="W176" s="206"/>
      <c r="X176" s="225"/>
      <c r="Y176" s="207"/>
      <c r="Z176" s="432"/>
      <c r="AA176" s="12">
        <f>'Description Sheet'!N140</f>
        <v>0</v>
      </c>
      <c r="AB176" s="101"/>
      <c r="AC176" s="31"/>
    </row>
    <row r="177" spans="1:67" ht="18">
      <c r="A177" s="14"/>
      <c r="B177" s="19">
        <v>13</v>
      </c>
      <c r="C177" s="19">
        <v>98</v>
      </c>
      <c r="D177" s="122">
        <f>'Description Sheet'!B141</f>
        <v>12.6</v>
      </c>
      <c r="E177" s="128" t="str">
        <f>'Description Sheet'!C141</f>
        <v>Pool Area (Maintenance/Repairs Savings)</v>
      </c>
      <c r="F177" s="223"/>
      <c r="G177" s="206"/>
      <c r="H177" s="225"/>
      <c r="I177" s="207"/>
      <c r="J177" s="225"/>
      <c r="K177" s="207"/>
      <c r="L177" s="225"/>
      <c r="M177" s="207"/>
      <c r="N177" s="225"/>
      <c r="O177" s="207"/>
      <c r="P177" s="225"/>
      <c r="Q177" s="207"/>
      <c r="R177" s="225"/>
      <c r="S177" s="207"/>
      <c r="T177" s="225"/>
      <c r="U177" s="207"/>
      <c r="V177" s="225"/>
      <c r="W177" s="207"/>
      <c r="X177" s="225"/>
      <c r="Y177" s="207"/>
      <c r="Z177" s="432"/>
      <c r="AA177" s="12">
        <f>'Description Sheet'!N141</f>
        <v>0</v>
      </c>
      <c r="AB177" s="101"/>
      <c r="AC177" s="31"/>
    </row>
    <row r="178" spans="1:67" ht="18">
      <c r="A178" s="14"/>
      <c r="B178" s="19">
        <v>13</v>
      </c>
      <c r="C178" s="19">
        <v>99</v>
      </c>
      <c r="D178" s="122">
        <f>'Description Sheet'!B142</f>
        <v>12.7</v>
      </c>
      <c r="E178" s="128" t="str">
        <f>'Description Sheet'!C142</f>
        <v>blank</v>
      </c>
      <c r="F178" s="223"/>
      <c r="G178" s="206"/>
      <c r="H178" s="225"/>
      <c r="I178" s="207"/>
      <c r="J178" s="225"/>
      <c r="K178" s="207"/>
      <c r="L178" s="225"/>
      <c r="M178" s="207"/>
      <c r="N178" s="225"/>
      <c r="O178" s="207"/>
      <c r="P178" s="225"/>
      <c r="Q178" s="207"/>
      <c r="R178" s="225"/>
      <c r="S178" s="207"/>
      <c r="T178" s="225"/>
      <c r="U178" s="207"/>
      <c r="V178" s="225"/>
      <c r="W178" s="207"/>
      <c r="X178" s="225"/>
      <c r="Y178" s="207"/>
      <c r="Z178" s="432"/>
      <c r="AA178" s="12">
        <f>'Description Sheet'!N142</f>
        <v>0</v>
      </c>
      <c r="AB178" s="101"/>
      <c r="AC178" s="31"/>
    </row>
    <row r="179" spans="1:67" ht="18">
      <c r="A179" s="14"/>
      <c r="B179" s="19">
        <v>13</v>
      </c>
      <c r="C179" s="19">
        <v>100</v>
      </c>
      <c r="D179" s="122">
        <f>'Description Sheet'!B143</f>
        <v>12.8</v>
      </c>
      <c r="E179" s="128" t="str">
        <f>'Description Sheet'!C143</f>
        <v>blank</v>
      </c>
      <c r="F179" s="223"/>
      <c r="G179" s="206"/>
      <c r="H179" s="225"/>
      <c r="I179" s="207"/>
      <c r="J179" s="225"/>
      <c r="K179" s="207"/>
      <c r="L179" s="225"/>
      <c r="M179" s="207"/>
      <c r="N179" s="225"/>
      <c r="O179" s="207"/>
      <c r="P179" s="225"/>
      <c r="Q179" s="207"/>
      <c r="R179" s="225"/>
      <c r="S179" s="207"/>
      <c r="T179" s="225"/>
      <c r="U179" s="207"/>
      <c r="V179" s="225"/>
      <c r="W179" s="207"/>
      <c r="X179" s="225"/>
      <c r="Y179" s="207"/>
      <c r="Z179" s="432"/>
      <c r="AA179" s="12">
        <f>'Description Sheet'!N143</f>
        <v>0</v>
      </c>
      <c r="AB179" s="101"/>
      <c r="AC179" s="31"/>
    </row>
    <row r="180" spans="1:67" ht="19" thickBot="1">
      <c r="A180" s="14"/>
      <c r="B180" s="19"/>
      <c r="C180" s="19"/>
      <c r="D180" s="122"/>
      <c r="E180" s="214"/>
      <c r="F180" s="223"/>
      <c r="G180" s="206"/>
      <c r="H180" s="225"/>
      <c r="I180" s="207"/>
      <c r="J180" s="225"/>
      <c r="K180" s="207"/>
      <c r="L180" s="225"/>
      <c r="M180" s="207"/>
      <c r="N180" s="225"/>
      <c r="O180" s="207"/>
      <c r="P180" s="225"/>
      <c r="Q180" s="207"/>
      <c r="R180" s="225"/>
      <c r="S180" s="207"/>
      <c r="T180" s="225"/>
      <c r="U180" s="207"/>
      <c r="V180" s="225"/>
      <c r="W180" s="207"/>
      <c r="X180" s="223"/>
      <c r="Y180" s="207"/>
      <c r="Z180" s="431"/>
      <c r="AA180" s="12"/>
      <c r="AB180" s="101"/>
      <c r="AC180" s="31"/>
    </row>
    <row r="181" spans="1:67" s="393" customFormat="1" ht="20" thickBot="1">
      <c r="A181" s="385" t="s">
        <v>64</v>
      </c>
      <c r="B181" s="385"/>
      <c r="C181" s="385"/>
      <c r="D181" s="386"/>
      <c r="E181" s="387" t="s">
        <v>31</v>
      </c>
      <c r="F181" s="388">
        <v>0</v>
      </c>
      <c r="G181" s="389"/>
      <c r="H181" s="390"/>
      <c r="I181" s="390"/>
      <c r="J181" s="390"/>
      <c r="K181" s="390"/>
      <c r="L181" s="390"/>
      <c r="M181" s="390"/>
      <c r="N181" s="390"/>
      <c r="O181" s="390"/>
      <c r="P181" s="390"/>
      <c r="Q181" s="390"/>
      <c r="R181" s="390"/>
      <c r="S181" s="390"/>
      <c r="T181" s="390"/>
      <c r="U181" s="390"/>
      <c r="V181" s="390"/>
      <c r="W181" s="390"/>
      <c r="X181" s="390"/>
      <c r="Y181" s="389"/>
      <c r="Z181" s="434"/>
      <c r="AA181" s="391"/>
      <c r="AB181" s="392"/>
      <c r="AC181" s="392"/>
    </row>
    <row r="182" spans="1:67" ht="18">
      <c r="A182" s="14" t="s">
        <v>65</v>
      </c>
      <c r="B182" s="19"/>
      <c r="C182" s="19"/>
      <c r="D182" s="122"/>
      <c r="E182" s="128" t="s">
        <v>43</v>
      </c>
      <c r="F182" s="129">
        <f>'Year (2021-2022)'!H146</f>
        <v>3000</v>
      </c>
      <c r="G182" s="206"/>
      <c r="H182" s="129">
        <f>'Year (2022-2023)'!H146</f>
        <v>3240</v>
      </c>
      <c r="I182" s="129" t="e">
        <v>#REF!</v>
      </c>
      <c r="J182" s="129">
        <f>'Year (2023-2024)'!H146</f>
        <v>3499.2000000000003</v>
      </c>
      <c r="K182" s="206"/>
      <c r="L182" s="129">
        <f>'Year (2024-2025)'!H146</f>
        <v>3779.1360000000004</v>
      </c>
      <c r="M182" s="206"/>
      <c r="N182" s="129">
        <f>'Year (2025-2026)'!H146</f>
        <v>4081.4668800000009</v>
      </c>
      <c r="O182" s="206"/>
      <c r="P182" s="129">
        <f>'Year (2026-2027)'!H146</f>
        <v>4407.9842304000013</v>
      </c>
      <c r="Q182" s="206"/>
      <c r="R182" s="129">
        <f>'Year (2027-2028)'!H146</f>
        <v>4760.6229688320018</v>
      </c>
      <c r="S182" s="206"/>
      <c r="T182" s="129">
        <f>'Year (2028-2029)'!H146</f>
        <v>5141.4728063385619</v>
      </c>
      <c r="U182" s="206"/>
      <c r="V182" s="129">
        <f>'Year (2029-2030)'!H146</f>
        <v>5552.7906308456468</v>
      </c>
      <c r="W182" s="206"/>
      <c r="X182" s="129">
        <f>'Year (2030-2031)'!H146</f>
        <v>5997.013881313299</v>
      </c>
      <c r="Y182" s="207"/>
      <c r="Z182" s="431"/>
      <c r="AA182" s="12"/>
      <c r="AB182" s="101"/>
      <c r="AC182" s="31"/>
    </row>
    <row r="183" spans="1:67" s="393" customFormat="1" ht="18">
      <c r="A183" s="385" t="s">
        <v>66</v>
      </c>
      <c r="B183" s="385"/>
      <c r="C183" s="385"/>
      <c r="D183" s="394"/>
      <c r="E183" s="395" t="s">
        <v>48</v>
      </c>
      <c r="F183" s="396">
        <v>0</v>
      </c>
      <c r="G183" s="397"/>
      <c r="H183" s="396">
        <v>0</v>
      </c>
      <c r="I183" s="397"/>
      <c r="J183" s="396">
        <v>0</v>
      </c>
      <c r="K183" s="397"/>
      <c r="L183" s="396">
        <v>0</v>
      </c>
      <c r="M183" s="397"/>
      <c r="N183" s="396">
        <v>0</v>
      </c>
      <c r="O183" s="397"/>
      <c r="P183" s="396">
        <v>0</v>
      </c>
      <c r="Q183" s="397"/>
      <c r="R183" s="396">
        <v>0</v>
      </c>
      <c r="S183" s="397"/>
      <c r="T183" s="396">
        <v>0</v>
      </c>
      <c r="U183" s="397"/>
      <c r="V183" s="396">
        <v>0</v>
      </c>
      <c r="W183" s="397"/>
      <c r="X183" s="396">
        <v>0</v>
      </c>
      <c r="Y183" s="398"/>
      <c r="Z183" s="434"/>
      <c r="AA183" s="391"/>
      <c r="AB183" s="392"/>
      <c r="AC183" s="392"/>
    </row>
    <row r="184" spans="1:67" ht="20" thickBot="1">
      <c r="A184" s="14"/>
      <c r="B184" s="15"/>
      <c r="C184" s="15"/>
      <c r="D184" s="134"/>
      <c r="E184" s="242"/>
      <c r="F184" s="243"/>
      <c r="G184" s="206"/>
      <c r="H184" s="244"/>
      <c r="I184" s="206"/>
      <c r="J184" s="244"/>
      <c r="K184" s="206"/>
      <c r="L184" s="244"/>
      <c r="M184" s="206"/>
      <c r="N184" s="244"/>
      <c r="O184" s="206"/>
      <c r="P184" s="244"/>
      <c r="Q184" s="206"/>
      <c r="R184" s="244"/>
      <c r="S184" s="206"/>
      <c r="T184" s="244"/>
      <c r="U184" s="206"/>
      <c r="V184" s="244"/>
      <c r="W184" s="206"/>
      <c r="X184" s="245"/>
      <c r="Y184" s="207"/>
      <c r="Z184" s="431"/>
      <c r="AA184" s="12"/>
      <c r="AB184" s="101"/>
      <c r="AC184" s="31"/>
    </row>
    <row r="185" spans="1:67" ht="5.25" customHeight="1" thickBot="1">
      <c r="A185" s="14" t="s">
        <v>57</v>
      </c>
      <c r="B185" s="15"/>
      <c r="C185" s="15"/>
      <c r="D185" s="135"/>
      <c r="E185" s="246"/>
      <c r="F185" s="247"/>
      <c r="G185" s="206"/>
      <c r="H185" s="248"/>
      <c r="I185" s="206"/>
      <c r="J185" s="248"/>
      <c r="K185" s="206"/>
      <c r="L185" s="248"/>
      <c r="M185" s="206"/>
      <c r="N185" s="248"/>
      <c r="O185" s="206"/>
      <c r="P185" s="248"/>
      <c r="Q185" s="206"/>
      <c r="R185" s="248"/>
      <c r="S185" s="206"/>
      <c r="T185" s="248"/>
      <c r="U185" s="206"/>
      <c r="V185" s="248"/>
      <c r="W185" s="206"/>
      <c r="X185" s="248"/>
      <c r="Y185" s="207"/>
      <c r="Z185" s="431"/>
      <c r="AA185" s="12"/>
      <c r="AB185" s="101"/>
      <c r="AC185" s="31"/>
    </row>
    <row r="186" spans="1:67" ht="20" thickBot="1">
      <c r="A186" s="14"/>
      <c r="B186" s="15"/>
      <c r="C186" s="15"/>
      <c r="D186" s="183"/>
      <c r="E186" s="175" t="s">
        <v>44</v>
      </c>
      <c r="F186" s="187">
        <f>'Year (2021-2022)'!H148</f>
        <v>2213142.5</v>
      </c>
      <c r="G186" s="249"/>
      <c r="H186" s="188">
        <f>'Year (2022-2023)'!H148</f>
        <v>56968.92</v>
      </c>
      <c r="I186" s="249"/>
      <c r="J186" s="188">
        <f>'Year (2023-2024)'!H148</f>
        <v>129381.75360000001</v>
      </c>
      <c r="K186" s="249"/>
      <c r="L186" s="188">
        <f>'Year (2024-2025)'!H148</f>
        <v>66448.54828800002</v>
      </c>
      <c r="M186" s="249"/>
      <c r="N186" s="188">
        <f>'Year (2025-2026)'!H148</f>
        <v>137693.72715264003</v>
      </c>
      <c r="O186" s="249"/>
      <c r="P186" s="188">
        <f>'Year (2026-2027)'!H148</f>
        <v>162983.74759096323</v>
      </c>
      <c r="Q186" s="249"/>
      <c r="R186" s="188">
        <f>'Year (2027-2028)'!H148</f>
        <v>83706.033660973088</v>
      </c>
      <c r="S186" s="249"/>
      <c r="T186" s="188">
        <f>'Year (2028-2029)'!H148</f>
        <v>90402.516353850922</v>
      </c>
      <c r="U186" s="249"/>
      <c r="V186" s="188">
        <f>'Year (2029-2030)'!H148</f>
        <v>295008.66063556756</v>
      </c>
      <c r="W186" s="249"/>
      <c r="X186" s="188">
        <f>'Year (2030-2031)'!H148</f>
        <v>3790108.3751798254</v>
      </c>
      <c r="Y186" s="207"/>
      <c r="Z186" s="431"/>
      <c r="AA186" s="12"/>
      <c r="AB186" s="101"/>
      <c r="AC186" s="31"/>
    </row>
    <row r="187" spans="1:67" ht="20" thickBot="1">
      <c r="A187" s="14"/>
      <c r="B187" s="31"/>
      <c r="C187" s="31"/>
      <c r="D187" s="119"/>
      <c r="E187" s="251"/>
      <c r="F187" s="251"/>
      <c r="G187" s="204"/>
      <c r="H187" s="251"/>
      <c r="I187" s="206"/>
      <c r="J187" s="251"/>
      <c r="K187" s="251"/>
      <c r="L187" s="251"/>
      <c r="M187" s="251"/>
      <c r="N187" s="251"/>
      <c r="O187" s="251"/>
      <c r="P187" s="251"/>
      <c r="Q187" s="251"/>
      <c r="R187" s="253"/>
      <c r="S187" s="253"/>
      <c r="T187" s="253"/>
      <c r="U187" s="253"/>
      <c r="V187" s="253"/>
      <c r="W187" s="251"/>
      <c r="X187" s="251"/>
      <c r="Y187" s="251"/>
      <c r="Z187" s="45"/>
      <c r="AA187" s="46"/>
      <c r="AB187" s="31"/>
      <c r="AC187" s="31"/>
    </row>
    <row r="188" spans="1:67" ht="20" thickBot="1">
      <c r="A188" s="102" t="s">
        <v>63</v>
      </c>
      <c r="B188" s="31"/>
      <c r="C188" s="31"/>
      <c r="D188" s="119"/>
      <c r="E188" s="136" t="s">
        <v>132</v>
      </c>
      <c r="F188" s="470">
        <f>'Maintenance Schedule View'!F196</f>
        <v>0.08</v>
      </c>
      <c r="G188" s="471"/>
      <c r="H188" s="472"/>
      <c r="I188" s="206"/>
      <c r="J188" s="251"/>
      <c r="K188" s="251"/>
      <c r="L188" s="251"/>
      <c r="M188" s="251"/>
      <c r="N188" s="251"/>
      <c r="O188" s="253"/>
      <c r="P188" s="253"/>
      <c r="Q188" s="253"/>
      <c r="R188" s="253"/>
      <c r="S188" s="253"/>
      <c r="T188" s="251"/>
      <c r="U188" s="251"/>
      <c r="V188" s="251"/>
      <c r="W188" s="254"/>
      <c r="X188" s="255"/>
      <c r="Y188" s="256"/>
      <c r="Z188" s="31"/>
      <c r="AA188" s="31"/>
      <c r="AB188" s="31"/>
      <c r="AC188" s="31"/>
      <c r="BM188" s="7"/>
      <c r="BN188" s="7"/>
      <c r="BO188" s="7"/>
    </row>
    <row r="189" spans="1:67" ht="16" thickBot="1">
      <c r="A189" s="14"/>
      <c r="B189" s="31"/>
      <c r="C189" s="31"/>
      <c r="D189" s="16"/>
      <c r="E189" s="47"/>
      <c r="F189" s="48"/>
      <c r="G189" s="48"/>
      <c r="H189" s="48"/>
      <c r="I189" s="257"/>
      <c r="J189" s="258"/>
      <c r="K189" s="258"/>
      <c r="L189" s="258"/>
      <c r="M189" s="258"/>
      <c r="N189" s="258"/>
      <c r="O189" s="258"/>
      <c r="P189" s="258"/>
      <c r="Q189" s="258"/>
      <c r="R189" s="258"/>
      <c r="S189" s="258"/>
      <c r="T189" s="258"/>
      <c r="U189" s="258"/>
      <c r="V189" s="258"/>
      <c r="W189" s="258"/>
      <c r="X189" s="258"/>
      <c r="Y189" s="259"/>
      <c r="Z189" s="46"/>
      <c r="AA189" s="31"/>
      <c r="AB189" s="31"/>
      <c r="AC189" s="31"/>
      <c r="BO189" s="7"/>
    </row>
    <row r="190" spans="1:67" ht="16.5" customHeight="1">
      <c r="A190" s="14"/>
      <c r="B190" s="31"/>
      <c r="C190" s="31"/>
      <c r="D190" s="450" t="str">
        <f>'Description Sheet'!B148</f>
        <v>Please Note: The above figures are estimates only based on our experience, measures taken and current rates.  An 8% escalation has been allowed for per anum .  This pricing includes 15% VAT.  Some rates have furthermore been adjusted to try and accommodate P&amp;G's.  An allowance for THC to undertake an annual inspection in order to update the maintenance plan and budget should be allowed for.</v>
      </c>
      <c r="E190" s="451"/>
      <c r="F190" s="451"/>
      <c r="G190" s="451"/>
      <c r="H190" s="452"/>
      <c r="I190" s="260"/>
      <c r="J190" s="258"/>
      <c r="K190" s="258"/>
      <c r="L190" s="258"/>
      <c r="M190" s="258"/>
      <c r="N190" s="258"/>
      <c r="O190" s="258"/>
      <c r="P190" s="258"/>
      <c r="Q190" s="258"/>
      <c r="R190" s="258"/>
      <c r="S190" s="258"/>
      <c r="T190" s="258"/>
      <c r="U190" s="258"/>
      <c r="V190" s="258"/>
      <c r="W190" s="258"/>
      <c r="X190" s="258"/>
      <c r="Y190" s="259"/>
      <c r="Z190" s="46"/>
      <c r="AA190" s="31"/>
      <c r="AB190" s="31"/>
      <c r="AC190" s="31"/>
      <c r="BO190" s="7"/>
    </row>
    <row r="191" spans="1:67" ht="16.5" customHeight="1">
      <c r="A191" s="14"/>
      <c r="B191" s="31"/>
      <c r="C191" s="31"/>
      <c r="D191" s="453"/>
      <c r="E191" s="454"/>
      <c r="F191" s="454"/>
      <c r="G191" s="454"/>
      <c r="H191" s="455"/>
      <c r="I191" s="260"/>
      <c r="J191" s="258"/>
      <c r="K191" s="258"/>
      <c r="L191" s="258"/>
      <c r="M191" s="258"/>
      <c r="N191" s="258"/>
      <c r="O191" s="258"/>
      <c r="P191" s="258"/>
      <c r="Q191" s="258"/>
      <c r="R191" s="258"/>
      <c r="S191" s="258"/>
      <c r="T191" s="258"/>
      <c r="U191" s="258"/>
      <c r="V191" s="258"/>
      <c r="W191" s="258"/>
      <c r="X191" s="258"/>
      <c r="Y191" s="259"/>
      <c r="Z191" s="46"/>
      <c r="AA191" s="31"/>
      <c r="AB191" s="31"/>
      <c r="AC191" s="31"/>
      <c r="BO191" s="7"/>
    </row>
    <row r="192" spans="1:67" ht="16.5" customHeight="1">
      <c r="A192" s="14"/>
      <c r="B192" s="31"/>
      <c r="C192" s="31"/>
      <c r="D192" s="453"/>
      <c r="E192" s="454"/>
      <c r="F192" s="454"/>
      <c r="G192" s="454"/>
      <c r="H192" s="455"/>
      <c r="I192" s="260"/>
      <c r="J192" s="258"/>
      <c r="K192" s="258"/>
      <c r="L192" s="258"/>
      <c r="M192" s="258"/>
      <c r="N192" s="258"/>
      <c r="O192" s="258"/>
      <c r="P192" s="258"/>
      <c r="Q192" s="258"/>
      <c r="R192" s="258"/>
      <c r="S192" s="258"/>
      <c r="T192" s="258"/>
      <c r="U192" s="258"/>
      <c r="V192" s="258"/>
      <c r="W192" s="258"/>
      <c r="X192" s="258"/>
      <c r="Y192" s="259"/>
      <c r="Z192" s="46"/>
      <c r="AA192" s="31"/>
      <c r="AB192" s="31"/>
      <c r="AC192" s="31"/>
      <c r="BO192" s="7"/>
    </row>
    <row r="193" spans="1:67" ht="15" customHeight="1">
      <c r="A193" s="14"/>
      <c r="B193" s="31"/>
      <c r="C193" s="31"/>
      <c r="D193" s="453"/>
      <c r="E193" s="454"/>
      <c r="F193" s="454"/>
      <c r="G193" s="454"/>
      <c r="H193" s="455"/>
      <c r="I193" s="260"/>
      <c r="J193" s="258"/>
      <c r="K193" s="258"/>
      <c r="L193" s="258"/>
      <c r="M193" s="258"/>
      <c r="N193" s="258"/>
      <c r="O193" s="258"/>
      <c r="P193" s="258"/>
      <c r="Q193" s="258"/>
      <c r="R193" s="258"/>
      <c r="S193" s="258"/>
      <c r="T193" s="258"/>
      <c r="U193" s="258"/>
      <c r="V193" s="258"/>
      <c r="W193" s="258"/>
      <c r="X193" s="258"/>
      <c r="Y193" s="259"/>
      <c r="Z193" s="46"/>
      <c r="AA193" s="31"/>
      <c r="AB193" s="31"/>
      <c r="AC193" s="31"/>
      <c r="BO193" s="7"/>
    </row>
    <row r="194" spans="1:67" ht="15" customHeight="1">
      <c r="A194" s="14"/>
      <c r="B194" s="31"/>
      <c r="C194" s="31"/>
      <c r="D194" s="453"/>
      <c r="E194" s="454"/>
      <c r="F194" s="454"/>
      <c r="G194" s="454"/>
      <c r="H194" s="455"/>
      <c r="I194" s="260"/>
      <c r="J194" s="258"/>
      <c r="K194" s="258"/>
      <c r="L194" s="258"/>
      <c r="M194" s="258"/>
      <c r="N194" s="258"/>
      <c r="O194" s="258"/>
      <c r="P194" s="258"/>
      <c r="Q194" s="258"/>
      <c r="R194" s="258"/>
      <c r="S194" s="258"/>
      <c r="T194" s="258"/>
      <c r="U194" s="258"/>
      <c r="V194" s="258"/>
      <c r="W194" s="258"/>
      <c r="X194" s="258"/>
      <c r="Y194" s="258"/>
      <c r="Z194" s="45"/>
      <c r="AA194" s="46"/>
      <c r="AB194" s="31"/>
      <c r="AC194" s="31"/>
    </row>
    <row r="195" spans="1:67" ht="16" thickBot="1">
      <c r="A195" s="14"/>
      <c r="B195" s="31"/>
      <c r="C195" s="31"/>
      <c r="D195" s="456"/>
      <c r="E195" s="457"/>
      <c r="F195" s="457"/>
      <c r="G195" s="457"/>
      <c r="H195" s="458"/>
      <c r="I195" s="260"/>
      <c r="J195" s="258"/>
      <c r="K195" s="258"/>
      <c r="L195" s="258"/>
      <c r="M195" s="258"/>
      <c r="N195" s="258"/>
      <c r="O195" s="258"/>
      <c r="P195" s="258"/>
      <c r="Q195" s="258"/>
      <c r="R195" s="258"/>
      <c r="S195" s="258"/>
      <c r="T195" s="258"/>
      <c r="U195" s="258"/>
      <c r="V195" s="258"/>
      <c r="W195" s="258"/>
      <c r="X195" s="258"/>
      <c r="Y195" s="258"/>
      <c r="Z195" s="45"/>
      <c r="AA195" s="46"/>
      <c r="AB195" s="31"/>
      <c r="AC195" s="31"/>
    </row>
    <row r="196" spans="1:67" s="98" customFormat="1">
      <c r="A196" s="101"/>
      <c r="B196" s="31"/>
      <c r="C196" s="31"/>
      <c r="D196" s="449" t="s">
        <v>56</v>
      </c>
      <c r="E196" s="449"/>
      <c r="F196" s="261" t="str">
        <f>A1</f>
        <v>v18.2</v>
      </c>
      <c r="G196" s="258"/>
      <c r="H196" s="258"/>
      <c r="I196" s="258"/>
      <c r="J196" s="258"/>
      <c r="K196" s="258"/>
      <c r="L196" s="258"/>
      <c r="M196" s="258"/>
      <c r="N196" s="258"/>
      <c r="O196" s="258"/>
      <c r="P196" s="258"/>
      <c r="Q196" s="258"/>
      <c r="R196" s="258"/>
      <c r="S196" s="258"/>
      <c r="T196" s="258"/>
      <c r="U196" s="258"/>
      <c r="V196" s="258"/>
      <c r="W196" s="258"/>
      <c r="X196" s="258"/>
      <c r="Y196" s="258"/>
      <c r="Z196" s="45"/>
      <c r="AA196" s="46"/>
      <c r="AB196" s="31"/>
      <c r="AC196" s="31"/>
      <c r="AD196" s="99"/>
      <c r="AE196" s="99"/>
      <c r="AF196" s="99"/>
      <c r="AG196" s="99"/>
      <c r="AH196" s="99"/>
      <c r="AI196" s="99"/>
      <c r="AJ196" s="99"/>
      <c r="AK196" s="99"/>
      <c r="AL196" s="99"/>
      <c r="AM196" s="99"/>
      <c r="AN196" s="99"/>
      <c r="AO196" s="99"/>
      <c r="AP196" s="99"/>
      <c r="AQ196" s="99"/>
      <c r="AR196" s="99"/>
      <c r="AS196" s="99"/>
      <c r="AT196" s="99"/>
      <c r="AU196" s="99"/>
      <c r="AV196" s="99"/>
      <c r="AW196" s="99"/>
      <c r="AX196" s="99"/>
      <c r="AY196" s="99"/>
      <c r="AZ196" s="99"/>
      <c r="BA196" s="99"/>
      <c r="BB196" s="99"/>
      <c r="BC196" s="99"/>
      <c r="BD196" s="99"/>
      <c r="BE196" s="99"/>
      <c r="BF196" s="99"/>
      <c r="BG196" s="99"/>
      <c r="BH196" s="99"/>
      <c r="BI196" s="99"/>
      <c r="BJ196" s="99"/>
      <c r="BK196" s="99"/>
      <c r="BL196" s="99"/>
      <c r="BM196" s="99"/>
      <c r="BN196" s="99"/>
      <c r="BO196" s="99"/>
    </row>
    <row r="197" spans="1:67">
      <c r="A197" s="101"/>
      <c r="B197" s="31"/>
      <c r="C197" s="31"/>
      <c r="D197" s="90"/>
      <c r="E197" s="258"/>
      <c r="F197" s="258"/>
      <c r="G197" s="258"/>
      <c r="H197" s="258"/>
      <c r="I197" s="258"/>
      <c r="J197" s="258"/>
      <c r="K197" s="258"/>
      <c r="L197" s="258"/>
      <c r="M197" s="258"/>
      <c r="N197" s="258"/>
      <c r="O197" s="258"/>
      <c r="P197" s="258"/>
      <c r="Q197" s="258"/>
      <c r="R197" s="258"/>
      <c r="S197" s="258"/>
      <c r="T197" s="258"/>
      <c r="U197" s="258"/>
      <c r="V197" s="258"/>
      <c r="W197" s="258"/>
      <c r="X197" s="258"/>
      <c r="Y197" s="258"/>
      <c r="Z197" s="45"/>
      <c r="AA197" s="46"/>
      <c r="AB197" s="31"/>
      <c r="AC197" s="31"/>
    </row>
  </sheetData>
  <sheetProtection algorithmName="SHA-512" hashValue="6k0bBdqe82XESs1trRy4qe5FHiNb/1accgXznj64JhMtsj94T7X06qMWcaSbfaGA47PZAWxwP/kDzRKK16Jwiw==" saltValue="UTScHJ5wBYRUFqIEW2CkyA==" spinCount="100000" sheet="1" objects="1" scenarios="1"/>
  <mergeCells count="9">
    <mergeCell ref="D196:E196"/>
    <mergeCell ref="D190:H195"/>
    <mergeCell ref="AA3:AA5"/>
    <mergeCell ref="D3:Y3"/>
    <mergeCell ref="D1:J2"/>
    <mergeCell ref="F5:X5"/>
    <mergeCell ref="F188:H188"/>
    <mergeCell ref="L1:V2"/>
    <mergeCell ref="Z3:Z5"/>
  </mergeCells>
  <pageMargins left="0.70866141732283472" right="0.70866141732283472" top="0.74803149606299213" bottom="0.74803149606299213" header="0.31496062992125984" footer="0.31496062992125984"/>
  <pageSetup scale="15" orientation="landscape" r:id="rId1"/>
  <rowBreaks count="2" manualBreakCount="2">
    <brk id="62" max="24" man="1"/>
    <brk id="127" max="24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FF00"/>
    <pageSetUpPr fitToPage="1"/>
  </sheetPr>
  <dimension ref="A1:U150"/>
  <sheetViews>
    <sheetView view="pageBreakPreview" zoomScale="85" zoomScaleNormal="70" zoomScaleSheetLayoutView="85" workbookViewId="0">
      <pane xSplit="14" ySplit="5" topLeftCell="O57" activePane="bottomRight" state="frozen"/>
      <selection pane="topRight"/>
      <selection pane="bottomLeft"/>
      <selection pane="bottomRight" activeCell="C60" sqref="C60"/>
    </sheetView>
  </sheetViews>
  <sheetFormatPr baseColWidth="10" defaultColWidth="8.83203125" defaultRowHeight="15"/>
  <cols>
    <col min="1" max="1" width="2.33203125" customWidth="1"/>
    <col min="2" max="2" width="6.5" style="5" customWidth="1"/>
    <col min="3" max="3" width="67.6640625" bestFit="1" customWidth="1"/>
    <col min="5" max="5" width="11.1640625" customWidth="1"/>
    <col min="6" max="6" width="12.83203125" bestFit="1" customWidth="1"/>
    <col min="7" max="7" width="15" customWidth="1"/>
    <col min="8" max="8" width="2.5" customWidth="1"/>
    <col min="10" max="10" width="2.33203125" customWidth="1"/>
    <col min="11" max="11" width="6.5" customWidth="1"/>
    <col min="12" max="12" width="11.33203125" customWidth="1"/>
    <col min="13" max="13" width="15.6640625" bestFit="1" customWidth="1"/>
    <col min="14" max="14" width="17.5" bestFit="1" customWidth="1"/>
    <col min="15" max="15" width="4.1640625" customWidth="1"/>
    <col min="16" max="16" width="13.6640625" bestFit="1" customWidth="1"/>
  </cols>
  <sheetData>
    <row r="1" spans="1:21" ht="15" customHeight="1">
      <c r="A1" s="34"/>
      <c r="B1" s="462" t="s">
        <v>147</v>
      </c>
      <c r="C1" s="463"/>
      <c r="D1" s="463"/>
      <c r="E1" s="464"/>
      <c r="F1" s="49"/>
      <c r="G1" s="49"/>
      <c r="H1" s="32"/>
      <c r="I1" s="44"/>
      <c r="J1" s="33"/>
      <c r="K1" s="499" t="s">
        <v>22</v>
      </c>
      <c r="L1" s="500"/>
      <c r="M1" s="500"/>
      <c r="N1" s="501"/>
      <c r="O1" s="34"/>
    </row>
    <row r="2" spans="1:21" ht="57.75" customHeight="1" thickBot="1">
      <c r="A2" s="38"/>
      <c r="B2" s="492"/>
      <c r="C2" s="493"/>
      <c r="D2" s="493"/>
      <c r="E2" s="494"/>
      <c r="F2" s="50"/>
      <c r="G2" s="50"/>
      <c r="H2" s="32"/>
      <c r="I2" s="44"/>
      <c r="J2" s="33"/>
      <c r="K2" s="502"/>
      <c r="L2" s="503"/>
      <c r="M2" s="503"/>
      <c r="N2" s="504"/>
      <c r="O2" s="14"/>
    </row>
    <row r="3" spans="1:21" ht="27" customHeight="1" thickBot="1">
      <c r="A3" s="14"/>
      <c r="B3" s="495" t="s">
        <v>1</v>
      </c>
      <c r="C3" s="496"/>
      <c r="D3" s="496"/>
      <c r="E3" s="496"/>
      <c r="F3" s="496"/>
      <c r="G3" s="496"/>
      <c r="H3" s="32"/>
      <c r="I3" s="44"/>
      <c r="J3" s="33"/>
      <c r="K3" s="51" t="s">
        <v>26</v>
      </c>
      <c r="L3" s="51"/>
      <c r="M3" s="51"/>
      <c r="N3" s="52"/>
      <c r="O3" s="14"/>
    </row>
    <row r="4" spans="1:21" ht="23.25" customHeight="1" thickBot="1">
      <c r="A4" s="14"/>
      <c r="B4" s="16"/>
      <c r="C4" s="17" t="s">
        <v>123</v>
      </c>
      <c r="D4" s="497" t="s">
        <v>40</v>
      </c>
      <c r="E4" s="498"/>
      <c r="F4" s="498"/>
      <c r="G4" s="498"/>
      <c r="H4" s="32"/>
      <c r="I4" s="44"/>
      <c r="J4" s="33"/>
      <c r="K4" s="498" t="s">
        <v>53</v>
      </c>
      <c r="L4" s="498"/>
      <c r="M4" s="512">
        <f>'Maintenance Schedule View'!F196</f>
        <v>0.08</v>
      </c>
      <c r="N4" s="513"/>
      <c r="O4" s="14"/>
    </row>
    <row r="5" spans="1:21" ht="23.25" customHeight="1" thickBot="1">
      <c r="A5" s="14"/>
      <c r="B5" s="20" t="s">
        <v>19</v>
      </c>
      <c r="C5" s="55" t="s">
        <v>0</v>
      </c>
      <c r="D5" s="56" t="s">
        <v>2</v>
      </c>
      <c r="E5" s="57" t="s">
        <v>3</v>
      </c>
      <c r="F5" s="57" t="s">
        <v>4</v>
      </c>
      <c r="G5" s="57" t="s">
        <v>5</v>
      </c>
      <c r="H5" s="32"/>
      <c r="I5" s="58"/>
      <c r="J5" s="33"/>
      <c r="K5" s="59" t="s">
        <v>2</v>
      </c>
      <c r="L5" s="59" t="s">
        <v>3</v>
      </c>
      <c r="M5" s="59" t="s">
        <v>4</v>
      </c>
      <c r="N5" s="59" t="s">
        <v>5</v>
      </c>
      <c r="O5" s="14"/>
    </row>
    <row r="6" spans="1:21" ht="16" thickBot="1">
      <c r="A6" s="14"/>
      <c r="B6" s="21"/>
      <c r="C6" s="22"/>
      <c r="D6" s="489"/>
      <c r="E6" s="490"/>
      <c r="F6" s="490"/>
      <c r="G6" s="491"/>
      <c r="H6" s="32"/>
      <c r="I6" s="44"/>
      <c r="J6" s="60"/>
      <c r="K6" s="505"/>
      <c r="L6" s="506"/>
      <c r="M6" s="506"/>
      <c r="N6" s="507"/>
      <c r="O6" s="14"/>
      <c r="U6" s="92"/>
    </row>
    <row r="7" spans="1:21" ht="16" thickBot="1">
      <c r="A7" s="14"/>
      <c r="B7" s="20">
        <v>1</v>
      </c>
      <c r="C7" s="23" t="s">
        <v>10</v>
      </c>
      <c r="D7" s="61"/>
      <c r="E7" s="61"/>
      <c r="F7" s="61"/>
      <c r="G7" s="62"/>
      <c r="H7" s="32"/>
      <c r="I7" s="44"/>
      <c r="J7" s="33"/>
      <c r="K7" s="24"/>
      <c r="L7" s="25"/>
      <c r="M7" s="25"/>
      <c r="N7" s="63"/>
      <c r="O7" s="14"/>
    </row>
    <row r="8" spans="1:21">
      <c r="A8" s="14"/>
      <c r="B8" s="21">
        <v>1.1000000000000001</v>
      </c>
      <c r="C8" s="273" t="s">
        <v>78</v>
      </c>
      <c r="D8" s="267"/>
      <c r="E8" s="268"/>
      <c r="F8" s="269"/>
      <c r="G8" s="269"/>
      <c r="H8" s="265"/>
      <c r="I8" s="266"/>
      <c r="J8" s="265"/>
      <c r="K8" s="270" t="s">
        <v>19</v>
      </c>
      <c r="L8" s="381">
        <v>1</v>
      </c>
      <c r="M8" s="272">
        <v>4500</v>
      </c>
      <c r="N8" s="69">
        <f>L8*M8</f>
        <v>4500</v>
      </c>
      <c r="O8" s="14"/>
      <c r="P8" s="383">
        <f>M8*1.08</f>
        <v>4860</v>
      </c>
    </row>
    <row r="9" spans="1:21">
      <c r="A9" s="14"/>
      <c r="B9" s="21">
        <v>1.2</v>
      </c>
      <c r="C9" s="274" t="s">
        <v>113</v>
      </c>
      <c r="D9" s="267"/>
      <c r="E9" s="267"/>
      <c r="F9" s="269"/>
      <c r="G9" s="269"/>
      <c r="H9" s="265"/>
      <c r="I9" s="266"/>
      <c r="J9" s="265"/>
      <c r="K9" s="271" t="s">
        <v>19</v>
      </c>
      <c r="L9" s="381">
        <v>0</v>
      </c>
      <c r="M9" s="272">
        <v>4706</v>
      </c>
      <c r="N9" s="69">
        <f>L9*M9</f>
        <v>0</v>
      </c>
      <c r="O9" s="14"/>
      <c r="P9" s="383">
        <f t="shared" ref="P9:P72" si="0">M9*1.08</f>
        <v>5082.4800000000005</v>
      </c>
    </row>
    <row r="10" spans="1:21">
      <c r="A10" s="14"/>
      <c r="B10" s="21">
        <v>1.3</v>
      </c>
      <c r="C10" s="274" t="s">
        <v>88</v>
      </c>
      <c r="D10" s="267"/>
      <c r="E10" s="267"/>
      <c r="F10" s="269"/>
      <c r="G10" s="269"/>
      <c r="H10" s="265"/>
      <c r="I10" s="266"/>
      <c r="J10" s="265"/>
      <c r="K10" s="271" t="s">
        <v>19</v>
      </c>
      <c r="L10" s="381">
        <v>1</v>
      </c>
      <c r="M10" s="272">
        <v>2941</v>
      </c>
      <c r="N10" s="69">
        <f>L10*M10</f>
        <v>2941</v>
      </c>
      <c r="O10" s="14"/>
      <c r="P10" s="383">
        <f t="shared" si="0"/>
        <v>3176.28</v>
      </c>
    </row>
    <row r="11" spans="1:21">
      <c r="A11" s="14"/>
      <c r="B11" s="21">
        <v>1.4</v>
      </c>
      <c r="C11" s="264" t="s">
        <v>77</v>
      </c>
      <c r="D11" s="267"/>
      <c r="E11" s="267"/>
      <c r="F11" s="269"/>
      <c r="G11" s="269"/>
      <c r="H11" s="265"/>
      <c r="I11" s="266"/>
      <c r="J11" s="265"/>
      <c r="K11" s="271" t="s">
        <v>19</v>
      </c>
      <c r="L11" s="271">
        <v>0</v>
      </c>
      <c r="M11" s="272">
        <v>28296</v>
      </c>
      <c r="N11" s="69">
        <f t="shared" ref="N11:N13" si="1">L11*M11</f>
        <v>0</v>
      </c>
      <c r="O11" s="14"/>
      <c r="P11" s="383">
        <f t="shared" si="0"/>
        <v>30559.68</v>
      </c>
    </row>
    <row r="12" spans="1:21">
      <c r="A12" s="14"/>
      <c r="B12" s="21">
        <v>1.5</v>
      </c>
      <c r="C12" s="26" t="s">
        <v>68</v>
      </c>
      <c r="D12" s="64"/>
      <c r="E12" s="64"/>
      <c r="F12" s="263"/>
      <c r="G12" s="263"/>
      <c r="H12" s="32"/>
      <c r="I12" s="44"/>
      <c r="J12" s="32"/>
      <c r="K12" s="94" t="s">
        <v>19</v>
      </c>
      <c r="L12" s="94">
        <v>0</v>
      </c>
      <c r="M12" s="95">
        <v>0</v>
      </c>
      <c r="N12" s="69">
        <f t="shared" si="1"/>
        <v>0</v>
      </c>
      <c r="O12" s="14"/>
      <c r="P12" s="383">
        <f t="shared" si="0"/>
        <v>0</v>
      </c>
    </row>
    <row r="13" spans="1:21">
      <c r="A13" s="14"/>
      <c r="B13" s="21">
        <v>1.6</v>
      </c>
      <c r="C13" s="26" t="s">
        <v>68</v>
      </c>
      <c r="D13" s="64"/>
      <c r="E13" s="64"/>
      <c r="F13" s="263"/>
      <c r="G13" s="263"/>
      <c r="H13" s="32"/>
      <c r="I13" s="44"/>
      <c r="J13" s="32"/>
      <c r="K13" s="94" t="s">
        <v>19</v>
      </c>
      <c r="L13" s="94">
        <v>0</v>
      </c>
      <c r="M13" s="95">
        <v>0</v>
      </c>
      <c r="N13" s="69">
        <f t="shared" si="1"/>
        <v>0</v>
      </c>
      <c r="O13" s="14"/>
      <c r="P13" s="383">
        <f t="shared" si="0"/>
        <v>0</v>
      </c>
    </row>
    <row r="14" spans="1:21" ht="16" thickBot="1">
      <c r="A14" s="14"/>
      <c r="B14" s="21"/>
      <c r="C14" s="71"/>
      <c r="D14" s="72"/>
      <c r="E14" s="72"/>
      <c r="F14" s="72"/>
      <c r="G14" s="72"/>
      <c r="H14" s="32"/>
      <c r="I14" s="44"/>
      <c r="J14" s="32"/>
      <c r="K14" s="70"/>
      <c r="L14" s="67"/>
      <c r="M14" s="68"/>
      <c r="N14" s="73"/>
      <c r="O14" s="14"/>
      <c r="P14" s="383">
        <f t="shared" si="0"/>
        <v>0</v>
      </c>
    </row>
    <row r="15" spans="1:21" ht="16" thickBot="1">
      <c r="A15" s="14"/>
      <c r="B15" s="16"/>
      <c r="C15" s="74"/>
      <c r="D15" s="484"/>
      <c r="E15" s="484"/>
      <c r="F15" s="484"/>
      <c r="G15" s="484"/>
      <c r="H15" s="32"/>
      <c r="I15" s="44"/>
      <c r="J15" s="33"/>
      <c r="K15" s="508" t="s">
        <v>7</v>
      </c>
      <c r="L15" s="509"/>
      <c r="M15" s="510">
        <f>SUM(N8:N13)</f>
        <v>7441</v>
      </c>
      <c r="N15" s="511"/>
      <c r="O15" s="14"/>
      <c r="P15" s="383">
        <f t="shared" si="0"/>
        <v>8036.2800000000007</v>
      </c>
    </row>
    <row r="16" spans="1:21" ht="16" thickBot="1">
      <c r="A16" s="14"/>
      <c r="B16" s="20">
        <v>2</v>
      </c>
      <c r="C16" s="27" t="s">
        <v>11</v>
      </c>
      <c r="D16" s="75"/>
      <c r="E16" s="75"/>
      <c r="F16" s="75"/>
      <c r="G16" s="75"/>
      <c r="H16" s="32"/>
      <c r="I16" s="44"/>
      <c r="J16" s="33"/>
      <c r="K16" s="24"/>
      <c r="L16" s="25"/>
      <c r="M16" s="25"/>
      <c r="N16" s="63"/>
      <c r="O16" s="14"/>
      <c r="P16" s="383">
        <f t="shared" si="0"/>
        <v>0</v>
      </c>
    </row>
    <row r="17" spans="1:16">
      <c r="A17" s="14"/>
      <c r="B17" s="21">
        <v>2.1</v>
      </c>
      <c r="C17" s="279" t="s">
        <v>79</v>
      </c>
      <c r="D17" s="280"/>
      <c r="E17" s="281"/>
      <c r="F17" s="282"/>
      <c r="G17" s="282"/>
      <c r="H17" s="276"/>
      <c r="I17" s="278"/>
      <c r="J17" s="276"/>
      <c r="K17" s="283" t="s">
        <v>19</v>
      </c>
      <c r="L17" s="283">
        <v>1</v>
      </c>
      <c r="M17" s="285">
        <v>25000</v>
      </c>
      <c r="N17" s="68">
        <f>L17*M17</f>
        <v>25000</v>
      </c>
      <c r="O17" s="14"/>
      <c r="P17" s="383">
        <f t="shared" si="0"/>
        <v>27000</v>
      </c>
    </row>
    <row r="18" spans="1:16">
      <c r="A18" s="14"/>
      <c r="B18" s="21">
        <v>2.2000000000000002</v>
      </c>
      <c r="C18" s="275" t="s">
        <v>80</v>
      </c>
      <c r="D18" s="280"/>
      <c r="E18" s="281"/>
      <c r="F18" s="282"/>
      <c r="G18" s="282"/>
      <c r="H18" s="276"/>
      <c r="I18" s="278"/>
      <c r="J18" s="276"/>
      <c r="K18" s="283" t="s">
        <v>19</v>
      </c>
      <c r="L18" s="283">
        <v>0</v>
      </c>
      <c r="M18" s="285">
        <v>54000</v>
      </c>
      <c r="N18" s="68">
        <f>L18*M18</f>
        <v>0</v>
      </c>
      <c r="O18" s="14"/>
      <c r="P18" s="383">
        <f t="shared" si="0"/>
        <v>58320.000000000007</v>
      </c>
    </row>
    <row r="19" spans="1:16">
      <c r="A19" s="14"/>
      <c r="B19" s="21">
        <v>2.2999999999999998</v>
      </c>
      <c r="C19" s="275" t="s">
        <v>45</v>
      </c>
      <c r="D19" s="280"/>
      <c r="E19" s="281"/>
      <c r="F19" s="282"/>
      <c r="G19" s="282"/>
      <c r="H19" s="276"/>
      <c r="I19" s="278"/>
      <c r="J19" s="276"/>
      <c r="K19" s="283" t="s">
        <v>19</v>
      </c>
      <c r="L19" s="283">
        <v>0</v>
      </c>
      <c r="M19" s="285">
        <v>4860</v>
      </c>
      <c r="N19" s="68">
        <f>L19*M19</f>
        <v>0</v>
      </c>
      <c r="O19" s="14"/>
      <c r="P19" s="383">
        <f t="shared" si="0"/>
        <v>5248.8</v>
      </c>
    </row>
    <row r="20" spans="1:16">
      <c r="A20" s="14"/>
      <c r="B20" s="21">
        <v>2.4</v>
      </c>
      <c r="C20" s="275" t="s">
        <v>27</v>
      </c>
      <c r="D20" s="280"/>
      <c r="E20" s="281"/>
      <c r="F20" s="282"/>
      <c r="G20" s="282"/>
      <c r="H20" s="276"/>
      <c r="I20" s="278"/>
      <c r="J20" s="276"/>
      <c r="K20" s="283" t="s">
        <v>19</v>
      </c>
      <c r="L20" s="283">
        <v>1</v>
      </c>
      <c r="M20" s="284">
        <v>4706</v>
      </c>
      <c r="N20" s="68">
        <f>M20*L20</f>
        <v>4706</v>
      </c>
      <c r="O20" s="14"/>
      <c r="P20" s="383">
        <f t="shared" si="0"/>
        <v>5082.4800000000005</v>
      </c>
    </row>
    <row r="21" spans="1:16">
      <c r="A21" s="14"/>
      <c r="B21" s="16">
        <v>2.5</v>
      </c>
      <c r="C21" s="275" t="s">
        <v>76</v>
      </c>
      <c r="D21" s="280"/>
      <c r="E21" s="281"/>
      <c r="F21" s="282"/>
      <c r="G21" s="282"/>
      <c r="H21" s="276"/>
      <c r="I21" s="278"/>
      <c r="J21" s="277"/>
      <c r="K21" s="283" t="s">
        <v>8</v>
      </c>
      <c r="L21" s="283">
        <v>1</v>
      </c>
      <c r="M21" s="284">
        <v>111780</v>
      </c>
      <c r="N21" s="68">
        <f t="shared" ref="N21:N23" si="2">M21*L21</f>
        <v>111780</v>
      </c>
      <c r="O21" s="14"/>
      <c r="P21" s="383">
        <f t="shared" si="0"/>
        <v>120722.40000000001</v>
      </c>
    </row>
    <row r="22" spans="1:16">
      <c r="A22" s="14"/>
      <c r="B22" s="16">
        <v>2.6</v>
      </c>
      <c r="C22" s="275" t="s">
        <v>112</v>
      </c>
      <c r="D22" s="280"/>
      <c r="E22" s="281"/>
      <c r="F22" s="282"/>
      <c r="G22" s="282"/>
      <c r="H22" s="276"/>
      <c r="I22" s="278"/>
      <c r="J22" s="277"/>
      <c r="K22" s="283" t="s">
        <v>19</v>
      </c>
      <c r="L22" s="283">
        <v>0</v>
      </c>
      <c r="M22" s="284">
        <v>10800</v>
      </c>
      <c r="N22" s="68">
        <f t="shared" si="2"/>
        <v>0</v>
      </c>
      <c r="O22" s="14"/>
      <c r="P22" s="383">
        <f t="shared" si="0"/>
        <v>11664</v>
      </c>
    </row>
    <row r="23" spans="1:16">
      <c r="A23" s="14"/>
      <c r="B23" s="16">
        <v>2.7</v>
      </c>
      <c r="C23" s="275" t="s">
        <v>75</v>
      </c>
      <c r="D23" s="280"/>
      <c r="E23" s="281"/>
      <c r="F23" s="282"/>
      <c r="G23" s="282"/>
      <c r="H23" s="276"/>
      <c r="I23" s="278"/>
      <c r="J23" s="277"/>
      <c r="K23" s="283" t="s">
        <v>19</v>
      </c>
      <c r="L23" s="283">
        <v>0</v>
      </c>
      <c r="M23" s="284">
        <v>31028</v>
      </c>
      <c r="N23" s="68">
        <f t="shared" si="2"/>
        <v>0</v>
      </c>
      <c r="O23" s="14"/>
      <c r="P23" s="383">
        <f t="shared" si="0"/>
        <v>33510.240000000005</v>
      </c>
    </row>
    <row r="24" spans="1:16" ht="16" thickBot="1">
      <c r="A24" s="14"/>
      <c r="B24" s="16"/>
      <c r="C24" s="26"/>
      <c r="D24" s="72"/>
      <c r="E24" s="72"/>
      <c r="F24" s="72"/>
      <c r="G24" s="72"/>
      <c r="H24" s="32"/>
      <c r="I24" s="44"/>
      <c r="J24" s="33"/>
      <c r="K24" s="76"/>
      <c r="L24" s="76"/>
      <c r="M24" s="77"/>
      <c r="N24" s="77"/>
      <c r="O24" s="14"/>
      <c r="P24" s="383">
        <f t="shared" si="0"/>
        <v>0</v>
      </c>
    </row>
    <row r="25" spans="1:16" ht="16" thickBot="1">
      <c r="A25" s="14"/>
      <c r="B25" s="16"/>
      <c r="C25" s="26"/>
      <c r="D25" s="484"/>
      <c r="E25" s="484"/>
      <c r="F25" s="484"/>
      <c r="G25" s="484"/>
      <c r="H25" s="32"/>
      <c r="I25" s="44"/>
      <c r="J25" s="33"/>
      <c r="K25" s="508" t="s">
        <v>7</v>
      </c>
      <c r="L25" s="509"/>
      <c r="M25" s="510">
        <f>SUM(N17:N23)</f>
        <v>141486</v>
      </c>
      <c r="N25" s="511"/>
      <c r="O25" s="14"/>
      <c r="P25" s="383">
        <f t="shared" si="0"/>
        <v>152804.88</v>
      </c>
    </row>
    <row r="26" spans="1:16" ht="16" thickBot="1">
      <c r="A26" s="14"/>
      <c r="B26" s="20">
        <v>3</v>
      </c>
      <c r="C26" s="27" t="s">
        <v>12</v>
      </c>
      <c r="D26" s="75"/>
      <c r="E26" s="75"/>
      <c r="F26" s="75"/>
      <c r="G26" s="75"/>
      <c r="H26" s="32"/>
      <c r="I26" s="44"/>
      <c r="J26" s="33"/>
      <c r="K26" s="24"/>
      <c r="L26" s="25"/>
      <c r="M26" s="25"/>
      <c r="N26" s="63"/>
      <c r="O26" s="14"/>
      <c r="P26" s="383">
        <f t="shared" si="0"/>
        <v>0</v>
      </c>
    </row>
    <row r="27" spans="1:16">
      <c r="A27" s="14"/>
      <c r="B27" s="21">
        <v>3.1</v>
      </c>
      <c r="C27" s="289" t="s">
        <v>89</v>
      </c>
      <c r="D27" s="290"/>
      <c r="E27" s="291"/>
      <c r="F27" s="292"/>
      <c r="G27" s="292"/>
      <c r="H27" s="287"/>
      <c r="I27" s="288"/>
      <c r="J27" s="287"/>
      <c r="K27" s="293" t="s">
        <v>19</v>
      </c>
      <c r="L27" s="293">
        <v>0</v>
      </c>
      <c r="M27" s="294">
        <v>5883</v>
      </c>
      <c r="N27" s="68">
        <f>L27*M27</f>
        <v>0</v>
      </c>
      <c r="O27" s="14"/>
      <c r="P27" s="383">
        <f t="shared" si="0"/>
        <v>6353.64</v>
      </c>
    </row>
    <row r="28" spans="1:16">
      <c r="A28" s="14"/>
      <c r="B28" s="21">
        <v>3.2</v>
      </c>
      <c r="C28" s="286" t="s">
        <v>90</v>
      </c>
      <c r="D28" s="290"/>
      <c r="E28" s="291"/>
      <c r="F28" s="292"/>
      <c r="G28" s="292"/>
      <c r="H28" s="287"/>
      <c r="I28" s="288"/>
      <c r="J28" s="287"/>
      <c r="K28" s="293" t="s">
        <v>19</v>
      </c>
      <c r="L28" s="293">
        <v>0</v>
      </c>
      <c r="M28" s="294">
        <v>11766</v>
      </c>
      <c r="N28" s="68">
        <f>L28*M28</f>
        <v>0</v>
      </c>
      <c r="O28" s="14"/>
      <c r="P28" s="383">
        <f t="shared" si="0"/>
        <v>12707.28</v>
      </c>
    </row>
    <row r="29" spans="1:16">
      <c r="A29" s="14"/>
      <c r="B29" s="21">
        <v>3.3</v>
      </c>
      <c r="C29" s="286" t="s">
        <v>91</v>
      </c>
      <c r="D29" s="290"/>
      <c r="E29" s="291"/>
      <c r="F29" s="292"/>
      <c r="G29" s="292"/>
      <c r="H29" s="287"/>
      <c r="I29" s="288"/>
      <c r="J29" s="287"/>
      <c r="K29" s="293" t="s">
        <v>19</v>
      </c>
      <c r="L29" s="293">
        <v>0</v>
      </c>
      <c r="M29" s="294">
        <v>6500</v>
      </c>
      <c r="N29" s="68">
        <f t="shared" ref="N29:N31" si="3">L29*M29</f>
        <v>0</v>
      </c>
      <c r="O29" s="14"/>
      <c r="P29" s="383">
        <f t="shared" si="0"/>
        <v>7020.0000000000009</v>
      </c>
    </row>
    <row r="30" spans="1:16">
      <c r="A30" s="14"/>
      <c r="B30" s="21">
        <v>3.4</v>
      </c>
      <c r="C30" s="26" t="s">
        <v>68</v>
      </c>
      <c r="D30" s="64"/>
      <c r="E30" s="65"/>
      <c r="F30" s="263"/>
      <c r="G30" s="263"/>
      <c r="H30" s="32"/>
      <c r="I30" s="44"/>
      <c r="J30" s="32"/>
      <c r="K30" s="94" t="s">
        <v>19</v>
      </c>
      <c r="L30" s="94">
        <v>0</v>
      </c>
      <c r="M30" s="96">
        <v>0</v>
      </c>
      <c r="N30" s="68">
        <f t="shared" si="3"/>
        <v>0</v>
      </c>
      <c r="O30" s="14"/>
      <c r="P30" s="383">
        <f t="shared" si="0"/>
        <v>0</v>
      </c>
    </row>
    <row r="31" spans="1:16">
      <c r="A31" s="14"/>
      <c r="B31" s="21">
        <v>3.5</v>
      </c>
      <c r="C31" s="26" t="s">
        <v>68</v>
      </c>
      <c r="D31" s="64"/>
      <c r="E31" s="65"/>
      <c r="F31" s="263"/>
      <c r="G31" s="263"/>
      <c r="H31" s="32"/>
      <c r="I31" s="44"/>
      <c r="J31" s="32"/>
      <c r="K31" s="94" t="s">
        <v>19</v>
      </c>
      <c r="L31" s="94">
        <v>0</v>
      </c>
      <c r="M31" s="96">
        <v>0</v>
      </c>
      <c r="N31" s="68">
        <f t="shared" si="3"/>
        <v>0</v>
      </c>
      <c r="O31" s="14"/>
      <c r="P31" s="383">
        <f t="shared" si="0"/>
        <v>0</v>
      </c>
    </row>
    <row r="32" spans="1:16" ht="16" thickBot="1">
      <c r="A32" s="14"/>
      <c r="B32" s="21"/>
      <c r="C32" s="26"/>
      <c r="D32" s="72"/>
      <c r="E32" s="72"/>
      <c r="F32" s="72"/>
      <c r="G32" s="72"/>
      <c r="H32" s="32"/>
      <c r="I32" s="44"/>
      <c r="J32" s="32"/>
      <c r="K32" s="67"/>
      <c r="L32" s="67"/>
      <c r="M32" s="73"/>
      <c r="N32" s="68"/>
      <c r="O32" s="14"/>
      <c r="P32" s="383">
        <f t="shared" si="0"/>
        <v>0</v>
      </c>
    </row>
    <row r="33" spans="1:16" ht="16" thickBot="1">
      <c r="A33" s="14"/>
      <c r="B33" s="16"/>
      <c r="C33" s="26"/>
      <c r="D33" s="484"/>
      <c r="E33" s="484"/>
      <c r="F33" s="484"/>
      <c r="G33" s="484"/>
      <c r="H33" s="32"/>
      <c r="I33" s="44"/>
      <c r="J33" s="33"/>
      <c r="K33" s="508" t="s">
        <v>7</v>
      </c>
      <c r="L33" s="509"/>
      <c r="M33" s="510">
        <f>SUM(N27:N31)</f>
        <v>0</v>
      </c>
      <c r="N33" s="511"/>
      <c r="O33" s="14"/>
      <c r="P33" s="383">
        <f t="shared" si="0"/>
        <v>0</v>
      </c>
    </row>
    <row r="34" spans="1:16" ht="16" thickBot="1">
      <c r="A34" s="14"/>
      <c r="B34" s="20">
        <v>4</v>
      </c>
      <c r="C34" s="27" t="s">
        <v>13</v>
      </c>
      <c r="D34" s="75"/>
      <c r="E34" s="75"/>
      <c r="F34" s="75"/>
      <c r="G34" s="75"/>
      <c r="H34" s="32"/>
      <c r="I34" s="44"/>
      <c r="J34" s="33"/>
      <c r="K34" s="24"/>
      <c r="L34" s="25"/>
      <c r="M34" s="25"/>
      <c r="N34" s="63"/>
      <c r="O34" s="14"/>
      <c r="P34" s="383">
        <f t="shared" si="0"/>
        <v>0</v>
      </c>
    </row>
    <row r="35" spans="1:16">
      <c r="A35" s="14"/>
      <c r="B35" s="21">
        <v>4.0999999999999996</v>
      </c>
      <c r="C35" s="298" t="s">
        <v>81</v>
      </c>
      <c r="D35" s="299"/>
      <c r="E35" s="300"/>
      <c r="F35" s="301"/>
      <c r="G35" s="301"/>
      <c r="H35" s="296"/>
      <c r="I35" s="297"/>
      <c r="J35" s="296"/>
      <c r="K35" s="302" t="s">
        <v>19</v>
      </c>
      <c r="L35" s="302">
        <v>1</v>
      </c>
      <c r="M35" s="303">
        <v>88247</v>
      </c>
      <c r="N35" s="68">
        <f>L35*M35</f>
        <v>88247</v>
      </c>
      <c r="O35" s="14"/>
      <c r="P35" s="383">
        <f t="shared" si="0"/>
        <v>95306.760000000009</v>
      </c>
    </row>
    <row r="36" spans="1:16">
      <c r="A36" s="14"/>
      <c r="B36" s="21">
        <v>4.2</v>
      </c>
      <c r="C36" s="295" t="s">
        <v>92</v>
      </c>
      <c r="D36" s="299"/>
      <c r="E36" s="300"/>
      <c r="F36" s="301"/>
      <c r="G36" s="301"/>
      <c r="H36" s="296"/>
      <c r="I36" s="297"/>
      <c r="J36" s="296"/>
      <c r="K36" s="302" t="s">
        <v>19</v>
      </c>
      <c r="L36" s="302">
        <v>0</v>
      </c>
      <c r="M36" s="303">
        <v>817322</v>
      </c>
      <c r="N36" s="68">
        <f t="shared" ref="N36:N38" si="4">L36*M36</f>
        <v>0</v>
      </c>
      <c r="O36" s="14"/>
      <c r="P36" s="383">
        <f t="shared" si="0"/>
        <v>882707.76</v>
      </c>
    </row>
    <row r="37" spans="1:16">
      <c r="A37" s="14"/>
      <c r="B37" s="21">
        <v>4.3</v>
      </c>
      <c r="C37" s="26" t="s">
        <v>68</v>
      </c>
      <c r="D37" s="64"/>
      <c r="E37" s="65"/>
      <c r="F37" s="263"/>
      <c r="G37" s="263"/>
      <c r="H37" s="32"/>
      <c r="I37" s="44"/>
      <c r="J37" s="32"/>
      <c r="K37" s="94" t="s">
        <v>19</v>
      </c>
      <c r="L37" s="94">
        <v>0</v>
      </c>
      <c r="M37" s="96">
        <v>0</v>
      </c>
      <c r="N37" s="68">
        <f t="shared" si="4"/>
        <v>0</v>
      </c>
      <c r="O37" s="14"/>
      <c r="P37" s="383">
        <f t="shared" si="0"/>
        <v>0</v>
      </c>
    </row>
    <row r="38" spans="1:16">
      <c r="A38" s="14"/>
      <c r="B38" s="21">
        <v>4.4000000000000004</v>
      </c>
      <c r="C38" s="26" t="s">
        <v>68</v>
      </c>
      <c r="D38" s="64"/>
      <c r="E38" s="65"/>
      <c r="F38" s="263"/>
      <c r="G38" s="263"/>
      <c r="H38" s="32"/>
      <c r="I38" s="44"/>
      <c r="J38" s="32"/>
      <c r="K38" s="94" t="s">
        <v>19</v>
      </c>
      <c r="L38" s="94">
        <v>0</v>
      </c>
      <c r="M38" s="96">
        <v>0</v>
      </c>
      <c r="N38" s="68">
        <f t="shared" si="4"/>
        <v>0</v>
      </c>
      <c r="O38" s="14"/>
      <c r="P38" s="383">
        <f t="shared" si="0"/>
        <v>0</v>
      </c>
    </row>
    <row r="39" spans="1:16" ht="16" thickBot="1">
      <c r="A39" s="14"/>
      <c r="B39" s="21"/>
      <c r="C39" s="26"/>
      <c r="D39" s="72"/>
      <c r="E39" s="72"/>
      <c r="F39" s="72"/>
      <c r="G39" s="72"/>
      <c r="H39" s="32"/>
      <c r="I39" s="44"/>
      <c r="J39" s="32"/>
      <c r="K39" s="67"/>
      <c r="L39" s="67"/>
      <c r="M39" s="73"/>
      <c r="N39" s="68"/>
      <c r="O39" s="14"/>
      <c r="P39" s="383">
        <f t="shared" si="0"/>
        <v>0</v>
      </c>
    </row>
    <row r="40" spans="1:16" ht="16" thickBot="1">
      <c r="A40" s="14"/>
      <c r="B40" s="16"/>
      <c r="C40" s="26"/>
      <c r="D40" s="484"/>
      <c r="E40" s="484"/>
      <c r="F40" s="484"/>
      <c r="G40" s="484"/>
      <c r="H40" s="32"/>
      <c r="I40" s="44"/>
      <c r="J40" s="33"/>
      <c r="K40" s="508" t="s">
        <v>7</v>
      </c>
      <c r="L40" s="509"/>
      <c r="M40" s="510">
        <f>SUM(N35:N38)</f>
        <v>88247</v>
      </c>
      <c r="N40" s="511"/>
      <c r="O40" s="14"/>
      <c r="P40" s="383">
        <f t="shared" si="0"/>
        <v>95306.760000000009</v>
      </c>
    </row>
    <row r="41" spans="1:16" ht="16" thickBot="1">
      <c r="A41" s="14"/>
      <c r="B41" s="20">
        <v>5</v>
      </c>
      <c r="C41" s="23" t="s">
        <v>21</v>
      </c>
      <c r="D41" s="75"/>
      <c r="E41" s="75"/>
      <c r="F41" s="75"/>
      <c r="G41" s="75"/>
      <c r="H41" s="32"/>
      <c r="I41" s="44"/>
      <c r="J41" s="33"/>
      <c r="K41" s="24"/>
      <c r="L41" s="25"/>
      <c r="M41" s="25"/>
      <c r="N41" s="63"/>
      <c r="O41" s="14"/>
      <c r="P41" s="383">
        <f t="shared" si="0"/>
        <v>0</v>
      </c>
    </row>
    <row r="42" spans="1:16">
      <c r="A42" s="14"/>
      <c r="B42" s="21">
        <v>5.0999999999999996</v>
      </c>
      <c r="C42" s="306" t="s">
        <v>82</v>
      </c>
      <c r="D42" s="307"/>
      <c r="E42" s="308"/>
      <c r="F42" s="309"/>
      <c r="G42" s="309"/>
      <c r="H42" s="304"/>
      <c r="I42" s="305"/>
      <c r="J42" s="304"/>
      <c r="K42" s="310" t="s">
        <v>19</v>
      </c>
      <c r="L42" s="310">
        <v>1</v>
      </c>
      <c r="M42" s="311">
        <v>3500</v>
      </c>
      <c r="N42" s="68">
        <f>L42*M42</f>
        <v>3500</v>
      </c>
      <c r="O42" s="14"/>
      <c r="P42" s="383">
        <f t="shared" si="0"/>
        <v>3780.0000000000005</v>
      </c>
    </row>
    <row r="43" spans="1:16">
      <c r="A43" s="14"/>
      <c r="B43" s="21">
        <v>5.2</v>
      </c>
      <c r="C43" s="26" t="s">
        <v>68</v>
      </c>
      <c r="D43" s="64"/>
      <c r="E43" s="65"/>
      <c r="F43" s="263"/>
      <c r="G43" s="263"/>
      <c r="H43" s="32"/>
      <c r="I43" s="44"/>
      <c r="J43" s="32"/>
      <c r="K43" s="94" t="s">
        <v>19</v>
      </c>
      <c r="L43" s="94">
        <v>0</v>
      </c>
      <c r="M43" s="96">
        <v>0</v>
      </c>
      <c r="N43" s="68">
        <f t="shared" ref="N43:N45" si="5">L43*M43</f>
        <v>0</v>
      </c>
      <c r="O43" s="14"/>
      <c r="P43" s="383">
        <f t="shared" si="0"/>
        <v>0</v>
      </c>
    </row>
    <row r="44" spans="1:16">
      <c r="A44" s="14"/>
      <c r="B44" s="21">
        <v>5.3</v>
      </c>
      <c r="C44" s="26" t="s">
        <v>68</v>
      </c>
      <c r="D44" s="64"/>
      <c r="E44" s="65"/>
      <c r="F44" s="263"/>
      <c r="G44" s="263"/>
      <c r="H44" s="32"/>
      <c r="I44" s="44"/>
      <c r="J44" s="32"/>
      <c r="K44" s="94" t="s">
        <v>19</v>
      </c>
      <c r="L44" s="94">
        <v>0</v>
      </c>
      <c r="M44" s="96">
        <v>0</v>
      </c>
      <c r="N44" s="68">
        <f t="shared" si="5"/>
        <v>0</v>
      </c>
      <c r="O44" s="14"/>
      <c r="P44" s="383">
        <f t="shared" si="0"/>
        <v>0</v>
      </c>
    </row>
    <row r="45" spans="1:16">
      <c r="A45" s="14"/>
      <c r="B45" s="21">
        <v>5.4</v>
      </c>
      <c r="C45" s="26" t="s">
        <v>68</v>
      </c>
      <c r="D45" s="64"/>
      <c r="E45" s="65"/>
      <c r="F45" s="263"/>
      <c r="G45" s="263"/>
      <c r="H45" s="32"/>
      <c r="I45" s="44"/>
      <c r="J45" s="32"/>
      <c r="K45" s="94" t="s">
        <v>19</v>
      </c>
      <c r="L45" s="94">
        <v>0</v>
      </c>
      <c r="M45" s="96">
        <v>0</v>
      </c>
      <c r="N45" s="68">
        <f t="shared" si="5"/>
        <v>0</v>
      </c>
      <c r="O45" s="14"/>
      <c r="P45" s="383">
        <f t="shared" si="0"/>
        <v>0</v>
      </c>
    </row>
    <row r="46" spans="1:16" ht="16" thickBot="1">
      <c r="A46" s="14"/>
      <c r="B46" s="21"/>
      <c r="C46" s="71"/>
      <c r="D46" s="72"/>
      <c r="E46" s="72"/>
      <c r="F46" s="72"/>
      <c r="G46" s="72"/>
      <c r="H46" s="32"/>
      <c r="I46" s="44"/>
      <c r="J46" s="32"/>
      <c r="K46" s="67"/>
      <c r="L46" s="67"/>
      <c r="M46" s="73"/>
      <c r="N46" s="68"/>
      <c r="O46" s="14"/>
      <c r="P46" s="383">
        <f t="shared" si="0"/>
        <v>0</v>
      </c>
    </row>
    <row r="47" spans="1:16" ht="16" thickBot="1">
      <c r="A47" s="14"/>
      <c r="B47" s="16"/>
      <c r="C47" s="74"/>
      <c r="D47" s="484"/>
      <c r="E47" s="484"/>
      <c r="F47" s="484"/>
      <c r="G47" s="484"/>
      <c r="H47" s="32"/>
      <c r="I47" s="44"/>
      <c r="J47" s="33"/>
      <c r="K47" s="508" t="s">
        <v>7</v>
      </c>
      <c r="L47" s="509"/>
      <c r="M47" s="510">
        <f>SUM(N42:N45)</f>
        <v>3500</v>
      </c>
      <c r="N47" s="511"/>
      <c r="O47" s="14"/>
      <c r="P47" s="383">
        <f t="shared" si="0"/>
        <v>3780.0000000000005</v>
      </c>
    </row>
    <row r="48" spans="1:16" ht="16" thickBot="1">
      <c r="A48" s="14"/>
      <c r="B48" s="20">
        <v>6</v>
      </c>
      <c r="C48" s="27" t="s">
        <v>24</v>
      </c>
      <c r="D48" s="75"/>
      <c r="E48" s="75"/>
      <c r="F48" s="75"/>
      <c r="G48" s="75"/>
      <c r="H48" s="32"/>
      <c r="I48" s="44"/>
      <c r="J48" s="33"/>
      <c r="K48" s="24"/>
      <c r="L48" s="25"/>
      <c r="M48" s="25"/>
      <c r="N48" s="63"/>
      <c r="O48" s="14"/>
      <c r="P48" s="383">
        <f t="shared" si="0"/>
        <v>0</v>
      </c>
    </row>
    <row r="49" spans="1:17">
      <c r="A49" s="14"/>
      <c r="B49" s="21">
        <v>6.1</v>
      </c>
      <c r="C49" s="315" t="s">
        <v>55</v>
      </c>
      <c r="D49" s="316"/>
      <c r="E49" s="317"/>
      <c r="F49" s="318"/>
      <c r="G49" s="318"/>
      <c r="H49" s="313"/>
      <c r="I49" s="314"/>
      <c r="J49" s="313"/>
      <c r="K49" s="320" t="s">
        <v>19</v>
      </c>
      <c r="L49" s="381">
        <v>0</v>
      </c>
      <c r="M49" s="321">
        <v>9720</v>
      </c>
      <c r="N49" s="69">
        <f t="shared" ref="N49:N65" si="6">L49*M49</f>
        <v>0</v>
      </c>
      <c r="O49" s="14"/>
      <c r="P49" s="383">
        <f t="shared" si="0"/>
        <v>10497.6</v>
      </c>
    </row>
    <row r="50" spans="1:17">
      <c r="A50" s="14"/>
      <c r="B50" s="21">
        <v>6.2</v>
      </c>
      <c r="C50" s="312" t="s">
        <v>93</v>
      </c>
      <c r="D50" s="316"/>
      <c r="E50" s="317"/>
      <c r="F50" s="318"/>
      <c r="G50" s="318"/>
      <c r="H50" s="313"/>
      <c r="I50" s="314"/>
      <c r="J50" s="313"/>
      <c r="K50" s="320" t="s">
        <v>19</v>
      </c>
      <c r="L50" s="381">
        <v>0</v>
      </c>
      <c r="M50" s="321">
        <v>10.8</v>
      </c>
      <c r="N50" s="69">
        <f t="shared" si="6"/>
        <v>0</v>
      </c>
      <c r="O50" s="14"/>
      <c r="P50" s="383">
        <f t="shared" si="0"/>
        <v>11.664000000000001</v>
      </c>
    </row>
    <row r="51" spans="1:17">
      <c r="A51" s="14"/>
      <c r="B51" s="21">
        <v>6.3</v>
      </c>
      <c r="C51" s="312" t="s">
        <v>30</v>
      </c>
      <c r="D51" s="316"/>
      <c r="E51" s="317"/>
      <c r="F51" s="318"/>
      <c r="G51" s="318"/>
      <c r="H51" s="313"/>
      <c r="I51" s="314"/>
      <c r="J51" s="313"/>
      <c r="K51" s="319" t="s">
        <v>8</v>
      </c>
      <c r="L51" s="381">
        <v>110</v>
      </c>
      <c r="M51" s="321">
        <v>29</v>
      </c>
      <c r="N51" s="69">
        <f t="shared" si="6"/>
        <v>3190</v>
      </c>
      <c r="O51" s="14"/>
      <c r="P51" s="383">
        <f t="shared" si="0"/>
        <v>31.32</v>
      </c>
    </row>
    <row r="52" spans="1:17">
      <c r="A52" s="14"/>
      <c r="B52" s="21">
        <v>6.4</v>
      </c>
      <c r="C52" s="312" t="s">
        <v>94</v>
      </c>
      <c r="D52" s="316"/>
      <c r="E52" s="317"/>
      <c r="F52" s="318"/>
      <c r="G52" s="318"/>
      <c r="H52" s="313"/>
      <c r="I52" s="314"/>
      <c r="J52" s="313"/>
      <c r="K52" s="319" t="s">
        <v>6</v>
      </c>
      <c r="L52" s="381">
        <v>0</v>
      </c>
      <c r="M52" s="321">
        <v>167</v>
      </c>
      <c r="N52" s="69">
        <f t="shared" si="6"/>
        <v>0</v>
      </c>
      <c r="O52" s="14"/>
      <c r="P52" s="383">
        <f t="shared" si="0"/>
        <v>180.36</v>
      </c>
    </row>
    <row r="53" spans="1:17">
      <c r="A53" s="14"/>
      <c r="B53" s="21">
        <v>6.5</v>
      </c>
      <c r="C53" s="312" t="s">
        <v>108</v>
      </c>
      <c r="D53" s="316"/>
      <c r="E53" s="317"/>
      <c r="F53" s="318"/>
      <c r="G53" s="318"/>
      <c r="H53" s="313"/>
      <c r="I53" s="314"/>
      <c r="J53" s="313"/>
      <c r="K53" s="319" t="s">
        <v>6</v>
      </c>
      <c r="L53" s="381">
        <v>0</v>
      </c>
      <c r="M53" s="321">
        <v>91</v>
      </c>
      <c r="N53" s="69">
        <f t="shared" si="6"/>
        <v>0</v>
      </c>
      <c r="O53" s="14"/>
      <c r="P53" s="383">
        <f t="shared" si="0"/>
        <v>98.28</v>
      </c>
    </row>
    <row r="54" spans="1:17">
      <c r="A54" s="14"/>
      <c r="B54" s="21">
        <v>6.6</v>
      </c>
      <c r="C54" s="312" t="s">
        <v>110</v>
      </c>
      <c r="D54" s="316"/>
      <c r="E54" s="317"/>
      <c r="F54" s="318"/>
      <c r="G54" s="318"/>
      <c r="H54" s="313"/>
      <c r="I54" s="314"/>
      <c r="J54" s="313"/>
      <c r="K54" s="319" t="s">
        <v>6</v>
      </c>
      <c r="L54" s="381">
        <v>0</v>
      </c>
      <c r="M54" s="321">
        <v>189</v>
      </c>
      <c r="N54" s="69">
        <f t="shared" si="6"/>
        <v>0</v>
      </c>
      <c r="O54" s="14"/>
      <c r="P54" s="383">
        <f t="shared" si="0"/>
        <v>204.12</v>
      </c>
    </row>
    <row r="55" spans="1:17">
      <c r="A55" s="14"/>
      <c r="B55" s="21">
        <v>6.7</v>
      </c>
      <c r="C55" s="312" t="s">
        <v>111</v>
      </c>
      <c r="D55" s="316"/>
      <c r="E55" s="317"/>
      <c r="F55" s="318"/>
      <c r="G55" s="318"/>
      <c r="H55" s="313"/>
      <c r="I55" s="314"/>
      <c r="J55" s="313"/>
      <c r="K55" s="319" t="s">
        <v>6</v>
      </c>
      <c r="L55" s="320">
        <v>0</v>
      </c>
      <c r="M55" s="321">
        <v>178</v>
      </c>
      <c r="N55" s="69">
        <f t="shared" si="6"/>
        <v>0</v>
      </c>
      <c r="O55" s="14"/>
      <c r="P55" s="383">
        <f t="shared" si="0"/>
        <v>192.24</v>
      </c>
    </row>
    <row r="56" spans="1:17">
      <c r="A56" s="14"/>
      <c r="B56" s="21">
        <v>6.8</v>
      </c>
      <c r="C56" s="312" t="s">
        <v>38</v>
      </c>
      <c r="D56" s="316"/>
      <c r="E56" s="317"/>
      <c r="F56" s="318"/>
      <c r="G56" s="318"/>
      <c r="H56" s="313"/>
      <c r="I56" s="314"/>
      <c r="J56" s="313"/>
      <c r="K56" s="319" t="s">
        <v>19</v>
      </c>
      <c r="L56" s="320">
        <v>0</v>
      </c>
      <c r="M56" s="321">
        <v>6480</v>
      </c>
      <c r="N56" s="69">
        <f t="shared" si="6"/>
        <v>0</v>
      </c>
      <c r="O56" s="14"/>
      <c r="P56" s="383">
        <f t="shared" si="0"/>
        <v>6998.4000000000005</v>
      </c>
      <c r="Q56" s="181"/>
    </row>
    <row r="57" spans="1:17">
      <c r="A57" s="14"/>
      <c r="B57" s="21">
        <v>6.9</v>
      </c>
      <c r="C57" s="312" t="s">
        <v>95</v>
      </c>
      <c r="D57" s="316"/>
      <c r="E57" s="317"/>
      <c r="F57" s="318"/>
      <c r="G57" s="318"/>
      <c r="H57" s="313"/>
      <c r="I57" s="314"/>
      <c r="J57" s="313"/>
      <c r="K57" s="319" t="s">
        <v>29</v>
      </c>
      <c r="L57" s="320">
        <v>0</v>
      </c>
      <c r="M57" s="321">
        <v>3780</v>
      </c>
      <c r="N57" s="69">
        <f t="shared" si="6"/>
        <v>0</v>
      </c>
      <c r="O57" s="14"/>
      <c r="P57" s="383">
        <f t="shared" si="0"/>
        <v>4082.4</v>
      </c>
    </row>
    <row r="58" spans="1:17">
      <c r="A58" s="14"/>
      <c r="B58" s="28">
        <v>6.1</v>
      </c>
      <c r="C58" s="312" t="s">
        <v>109</v>
      </c>
      <c r="D58" s="316"/>
      <c r="E58" s="317"/>
      <c r="F58" s="318"/>
      <c r="G58" s="318"/>
      <c r="H58" s="313"/>
      <c r="I58" s="314"/>
      <c r="J58" s="313"/>
      <c r="K58" s="319" t="s">
        <v>6</v>
      </c>
      <c r="L58" s="320">
        <v>0</v>
      </c>
      <c r="M58" s="321">
        <v>486</v>
      </c>
      <c r="N58" s="69">
        <f t="shared" si="6"/>
        <v>0</v>
      </c>
      <c r="O58" s="14"/>
      <c r="P58" s="383">
        <f t="shared" si="0"/>
        <v>524.88</v>
      </c>
    </row>
    <row r="59" spans="1:17">
      <c r="A59" s="14"/>
      <c r="B59" s="28">
        <v>6.11</v>
      </c>
      <c r="C59" s="312" t="s">
        <v>96</v>
      </c>
      <c r="D59" s="316"/>
      <c r="E59" s="317"/>
      <c r="F59" s="318"/>
      <c r="G59" s="318"/>
      <c r="H59" s="313"/>
      <c r="I59" s="314"/>
      <c r="J59" s="313"/>
      <c r="K59" s="319" t="s">
        <v>6</v>
      </c>
      <c r="L59" s="320">
        <v>0</v>
      </c>
      <c r="M59" s="322">
        <v>540</v>
      </c>
      <c r="N59" s="69">
        <f t="shared" si="6"/>
        <v>0</v>
      </c>
      <c r="O59" s="14"/>
      <c r="P59" s="383">
        <f t="shared" si="0"/>
        <v>583.20000000000005</v>
      </c>
    </row>
    <row r="60" spans="1:17">
      <c r="A60" s="14"/>
      <c r="B60" s="28">
        <v>6.12</v>
      </c>
      <c r="C60" s="312" t="s">
        <v>97</v>
      </c>
      <c r="D60" s="316"/>
      <c r="E60" s="317"/>
      <c r="F60" s="318"/>
      <c r="G60" s="318"/>
      <c r="H60" s="313"/>
      <c r="I60" s="314"/>
      <c r="J60" s="313"/>
      <c r="K60" s="319" t="s">
        <v>6</v>
      </c>
      <c r="L60" s="320">
        <v>0</v>
      </c>
      <c r="M60" s="322">
        <v>734</v>
      </c>
      <c r="N60" s="69">
        <f t="shared" si="6"/>
        <v>0</v>
      </c>
      <c r="O60" s="14"/>
      <c r="P60" s="383">
        <f t="shared" si="0"/>
        <v>792.72</v>
      </c>
    </row>
    <row r="61" spans="1:17">
      <c r="A61" s="14"/>
      <c r="B61" s="28">
        <v>6.13</v>
      </c>
      <c r="C61" s="312" t="s">
        <v>98</v>
      </c>
      <c r="D61" s="316"/>
      <c r="E61" s="317"/>
      <c r="F61" s="318"/>
      <c r="G61" s="318"/>
      <c r="H61" s="313"/>
      <c r="I61" s="314"/>
      <c r="J61" s="313"/>
      <c r="K61" s="319" t="s">
        <v>6</v>
      </c>
      <c r="L61" s="320">
        <v>0</v>
      </c>
      <c r="M61" s="322">
        <v>908</v>
      </c>
      <c r="N61" s="69">
        <f t="shared" si="6"/>
        <v>0</v>
      </c>
      <c r="O61" s="14"/>
      <c r="P61" s="383">
        <f t="shared" si="0"/>
        <v>980.6400000000001</v>
      </c>
    </row>
    <row r="62" spans="1:17">
      <c r="A62" s="14"/>
      <c r="B62" s="28">
        <v>6.14</v>
      </c>
      <c r="C62" s="312" t="s">
        <v>99</v>
      </c>
      <c r="D62" s="316"/>
      <c r="E62" s="317"/>
      <c r="F62" s="318"/>
      <c r="G62" s="318"/>
      <c r="H62" s="313"/>
      <c r="I62" s="314"/>
      <c r="J62" s="313"/>
      <c r="K62" s="319" t="s">
        <v>6</v>
      </c>
      <c r="L62" s="320">
        <v>0</v>
      </c>
      <c r="M62" s="322">
        <v>702</v>
      </c>
      <c r="N62" s="69">
        <f t="shared" si="6"/>
        <v>0</v>
      </c>
      <c r="O62" s="14"/>
      <c r="P62" s="383">
        <f t="shared" si="0"/>
        <v>758.16000000000008</v>
      </c>
    </row>
    <row r="63" spans="1:17">
      <c r="A63" s="14"/>
      <c r="B63" s="28">
        <v>6.15</v>
      </c>
      <c r="C63" s="312" t="s">
        <v>68</v>
      </c>
      <c r="D63" s="316"/>
      <c r="E63" s="317"/>
      <c r="F63" s="318"/>
      <c r="G63" s="318"/>
      <c r="H63" s="313"/>
      <c r="I63" s="314"/>
      <c r="J63" s="313"/>
      <c r="K63" s="319" t="s">
        <v>29</v>
      </c>
      <c r="L63" s="320">
        <v>0</v>
      </c>
      <c r="M63" s="322">
        <v>0</v>
      </c>
      <c r="N63" s="69">
        <f t="shared" si="6"/>
        <v>0</v>
      </c>
      <c r="O63" s="14"/>
      <c r="P63" s="383">
        <f t="shared" si="0"/>
        <v>0</v>
      </c>
    </row>
    <row r="64" spans="1:17">
      <c r="A64" s="14"/>
      <c r="B64" s="28">
        <v>6.17</v>
      </c>
      <c r="C64" s="312" t="s">
        <v>68</v>
      </c>
      <c r="D64" s="316"/>
      <c r="E64" s="317"/>
      <c r="F64" s="318"/>
      <c r="G64" s="318"/>
      <c r="H64" s="313"/>
      <c r="I64" s="314"/>
      <c r="J64" s="313"/>
      <c r="K64" s="319" t="s">
        <v>29</v>
      </c>
      <c r="L64" s="320">
        <v>0</v>
      </c>
      <c r="M64" s="322">
        <v>0</v>
      </c>
      <c r="N64" s="69">
        <f t="shared" si="6"/>
        <v>0</v>
      </c>
      <c r="O64" s="14"/>
      <c r="P64" s="383">
        <f t="shared" si="0"/>
        <v>0</v>
      </c>
    </row>
    <row r="65" spans="1:16">
      <c r="A65" s="14"/>
      <c r="B65" s="28">
        <v>6.18</v>
      </c>
      <c r="C65" s="312" t="s">
        <v>68</v>
      </c>
      <c r="D65" s="316"/>
      <c r="E65" s="317"/>
      <c r="F65" s="318"/>
      <c r="G65" s="318"/>
      <c r="H65" s="313"/>
      <c r="I65" s="314"/>
      <c r="J65" s="313"/>
      <c r="K65" s="319" t="s">
        <v>29</v>
      </c>
      <c r="L65" s="320">
        <v>0</v>
      </c>
      <c r="M65" s="322">
        <v>0</v>
      </c>
      <c r="N65" s="69">
        <f t="shared" si="6"/>
        <v>0</v>
      </c>
      <c r="O65" s="14"/>
      <c r="P65" s="383">
        <f t="shared" si="0"/>
        <v>0</v>
      </c>
    </row>
    <row r="66" spans="1:16" ht="16" thickBot="1">
      <c r="A66" s="14"/>
      <c r="B66" s="21"/>
      <c r="C66" s="26"/>
      <c r="D66" s="72"/>
      <c r="E66" s="72"/>
      <c r="F66" s="72"/>
      <c r="G66" s="72"/>
      <c r="H66" s="32"/>
      <c r="I66" s="44"/>
      <c r="J66" s="32"/>
      <c r="K66" s="70"/>
      <c r="L66" s="67"/>
      <c r="M66" s="73"/>
      <c r="N66" s="79"/>
      <c r="O66" s="14"/>
      <c r="P66" s="383">
        <f t="shared" si="0"/>
        <v>0</v>
      </c>
    </row>
    <row r="67" spans="1:16" ht="16" thickBot="1">
      <c r="A67" s="14"/>
      <c r="B67" s="16"/>
      <c r="C67" s="74"/>
      <c r="D67" s="484"/>
      <c r="E67" s="484"/>
      <c r="F67" s="484"/>
      <c r="G67" s="484"/>
      <c r="H67" s="32"/>
      <c r="I67" s="44"/>
      <c r="J67" s="33"/>
      <c r="K67" s="508" t="s">
        <v>7</v>
      </c>
      <c r="L67" s="509"/>
      <c r="M67" s="510">
        <f>SUM(N49:N65)</f>
        <v>3190</v>
      </c>
      <c r="N67" s="511"/>
      <c r="O67" s="14"/>
      <c r="P67" s="383">
        <f t="shared" si="0"/>
        <v>3445.2000000000003</v>
      </c>
    </row>
    <row r="68" spans="1:16" ht="16" thickBot="1">
      <c r="A68" s="14"/>
      <c r="B68" s="20">
        <v>7</v>
      </c>
      <c r="C68" s="27" t="s">
        <v>46</v>
      </c>
      <c r="D68" s="72"/>
      <c r="E68" s="72"/>
      <c r="F68" s="72"/>
      <c r="G68" s="72"/>
      <c r="H68" s="32"/>
      <c r="I68" s="44"/>
      <c r="J68" s="33"/>
      <c r="K68" s="24"/>
      <c r="L68" s="25"/>
      <c r="M68" s="25"/>
      <c r="N68" s="63"/>
      <c r="O68" s="14"/>
      <c r="P68" s="383">
        <f t="shared" si="0"/>
        <v>0</v>
      </c>
    </row>
    <row r="69" spans="1:16">
      <c r="A69" s="14"/>
      <c r="B69" s="21">
        <v>7.1</v>
      </c>
      <c r="C69" s="323" t="s">
        <v>143</v>
      </c>
      <c r="D69" s="326"/>
      <c r="E69" s="326"/>
      <c r="F69" s="328"/>
      <c r="G69" s="328"/>
      <c r="H69" s="324"/>
      <c r="I69" s="325"/>
      <c r="J69" s="324"/>
      <c r="K69" s="329" t="s">
        <v>6</v>
      </c>
      <c r="L69" s="381">
        <v>1</v>
      </c>
      <c r="M69" s="330">
        <v>1843248.8</v>
      </c>
      <c r="N69" s="68">
        <f t="shared" ref="N69:N77" si="7">L69*M69</f>
        <v>1843248.8</v>
      </c>
      <c r="O69" s="14"/>
      <c r="P69" s="383">
        <f t="shared" si="0"/>
        <v>1990708.7040000001</v>
      </c>
    </row>
    <row r="70" spans="1:16">
      <c r="A70" s="14"/>
      <c r="B70" s="21">
        <v>7.2</v>
      </c>
      <c r="C70" s="323" t="s">
        <v>144</v>
      </c>
      <c r="D70" s="326"/>
      <c r="E70" s="326"/>
      <c r="F70" s="328"/>
      <c r="G70" s="328"/>
      <c r="H70" s="324"/>
      <c r="I70" s="325"/>
      <c r="J70" s="324"/>
      <c r="K70" s="329" t="s">
        <v>6</v>
      </c>
      <c r="L70" s="381">
        <v>1</v>
      </c>
      <c r="M70" s="330">
        <v>155250</v>
      </c>
      <c r="N70" s="68">
        <f t="shared" si="7"/>
        <v>155250</v>
      </c>
      <c r="O70" s="14"/>
      <c r="P70" s="383">
        <f t="shared" si="0"/>
        <v>167670</v>
      </c>
    </row>
    <row r="71" spans="1:16">
      <c r="A71" s="14"/>
      <c r="B71" s="21">
        <v>7.3</v>
      </c>
      <c r="C71" s="374" t="s">
        <v>134</v>
      </c>
      <c r="D71" s="326"/>
      <c r="E71" s="326"/>
      <c r="F71" s="328"/>
      <c r="G71" s="328"/>
      <c r="H71" s="324"/>
      <c r="I71" s="325"/>
      <c r="J71" s="324"/>
      <c r="K71" s="329" t="s">
        <v>6</v>
      </c>
      <c r="L71" s="381">
        <v>0</v>
      </c>
      <c r="M71" s="330">
        <v>124</v>
      </c>
      <c r="N71" s="68">
        <f t="shared" si="7"/>
        <v>0</v>
      </c>
      <c r="O71" s="14"/>
      <c r="P71" s="383">
        <f t="shared" si="0"/>
        <v>133.92000000000002</v>
      </c>
    </row>
    <row r="72" spans="1:16">
      <c r="A72" s="14"/>
      <c r="B72" s="21">
        <v>7.4</v>
      </c>
      <c r="C72" s="323" t="s">
        <v>74</v>
      </c>
      <c r="D72" s="326"/>
      <c r="E72" s="327"/>
      <c r="F72" s="328"/>
      <c r="G72" s="328"/>
      <c r="H72" s="324"/>
      <c r="I72" s="325"/>
      <c r="J72" s="324"/>
      <c r="K72" s="329" t="s">
        <v>8</v>
      </c>
      <c r="L72" s="381">
        <v>0</v>
      </c>
      <c r="M72" s="330">
        <v>70</v>
      </c>
      <c r="N72" s="68">
        <f t="shared" si="7"/>
        <v>0</v>
      </c>
      <c r="O72" s="14"/>
      <c r="P72" s="383">
        <f t="shared" si="0"/>
        <v>75.600000000000009</v>
      </c>
    </row>
    <row r="73" spans="1:16">
      <c r="A73" s="14"/>
      <c r="B73" s="21">
        <v>7.5</v>
      </c>
      <c r="C73" s="323" t="s">
        <v>70</v>
      </c>
      <c r="D73" s="326"/>
      <c r="E73" s="327"/>
      <c r="F73" s="328"/>
      <c r="G73" s="328"/>
      <c r="H73" s="324"/>
      <c r="I73" s="325"/>
      <c r="J73" s="324"/>
      <c r="K73" s="329" t="s">
        <v>20</v>
      </c>
      <c r="L73" s="381">
        <v>0</v>
      </c>
      <c r="M73" s="330">
        <v>16200</v>
      </c>
      <c r="N73" s="68">
        <f>L73*M73</f>
        <v>0</v>
      </c>
      <c r="O73" s="14"/>
      <c r="P73" s="383">
        <f t="shared" ref="P73:P136" si="8">M73*1.08</f>
        <v>17496</v>
      </c>
    </row>
    <row r="74" spans="1:16">
      <c r="A74" s="14"/>
      <c r="B74" s="21">
        <v>7.6</v>
      </c>
      <c r="C74" s="323" t="s">
        <v>100</v>
      </c>
      <c r="D74" s="326"/>
      <c r="E74" s="326"/>
      <c r="F74" s="328"/>
      <c r="G74" s="328"/>
      <c r="H74" s="324"/>
      <c r="I74" s="325"/>
      <c r="J74" s="324"/>
      <c r="K74" s="329" t="s">
        <v>6</v>
      </c>
      <c r="L74" s="381">
        <v>1</v>
      </c>
      <c r="M74" s="330">
        <v>10000</v>
      </c>
      <c r="N74" s="68">
        <f t="shared" si="7"/>
        <v>10000</v>
      </c>
      <c r="O74" s="14"/>
      <c r="P74" s="383">
        <f t="shared" si="8"/>
        <v>10800</v>
      </c>
    </row>
    <row r="75" spans="1:16">
      <c r="A75" s="14"/>
      <c r="B75" s="21">
        <v>7.7</v>
      </c>
      <c r="C75" s="323" t="s">
        <v>73</v>
      </c>
      <c r="D75" s="326"/>
      <c r="E75" s="326"/>
      <c r="F75" s="328"/>
      <c r="G75" s="328"/>
      <c r="H75" s="324"/>
      <c r="I75" s="325"/>
      <c r="J75" s="324"/>
      <c r="K75" s="329" t="s">
        <v>6</v>
      </c>
      <c r="L75" s="381">
        <v>160</v>
      </c>
      <c r="M75" s="330">
        <v>205</v>
      </c>
      <c r="N75" s="68">
        <f t="shared" si="7"/>
        <v>32800</v>
      </c>
      <c r="O75" s="14"/>
      <c r="P75" s="383">
        <f t="shared" si="8"/>
        <v>221.4</v>
      </c>
    </row>
    <row r="76" spans="1:16">
      <c r="A76" s="14"/>
      <c r="B76" s="21">
        <v>7.8</v>
      </c>
      <c r="C76" s="323" t="s">
        <v>101</v>
      </c>
      <c r="D76" s="326"/>
      <c r="E76" s="326"/>
      <c r="F76" s="328"/>
      <c r="G76" s="328"/>
      <c r="H76" s="324"/>
      <c r="I76" s="325"/>
      <c r="J76" s="324"/>
      <c r="K76" s="329" t="s">
        <v>6</v>
      </c>
      <c r="L76" s="381">
        <v>40</v>
      </c>
      <c r="M76" s="330">
        <v>229</v>
      </c>
      <c r="N76" s="68">
        <f t="shared" si="7"/>
        <v>9160</v>
      </c>
      <c r="O76" s="14"/>
      <c r="P76" s="383">
        <f t="shared" si="8"/>
        <v>247.32000000000002</v>
      </c>
    </row>
    <row r="77" spans="1:16">
      <c r="A77" s="14"/>
      <c r="B77" s="21">
        <v>7.9</v>
      </c>
      <c r="C77" s="323" t="s">
        <v>102</v>
      </c>
      <c r="D77" s="326"/>
      <c r="E77" s="326"/>
      <c r="F77" s="328"/>
      <c r="G77" s="328"/>
      <c r="H77" s="324"/>
      <c r="I77" s="325"/>
      <c r="J77" s="324"/>
      <c r="K77" s="329" t="s">
        <v>6</v>
      </c>
      <c r="L77" s="381">
        <v>0</v>
      </c>
      <c r="M77" s="330">
        <v>48600</v>
      </c>
      <c r="N77" s="68">
        <f t="shared" si="7"/>
        <v>0</v>
      </c>
      <c r="O77" s="14"/>
      <c r="P77" s="383">
        <f t="shared" si="8"/>
        <v>52488</v>
      </c>
    </row>
    <row r="78" spans="1:16">
      <c r="A78" s="14"/>
      <c r="B78" s="28">
        <v>7.1</v>
      </c>
      <c r="C78" s="323" t="s">
        <v>42</v>
      </c>
      <c r="D78" s="326"/>
      <c r="E78" s="326"/>
      <c r="F78" s="328"/>
      <c r="G78" s="328"/>
      <c r="H78" s="324"/>
      <c r="I78" s="325"/>
      <c r="J78" s="324"/>
      <c r="K78" s="329" t="s">
        <v>6</v>
      </c>
      <c r="L78" s="381">
        <v>1</v>
      </c>
      <c r="M78" s="330">
        <v>4118</v>
      </c>
      <c r="N78" s="68">
        <f>L78*M78</f>
        <v>4118</v>
      </c>
      <c r="O78" s="14"/>
      <c r="P78" s="383">
        <f t="shared" si="8"/>
        <v>4447.4400000000005</v>
      </c>
    </row>
    <row r="79" spans="1:16">
      <c r="A79" s="14"/>
      <c r="B79" s="28">
        <v>7.11</v>
      </c>
      <c r="C79" s="274" t="s">
        <v>135</v>
      </c>
      <c r="D79" s="326"/>
      <c r="E79" s="326"/>
      <c r="F79" s="328"/>
      <c r="G79" s="328"/>
      <c r="H79" s="324"/>
      <c r="I79" s="325"/>
      <c r="J79" s="324"/>
      <c r="K79" s="329" t="s">
        <v>6</v>
      </c>
      <c r="L79" s="420">
        <v>680</v>
      </c>
      <c r="M79" s="330">
        <v>152</v>
      </c>
      <c r="N79" s="68">
        <f>L79*M79</f>
        <v>103360</v>
      </c>
      <c r="O79" s="14"/>
      <c r="P79" s="383">
        <f t="shared" si="8"/>
        <v>164.16000000000003</v>
      </c>
    </row>
    <row r="80" spans="1:16">
      <c r="A80" s="14"/>
      <c r="B80" s="28">
        <v>7.12</v>
      </c>
      <c r="C80" s="274" t="s">
        <v>136</v>
      </c>
      <c r="D80" s="326"/>
      <c r="E80" s="326"/>
      <c r="F80" s="328"/>
      <c r="G80" s="328"/>
      <c r="H80" s="324"/>
      <c r="I80" s="325"/>
      <c r="J80" s="324"/>
      <c r="K80" s="329" t="s">
        <v>6</v>
      </c>
      <c r="L80" s="420">
        <v>390</v>
      </c>
      <c r="M80" s="330">
        <v>111</v>
      </c>
      <c r="N80" s="68">
        <f>L80*M80</f>
        <v>43290</v>
      </c>
      <c r="O80" s="14"/>
      <c r="P80" s="383">
        <f t="shared" si="8"/>
        <v>119.88000000000001</v>
      </c>
    </row>
    <row r="81" spans="1:16">
      <c r="A81" s="14"/>
      <c r="B81" s="28">
        <v>7.13</v>
      </c>
      <c r="C81" s="274" t="s">
        <v>124</v>
      </c>
      <c r="D81" s="326"/>
      <c r="E81" s="326"/>
      <c r="F81" s="328"/>
      <c r="G81" s="328"/>
      <c r="H81" s="324"/>
      <c r="I81" s="325"/>
      <c r="J81" s="324"/>
      <c r="K81" s="329" t="s">
        <v>6</v>
      </c>
      <c r="L81" s="420">
        <v>0</v>
      </c>
      <c r="M81" s="330">
        <v>147</v>
      </c>
      <c r="N81" s="68">
        <f>L81*M81</f>
        <v>0</v>
      </c>
      <c r="O81" s="14"/>
      <c r="P81" s="383">
        <f t="shared" si="8"/>
        <v>158.76000000000002</v>
      </c>
    </row>
    <row r="82" spans="1:16">
      <c r="A82" s="14"/>
      <c r="B82" s="28">
        <v>7.14</v>
      </c>
      <c r="C82" s="274" t="s">
        <v>28</v>
      </c>
      <c r="D82" s="326"/>
      <c r="E82" s="326"/>
      <c r="F82" s="328"/>
      <c r="G82" s="328"/>
      <c r="H82" s="324"/>
      <c r="I82" s="325"/>
      <c r="J82" s="324"/>
      <c r="K82" s="329" t="s">
        <v>6</v>
      </c>
      <c r="L82" s="420">
        <v>0</v>
      </c>
      <c r="M82" s="373">
        <v>152</v>
      </c>
      <c r="N82" s="68">
        <f t="shared" ref="N82:N90" si="9">L82*M82</f>
        <v>0</v>
      </c>
      <c r="O82" s="14"/>
      <c r="P82" s="383">
        <f t="shared" si="8"/>
        <v>164.16000000000003</v>
      </c>
    </row>
    <row r="83" spans="1:16">
      <c r="A83" s="14"/>
      <c r="B83" s="28">
        <v>7.15</v>
      </c>
      <c r="C83" s="274" t="s">
        <v>124</v>
      </c>
      <c r="D83" s="326"/>
      <c r="E83" s="327"/>
      <c r="F83" s="328"/>
      <c r="G83" s="328"/>
      <c r="H83" s="324"/>
      <c r="I83" s="325"/>
      <c r="J83" s="324"/>
      <c r="K83" s="329" t="s">
        <v>6</v>
      </c>
      <c r="L83" s="420">
        <v>0</v>
      </c>
      <c r="M83" s="373">
        <v>147</v>
      </c>
      <c r="N83" s="68">
        <f t="shared" si="9"/>
        <v>0</v>
      </c>
      <c r="O83" s="14"/>
      <c r="P83" s="383">
        <f t="shared" si="8"/>
        <v>158.76000000000002</v>
      </c>
    </row>
    <row r="84" spans="1:16">
      <c r="A84" s="14"/>
      <c r="B84" s="28">
        <v>7.16</v>
      </c>
      <c r="C84" s="274" t="s">
        <v>125</v>
      </c>
      <c r="D84" s="326"/>
      <c r="E84" s="327"/>
      <c r="F84" s="328"/>
      <c r="G84" s="328"/>
      <c r="H84" s="324"/>
      <c r="I84" s="325"/>
      <c r="J84" s="324"/>
      <c r="K84" s="329" t="s">
        <v>6</v>
      </c>
      <c r="L84" s="420">
        <v>0</v>
      </c>
      <c r="M84" s="373">
        <v>102</v>
      </c>
      <c r="N84" s="68">
        <f t="shared" si="9"/>
        <v>0</v>
      </c>
      <c r="O84" s="14"/>
      <c r="P84" s="383">
        <f t="shared" si="8"/>
        <v>110.16000000000001</v>
      </c>
    </row>
    <row r="85" spans="1:16">
      <c r="A85" s="14"/>
      <c r="B85" s="28">
        <v>7.17</v>
      </c>
      <c r="C85" s="274" t="s">
        <v>37</v>
      </c>
      <c r="D85" s="326"/>
      <c r="E85" s="326"/>
      <c r="F85" s="328"/>
      <c r="G85" s="328"/>
      <c r="H85" s="324"/>
      <c r="I85" s="325"/>
      <c r="J85" s="324"/>
      <c r="K85" s="329" t="s">
        <v>6</v>
      </c>
      <c r="L85" s="381">
        <v>0</v>
      </c>
      <c r="M85" s="373">
        <v>135</v>
      </c>
      <c r="N85" s="68">
        <f t="shared" si="9"/>
        <v>0</v>
      </c>
      <c r="O85" s="14"/>
      <c r="P85" s="383">
        <f t="shared" si="8"/>
        <v>145.80000000000001</v>
      </c>
    </row>
    <row r="86" spans="1:16">
      <c r="A86" s="14"/>
      <c r="B86" s="28">
        <v>7.18</v>
      </c>
      <c r="C86" s="274" t="s">
        <v>47</v>
      </c>
      <c r="D86" s="326"/>
      <c r="E86" s="326"/>
      <c r="F86" s="328"/>
      <c r="G86" s="328"/>
      <c r="H86" s="324"/>
      <c r="I86" s="325"/>
      <c r="J86" s="324"/>
      <c r="K86" s="329" t="s">
        <v>6</v>
      </c>
      <c r="L86" s="381">
        <v>0</v>
      </c>
      <c r="M86" s="382">
        <v>70</v>
      </c>
      <c r="N86" s="68">
        <f t="shared" si="9"/>
        <v>0</v>
      </c>
      <c r="O86" s="14"/>
      <c r="P86" s="383">
        <f t="shared" si="8"/>
        <v>75.600000000000009</v>
      </c>
    </row>
    <row r="87" spans="1:16">
      <c r="A87" s="14"/>
      <c r="B87" s="28">
        <v>7.19</v>
      </c>
      <c r="C87" s="274" t="s">
        <v>126</v>
      </c>
      <c r="D87" s="326"/>
      <c r="E87" s="326"/>
      <c r="F87" s="328"/>
      <c r="G87" s="328"/>
      <c r="H87" s="324"/>
      <c r="I87" s="325"/>
      <c r="J87" s="324"/>
      <c r="K87" s="329" t="s">
        <v>6</v>
      </c>
      <c r="L87" s="381">
        <v>0</v>
      </c>
      <c r="M87" s="382">
        <v>70</v>
      </c>
      <c r="N87" s="68">
        <f t="shared" si="9"/>
        <v>0</v>
      </c>
      <c r="O87" s="14"/>
      <c r="P87" s="383">
        <f t="shared" si="8"/>
        <v>75.600000000000009</v>
      </c>
    </row>
    <row r="88" spans="1:16">
      <c r="A88" s="14"/>
      <c r="B88" s="28">
        <v>7.2</v>
      </c>
      <c r="C88" s="374" t="s">
        <v>68</v>
      </c>
      <c r="D88" s="326"/>
      <c r="E88" s="326"/>
      <c r="F88" s="328"/>
      <c r="G88" s="328"/>
      <c r="H88" s="324"/>
      <c r="I88" s="325"/>
      <c r="J88" s="324"/>
      <c r="K88" s="329" t="s">
        <v>67</v>
      </c>
      <c r="L88" s="329">
        <v>0</v>
      </c>
      <c r="M88" s="373">
        <v>178</v>
      </c>
      <c r="N88" s="68">
        <f t="shared" si="9"/>
        <v>0</v>
      </c>
      <c r="O88" s="14"/>
      <c r="P88" s="383">
        <f t="shared" si="8"/>
        <v>192.24</v>
      </c>
    </row>
    <row r="89" spans="1:16">
      <c r="A89" s="14"/>
      <c r="B89" s="28">
        <v>7.21</v>
      </c>
      <c r="C89" s="374" t="s">
        <v>68</v>
      </c>
      <c r="D89" s="326"/>
      <c r="E89" s="326"/>
      <c r="F89" s="328"/>
      <c r="G89" s="328"/>
      <c r="H89" s="324"/>
      <c r="I89" s="325"/>
      <c r="J89" s="324"/>
      <c r="K89" s="329" t="s">
        <v>67</v>
      </c>
      <c r="L89" s="329">
        <v>0</v>
      </c>
      <c r="M89" s="373">
        <v>10260</v>
      </c>
      <c r="N89" s="68">
        <f t="shared" si="9"/>
        <v>0</v>
      </c>
      <c r="O89" s="14"/>
      <c r="P89" s="383">
        <f t="shared" si="8"/>
        <v>11080.800000000001</v>
      </c>
    </row>
    <row r="90" spans="1:16">
      <c r="A90" s="14"/>
      <c r="B90" s="28">
        <v>7.22</v>
      </c>
      <c r="C90" s="374" t="s">
        <v>68</v>
      </c>
      <c r="D90" s="326"/>
      <c r="E90" s="326"/>
      <c r="F90" s="328"/>
      <c r="G90" s="328"/>
      <c r="H90" s="324"/>
      <c r="I90" s="325"/>
      <c r="J90" s="324"/>
      <c r="K90" s="329" t="s">
        <v>67</v>
      </c>
      <c r="L90" s="329">
        <v>0</v>
      </c>
      <c r="M90" s="330">
        <v>0</v>
      </c>
      <c r="N90" s="68">
        <f t="shared" si="9"/>
        <v>0</v>
      </c>
      <c r="O90" s="14"/>
      <c r="P90" s="383">
        <f t="shared" si="8"/>
        <v>0</v>
      </c>
    </row>
    <row r="91" spans="1:16" ht="16" thickBot="1">
      <c r="A91" s="14"/>
      <c r="B91" s="21"/>
      <c r="C91" s="71"/>
      <c r="D91" s="72"/>
      <c r="E91" s="72"/>
      <c r="F91" s="72"/>
      <c r="G91" s="72"/>
      <c r="H91" s="32"/>
      <c r="I91" s="44"/>
      <c r="J91" s="32"/>
      <c r="K91" s="70"/>
      <c r="L91" s="67"/>
      <c r="M91" s="73"/>
      <c r="N91" s="68"/>
      <c r="O91" s="14"/>
      <c r="P91" s="383">
        <f t="shared" si="8"/>
        <v>0</v>
      </c>
    </row>
    <row r="92" spans="1:16" ht="16" thickBot="1">
      <c r="A92" s="14"/>
      <c r="B92" s="16"/>
      <c r="C92" s="74"/>
      <c r="D92" s="484"/>
      <c r="E92" s="484"/>
      <c r="F92" s="484"/>
      <c r="G92" s="484"/>
      <c r="H92" s="32"/>
      <c r="I92" s="44"/>
      <c r="J92" s="33"/>
      <c r="K92" s="508" t="s">
        <v>7</v>
      </c>
      <c r="L92" s="509"/>
      <c r="M92" s="510">
        <f>SUM(N69:N90)</f>
        <v>2201226.7999999998</v>
      </c>
      <c r="N92" s="511"/>
      <c r="O92" s="14"/>
      <c r="P92" s="383">
        <f t="shared" si="8"/>
        <v>2377324.9440000001</v>
      </c>
    </row>
    <row r="93" spans="1:16" ht="16" thickBot="1">
      <c r="A93" s="14"/>
      <c r="B93" s="180" t="s">
        <v>41</v>
      </c>
      <c r="C93" s="27" t="s">
        <v>36</v>
      </c>
      <c r="D93" s="72"/>
      <c r="E93" s="72"/>
      <c r="F93" s="72"/>
      <c r="G93" s="72"/>
      <c r="H93" s="32"/>
      <c r="I93" s="44"/>
      <c r="J93" s="33"/>
      <c r="K93" s="24"/>
      <c r="L93" s="25"/>
      <c r="M93" s="25"/>
      <c r="N93" s="63"/>
      <c r="O93" s="14"/>
      <c r="P93" s="383">
        <f t="shared" si="8"/>
        <v>0</v>
      </c>
    </row>
    <row r="94" spans="1:16">
      <c r="A94" s="14"/>
      <c r="B94" s="28">
        <v>7.23</v>
      </c>
      <c r="C94" s="334" t="s">
        <v>142</v>
      </c>
      <c r="D94" s="335"/>
      <c r="E94" s="335"/>
      <c r="F94" s="336"/>
      <c r="G94" s="336"/>
      <c r="H94" s="332"/>
      <c r="I94" s="333"/>
      <c r="J94" s="332"/>
      <c r="K94" s="337" t="s">
        <v>6</v>
      </c>
      <c r="L94" s="338">
        <v>1</v>
      </c>
      <c r="M94" s="339">
        <v>161894.70000000001</v>
      </c>
      <c r="N94" s="69">
        <f>L94*M94</f>
        <v>161894.70000000001</v>
      </c>
      <c r="O94" s="14"/>
      <c r="P94" s="383">
        <f t="shared" si="8"/>
        <v>174846.27600000001</v>
      </c>
    </row>
    <row r="95" spans="1:16">
      <c r="A95" s="14"/>
      <c r="B95" s="28">
        <v>7.24</v>
      </c>
      <c r="C95" s="331" t="s">
        <v>141</v>
      </c>
      <c r="D95" s="335"/>
      <c r="E95" s="335"/>
      <c r="F95" s="336"/>
      <c r="G95" s="336"/>
      <c r="H95" s="332"/>
      <c r="I95" s="333"/>
      <c r="J95" s="332"/>
      <c r="K95" s="337" t="s">
        <v>6</v>
      </c>
      <c r="L95" s="338">
        <v>1</v>
      </c>
      <c r="M95" s="339">
        <v>500000</v>
      </c>
      <c r="N95" s="69">
        <f>L95*M95</f>
        <v>500000</v>
      </c>
      <c r="O95" s="14"/>
      <c r="P95" s="383">
        <f t="shared" si="8"/>
        <v>540000</v>
      </c>
    </row>
    <row r="96" spans="1:16">
      <c r="A96" s="14"/>
      <c r="B96" s="28">
        <v>7.25</v>
      </c>
      <c r="C96" s="331" t="s">
        <v>35</v>
      </c>
      <c r="D96" s="335"/>
      <c r="E96" s="335"/>
      <c r="F96" s="336"/>
      <c r="G96" s="336"/>
      <c r="H96" s="332"/>
      <c r="I96" s="333"/>
      <c r="J96" s="332"/>
      <c r="K96" s="337" t="s">
        <v>6</v>
      </c>
      <c r="L96" s="381">
        <v>895</v>
      </c>
      <c r="M96" s="339">
        <v>65</v>
      </c>
      <c r="N96" s="69">
        <f>L96*M96</f>
        <v>58175</v>
      </c>
      <c r="O96" s="14"/>
      <c r="P96" s="383">
        <f t="shared" si="8"/>
        <v>70.2</v>
      </c>
    </row>
    <row r="97" spans="1:16">
      <c r="A97" s="14"/>
      <c r="B97" s="28">
        <v>7.26</v>
      </c>
      <c r="C97" s="331" t="s">
        <v>34</v>
      </c>
      <c r="D97" s="335"/>
      <c r="E97" s="335"/>
      <c r="F97" s="336"/>
      <c r="G97" s="336"/>
      <c r="H97" s="332"/>
      <c r="I97" s="333"/>
      <c r="J97" s="332"/>
      <c r="K97" s="337" t="s">
        <v>6</v>
      </c>
      <c r="L97" s="381">
        <v>1</v>
      </c>
      <c r="M97" s="339">
        <v>647147</v>
      </c>
      <c r="N97" s="69">
        <f>L97*M97</f>
        <v>647147</v>
      </c>
      <c r="O97" s="14"/>
      <c r="P97" s="383">
        <f t="shared" si="8"/>
        <v>698918.76</v>
      </c>
    </row>
    <row r="98" spans="1:16">
      <c r="A98" s="14"/>
      <c r="B98" s="28">
        <v>7.27</v>
      </c>
      <c r="C98" s="331" t="s">
        <v>103</v>
      </c>
      <c r="D98" s="335"/>
      <c r="E98" s="335"/>
      <c r="F98" s="336"/>
      <c r="G98" s="336"/>
      <c r="H98" s="332"/>
      <c r="I98" s="333"/>
      <c r="J98" s="332"/>
      <c r="K98" s="337" t="s">
        <v>6</v>
      </c>
      <c r="L98" s="381">
        <v>0</v>
      </c>
      <c r="M98" s="339">
        <v>410</v>
      </c>
      <c r="N98" s="69">
        <f>L98*M98</f>
        <v>0</v>
      </c>
      <c r="O98" s="14"/>
      <c r="P98" s="383">
        <f t="shared" si="8"/>
        <v>442.8</v>
      </c>
    </row>
    <row r="99" spans="1:16">
      <c r="A99" s="14"/>
      <c r="B99" s="28">
        <v>7.28</v>
      </c>
      <c r="C99" s="331" t="s">
        <v>104</v>
      </c>
      <c r="D99" s="335"/>
      <c r="E99" s="335"/>
      <c r="F99" s="336"/>
      <c r="G99" s="336"/>
      <c r="H99" s="332"/>
      <c r="I99" s="333"/>
      <c r="J99" s="332"/>
      <c r="K99" s="337" t="s">
        <v>6</v>
      </c>
      <c r="L99" s="381">
        <v>0</v>
      </c>
      <c r="M99" s="339">
        <v>102</v>
      </c>
      <c r="N99" s="69">
        <f t="shared" ref="N99:N101" si="10">L99*M99</f>
        <v>0</v>
      </c>
      <c r="O99" s="14"/>
      <c r="P99" s="383">
        <f t="shared" si="8"/>
        <v>110.16000000000001</v>
      </c>
    </row>
    <row r="100" spans="1:16">
      <c r="A100" s="14"/>
      <c r="B100" s="28">
        <v>7.29</v>
      </c>
      <c r="C100" s="26" t="s">
        <v>68</v>
      </c>
      <c r="D100" s="64"/>
      <c r="E100" s="64"/>
      <c r="F100" s="263"/>
      <c r="G100" s="263"/>
      <c r="H100" s="32"/>
      <c r="I100" s="44"/>
      <c r="J100" s="32"/>
      <c r="K100" s="93" t="s">
        <v>6</v>
      </c>
      <c r="L100" s="381">
        <v>0</v>
      </c>
      <c r="M100" s="97">
        <v>0</v>
      </c>
      <c r="N100" s="69">
        <f t="shared" si="10"/>
        <v>0</v>
      </c>
      <c r="O100" s="14"/>
      <c r="P100" s="383">
        <f t="shared" si="8"/>
        <v>0</v>
      </c>
    </row>
    <row r="101" spans="1:16">
      <c r="A101" s="14"/>
      <c r="B101" s="28">
        <v>7.3</v>
      </c>
      <c r="C101" s="26" t="s">
        <v>68</v>
      </c>
      <c r="D101" s="64"/>
      <c r="E101" s="64"/>
      <c r="F101" s="263"/>
      <c r="G101" s="263"/>
      <c r="H101" s="32"/>
      <c r="I101" s="44"/>
      <c r="J101" s="32"/>
      <c r="K101" s="93" t="s">
        <v>6</v>
      </c>
      <c r="L101" s="94">
        <v>0</v>
      </c>
      <c r="M101" s="97">
        <v>0</v>
      </c>
      <c r="N101" s="69">
        <f t="shared" si="10"/>
        <v>0</v>
      </c>
      <c r="O101" s="14"/>
      <c r="P101" s="383">
        <f t="shared" si="8"/>
        <v>0</v>
      </c>
    </row>
    <row r="102" spans="1:16" ht="16" thickBot="1">
      <c r="A102" s="14"/>
      <c r="B102" s="21"/>
      <c r="C102" s="71"/>
      <c r="D102" s="72"/>
      <c r="E102" s="72"/>
      <c r="F102" s="72"/>
      <c r="G102" s="72"/>
      <c r="H102" s="32"/>
      <c r="I102" s="44"/>
      <c r="J102" s="32"/>
      <c r="K102" s="70"/>
      <c r="L102" s="67"/>
      <c r="M102" s="68"/>
      <c r="N102" s="69"/>
      <c r="O102" s="14"/>
      <c r="P102" s="383">
        <f t="shared" si="8"/>
        <v>0</v>
      </c>
    </row>
    <row r="103" spans="1:16" ht="16" thickBot="1">
      <c r="A103" s="14"/>
      <c r="B103" s="16"/>
      <c r="C103" s="74"/>
      <c r="D103" s="484"/>
      <c r="E103" s="484"/>
      <c r="F103" s="484"/>
      <c r="G103" s="484"/>
      <c r="H103" s="32"/>
      <c r="I103" s="44"/>
      <c r="J103" s="33"/>
      <c r="K103" s="508" t="s">
        <v>7</v>
      </c>
      <c r="L103" s="509"/>
      <c r="M103" s="510">
        <f>SUM(N94:N101)</f>
        <v>1367216.7</v>
      </c>
      <c r="N103" s="511"/>
      <c r="O103" s="14"/>
      <c r="P103" s="383">
        <f t="shared" si="8"/>
        <v>1476594.0360000001</v>
      </c>
    </row>
    <row r="104" spans="1:16" ht="16" thickBot="1">
      <c r="A104" s="14"/>
      <c r="B104" s="20">
        <v>8</v>
      </c>
      <c r="C104" s="27" t="s">
        <v>14</v>
      </c>
      <c r="D104" s="72"/>
      <c r="E104" s="72"/>
      <c r="F104" s="72"/>
      <c r="G104" s="72"/>
      <c r="H104" s="32"/>
      <c r="I104" s="44"/>
      <c r="J104" s="33"/>
      <c r="K104" s="24"/>
      <c r="L104" s="25"/>
      <c r="M104" s="25"/>
      <c r="N104" s="63"/>
      <c r="O104" s="14"/>
      <c r="P104" s="383">
        <f t="shared" si="8"/>
        <v>0</v>
      </c>
    </row>
    <row r="105" spans="1:16" ht="17" thickBot="1">
      <c r="A105" s="14"/>
      <c r="B105" s="21">
        <v>8.1</v>
      </c>
      <c r="C105" s="344" t="s">
        <v>127</v>
      </c>
      <c r="D105" s="342"/>
      <c r="E105" s="343"/>
      <c r="F105" s="345"/>
      <c r="G105" s="345"/>
      <c r="H105" s="340"/>
      <c r="I105" s="341"/>
      <c r="J105" s="340"/>
      <c r="K105" s="346" t="s">
        <v>19</v>
      </c>
      <c r="L105" s="346">
        <v>0</v>
      </c>
      <c r="M105" s="347">
        <v>2941</v>
      </c>
      <c r="N105" s="69">
        <f>L105*M105</f>
        <v>0</v>
      </c>
      <c r="O105" s="14"/>
      <c r="P105" s="383">
        <f t="shared" si="8"/>
        <v>3176.28</v>
      </c>
    </row>
    <row r="106" spans="1:16" ht="16">
      <c r="A106" s="14"/>
      <c r="B106" s="21">
        <v>8.1999999999999993</v>
      </c>
      <c r="C106" s="344" t="s">
        <v>137</v>
      </c>
      <c r="D106" s="342"/>
      <c r="E106" s="343"/>
      <c r="F106" s="345"/>
      <c r="G106" s="345"/>
      <c r="H106" s="340"/>
      <c r="I106" s="341"/>
      <c r="J106" s="340"/>
      <c r="K106" s="346" t="s">
        <v>19</v>
      </c>
      <c r="L106" s="346">
        <v>1</v>
      </c>
      <c r="M106" s="347">
        <v>4118</v>
      </c>
      <c r="N106" s="69">
        <f t="shared" ref="N106:N108" si="11">L106*M106</f>
        <v>4118</v>
      </c>
      <c r="O106" s="14"/>
      <c r="P106" s="383">
        <f t="shared" si="8"/>
        <v>4447.4400000000005</v>
      </c>
    </row>
    <row r="107" spans="1:16">
      <c r="A107" s="14"/>
      <c r="B107" s="21">
        <v>8.3000000000000007</v>
      </c>
      <c r="C107" s="26" t="s">
        <v>139</v>
      </c>
      <c r="D107" s="64"/>
      <c r="E107" s="65"/>
      <c r="F107" s="263"/>
      <c r="G107" s="263"/>
      <c r="H107" s="32"/>
      <c r="I107" s="44"/>
      <c r="J107" s="32"/>
      <c r="K107" s="94" t="s">
        <v>19</v>
      </c>
      <c r="L107" s="94">
        <v>1</v>
      </c>
      <c r="M107" s="97">
        <v>42000</v>
      </c>
      <c r="N107" s="69">
        <f t="shared" si="11"/>
        <v>42000</v>
      </c>
      <c r="O107" s="14"/>
      <c r="P107" s="383">
        <f t="shared" si="8"/>
        <v>45360</v>
      </c>
    </row>
    <row r="108" spans="1:16">
      <c r="A108" s="14"/>
      <c r="B108" s="21">
        <v>8.4</v>
      </c>
      <c r="C108" s="26" t="s">
        <v>68</v>
      </c>
      <c r="D108" s="64"/>
      <c r="E108" s="65"/>
      <c r="F108" s="263"/>
      <c r="G108" s="263"/>
      <c r="H108" s="32"/>
      <c r="I108" s="44"/>
      <c r="J108" s="32"/>
      <c r="K108" s="94" t="s">
        <v>19</v>
      </c>
      <c r="L108" s="94">
        <v>0</v>
      </c>
      <c r="M108" s="97">
        <v>0</v>
      </c>
      <c r="N108" s="69">
        <f t="shared" si="11"/>
        <v>0</v>
      </c>
      <c r="O108" s="14"/>
      <c r="P108" s="383">
        <f t="shared" si="8"/>
        <v>0</v>
      </c>
    </row>
    <row r="109" spans="1:16" ht="16" thickBot="1">
      <c r="A109" s="14"/>
      <c r="B109" s="21"/>
      <c r="C109" s="80"/>
      <c r="D109" s="72"/>
      <c r="E109" s="72"/>
      <c r="F109" s="72"/>
      <c r="G109" s="72"/>
      <c r="H109" s="32"/>
      <c r="I109" s="44"/>
      <c r="J109" s="32"/>
      <c r="K109" s="67"/>
      <c r="L109" s="67"/>
      <c r="M109" s="73"/>
      <c r="N109" s="68"/>
      <c r="O109" s="14"/>
      <c r="P109" s="383">
        <f t="shared" si="8"/>
        <v>0</v>
      </c>
    </row>
    <row r="110" spans="1:16" ht="16" thickBot="1">
      <c r="A110" s="14"/>
      <c r="B110" s="16"/>
      <c r="C110" s="74"/>
      <c r="D110" s="484"/>
      <c r="E110" s="484"/>
      <c r="F110" s="484"/>
      <c r="G110" s="484"/>
      <c r="H110" s="32"/>
      <c r="I110" s="44"/>
      <c r="J110" s="33"/>
      <c r="K110" s="508" t="s">
        <v>7</v>
      </c>
      <c r="L110" s="509"/>
      <c r="M110" s="510">
        <f>SUM(N105:N108)</f>
        <v>46118</v>
      </c>
      <c r="N110" s="511"/>
      <c r="O110" s="14"/>
      <c r="P110" s="383">
        <f t="shared" si="8"/>
        <v>49807.44</v>
      </c>
    </row>
    <row r="111" spans="1:16" ht="16" thickBot="1">
      <c r="A111" s="14"/>
      <c r="B111" s="20">
        <v>9</v>
      </c>
      <c r="C111" s="27" t="s">
        <v>17</v>
      </c>
      <c r="D111" s="72"/>
      <c r="E111" s="72"/>
      <c r="F111" s="72"/>
      <c r="G111" s="72"/>
      <c r="H111" s="32"/>
      <c r="I111" s="44"/>
      <c r="J111" s="33"/>
      <c r="K111" s="24"/>
      <c r="L111" s="25"/>
      <c r="M111" s="25"/>
      <c r="N111" s="63"/>
      <c r="O111" s="14"/>
      <c r="P111" s="383">
        <f t="shared" si="8"/>
        <v>0</v>
      </c>
    </row>
    <row r="112" spans="1:16" ht="16">
      <c r="A112" s="14"/>
      <c r="B112" s="21">
        <v>9.1</v>
      </c>
      <c r="C112" s="352" t="s">
        <v>15</v>
      </c>
      <c r="D112" s="351"/>
      <c r="E112" s="351"/>
      <c r="F112" s="353"/>
      <c r="G112" s="353"/>
      <c r="H112" s="349"/>
      <c r="I112" s="350"/>
      <c r="J112" s="349"/>
      <c r="K112" s="354" t="s">
        <v>8</v>
      </c>
      <c r="L112" s="354">
        <v>1</v>
      </c>
      <c r="M112" s="355">
        <v>6500</v>
      </c>
      <c r="N112" s="68">
        <f>L112*M112</f>
        <v>6500</v>
      </c>
      <c r="O112" s="14"/>
      <c r="P112" s="383">
        <f t="shared" si="8"/>
        <v>7020.0000000000009</v>
      </c>
    </row>
    <row r="113" spans="1:16">
      <c r="A113" s="14"/>
      <c r="B113" s="21">
        <v>9.1999999999999993</v>
      </c>
      <c r="C113" s="348" t="s">
        <v>69</v>
      </c>
      <c r="D113" s="351"/>
      <c r="E113" s="351"/>
      <c r="F113" s="353"/>
      <c r="G113" s="353"/>
      <c r="H113" s="349"/>
      <c r="I113" s="350"/>
      <c r="J113" s="349"/>
      <c r="K113" s="354" t="s">
        <v>19</v>
      </c>
      <c r="L113" s="354">
        <v>0</v>
      </c>
      <c r="M113" s="355">
        <v>7648</v>
      </c>
      <c r="N113" s="68">
        <f t="shared" ref="N113:N115" si="12">L113*M113</f>
        <v>0</v>
      </c>
      <c r="O113" s="14"/>
      <c r="P113" s="383">
        <f t="shared" si="8"/>
        <v>8259.84</v>
      </c>
    </row>
    <row r="114" spans="1:16">
      <c r="A114" s="14"/>
      <c r="B114" s="21">
        <v>9.3000000000000007</v>
      </c>
      <c r="C114" s="348" t="s">
        <v>83</v>
      </c>
      <c r="D114" s="351"/>
      <c r="E114" s="351"/>
      <c r="F114" s="353"/>
      <c r="G114" s="353"/>
      <c r="H114" s="349"/>
      <c r="I114" s="350"/>
      <c r="J114" s="349"/>
      <c r="K114" s="354" t="s">
        <v>19</v>
      </c>
      <c r="L114" s="354">
        <v>0</v>
      </c>
      <c r="M114" s="355">
        <v>540</v>
      </c>
      <c r="N114" s="68">
        <f t="shared" si="12"/>
        <v>0</v>
      </c>
      <c r="O114" s="14"/>
      <c r="P114" s="383">
        <f t="shared" si="8"/>
        <v>583.20000000000005</v>
      </c>
    </row>
    <row r="115" spans="1:16">
      <c r="A115" s="14"/>
      <c r="B115" s="21">
        <v>9.4</v>
      </c>
      <c r="C115" s="348" t="s">
        <v>17</v>
      </c>
      <c r="D115" s="351"/>
      <c r="E115" s="351"/>
      <c r="F115" s="353"/>
      <c r="G115" s="353"/>
      <c r="H115" s="349"/>
      <c r="I115" s="350"/>
      <c r="J115" s="349"/>
      <c r="K115" s="354" t="s">
        <v>19</v>
      </c>
      <c r="L115" s="354">
        <v>0</v>
      </c>
      <c r="M115" s="355">
        <v>4860</v>
      </c>
      <c r="N115" s="68">
        <f t="shared" si="12"/>
        <v>0</v>
      </c>
      <c r="O115" s="14"/>
      <c r="P115" s="383">
        <f t="shared" si="8"/>
        <v>5248.8</v>
      </c>
    </row>
    <row r="116" spans="1:16" ht="16" thickBot="1">
      <c r="A116" s="14"/>
      <c r="B116" s="21"/>
      <c r="C116" s="80"/>
      <c r="D116" s="72"/>
      <c r="E116" s="72"/>
      <c r="F116" s="72"/>
      <c r="G116" s="72"/>
      <c r="H116" s="32"/>
      <c r="I116" s="44"/>
      <c r="J116" s="32"/>
      <c r="K116" s="67"/>
      <c r="L116" s="67"/>
      <c r="M116" s="73"/>
      <c r="N116" s="68"/>
      <c r="O116" s="14"/>
      <c r="P116" s="383">
        <f t="shared" si="8"/>
        <v>0</v>
      </c>
    </row>
    <row r="117" spans="1:16" ht="16" thickBot="1">
      <c r="A117" s="14"/>
      <c r="B117" s="16"/>
      <c r="C117" s="74"/>
      <c r="D117" s="484"/>
      <c r="E117" s="484"/>
      <c r="F117" s="484"/>
      <c r="G117" s="484"/>
      <c r="H117" s="32"/>
      <c r="I117" s="44"/>
      <c r="J117" s="33"/>
      <c r="K117" s="508" t="s">
        <v>7</v>
      </c>
      <c r="L117" s="509"/>
      <c r="M117" s="510">
        <f>SUM(N112:N115)</f>
        <v>6500</v>
      </c>
      <c r="N117" s="511"/>
      <c r="O117" s="14"/>
      <c r="P117" s="383">
        <f t="shared" si="8"/>
        <v>7020.0000000000009</v>
      </c>
    </row>
    <row r="118" spans="1:16" ht="16" thickBot="1">
      <c r="A118" s="14"/>
      <c r="B118" s="20">
        <v>10</v>
      </c>
      <c r="C118" s="27" t="s">
        <v>16</v>
      </c>
      <c r="D118" s="72"/>
      <c r="E118" s="72"/>
      <c r="F118" s="72"/>
      <c r="G118" s="72"/>
      <c r="H118" s="32"/>
      <c r="I118" s="44"/>
      <c r="J118" s="33"/>
      <c r="K118" s="24"/>
      <c r="L118" s="25"/>
      <c r="M118" s="25"/>
      <c r="N118" s="63"/>
      <c r="O118" s="14"/>
      <c r="P118" s="383">
        <f t="shared" si="8"/>
        <v>0</v>
      </c>
    </row>
    <row r="119" spans="1:16" ht="16">
      <c r="A119" s="14"/>
      <c r="B119" s="21">
        <v>10.1</v>
      </c>
      <c r="C119" s="370" t="s">
        <v>72</v>
      </c>
      <c r="D119" s="368"/>
      <c r="E119" s="369"/>
      <c r="F119" s="371"/>
      <c r="G119" s="371"/>
      <c r="H119" s="366"/>
      <c r="I119" s="367"/>
      <c r="J119" s="366"/>
      <c r="K119" s="372" t="s">
        <v>19</v>
      </c>
      <c r="L119" s="372">
        <v>0</v>
      </c>
      <c r="M119" s="373">
        <v>4860</v>
      </c>
      <c r="N119" s="68">
        <f>L119*M119</f>
        <v>0</v>
      </c>
      <c r="O119" s="14"/>
      <c r="P119" s="383">
        <f t="shared" si="8"/>
        <v>5248.8</v>
      </c>
    </row>
    <row r="120" spans="1:16" ht="16">
      <c r="A120" s="14"/>
      <c r="B120" s="21">
        <v>10.199999999999999</v>
      </c>
      <c r="C120" s="365" t="s">
        <v>71</v>
      </c>
      <c r="D120" s="368"/>
      <c r="E120" s="369"/>
      <c r="F120" s="371"/>
      <c r="G120" s="371"/>
      <c r="H120" s="366"/>
      <c r="I120" s="367"/>
      <c r="J120" s="366"/>
      <c r="K120" s="372" t="s">
        <v>19</v>
      </c>
      <c r="L120" s="372">
        <v>1</v>
      </c>
      <c r="M120" s="373">
        <v>2353</v>
      </c>
      <c r="N120" s="68">
        <f>L120*M120</f>
        <v>2353</v>
      </c>
      <c r="O120" s="14"/>
      <c r="P120" s="383">
        <f t="shared" si="8"/>
        <v>2541.2400000000002</v>
      </c>
    </row>
    <row r="121" spans="1:16" ht="16">
      <c r="A121" s="14"/>
      <c r="B121" s="21">
        <v>10.3</v>
      </c>
      <c r="C121" s="365" t="s">
        <v>84</v>
      </c>
      <c r="D121" s="368"/>
      <c r="E121" s="369"/>
      <c r="F121" s="371"/>
      <c r="G121" s="371"/>
      <c r="H121" s="366"/>
      <c r="I121" s="367"/>
      <c r="J121" s="366"/>
      <c r="K121" s="372" t="s">
        <v>19</v>
      </c>
      <c r="L121" s="372">
        <v>1</v>
      </c>
      <c r="M121" s="373">
        <v>2353</v>
      </c>
      <c r="N121" s="68">
        <f>L121*M121</f>
        <v>2353</v>
      </c>
      <c r="O121" s="14"/>
      <c r="P121" s="383">
        <f t="shared" si="8"/>
        <v>2541.2400000000002</v>
      </c>
    </row>
    <row r="122" spans="1:16" ht="17" thickBot="1">
      <c r="A122" s="14"/>
      <c r="B122" s="21">
        <v>10.4</v>
      </c>
      <c r="C122" s="365" t="s">
        <v>25</v>
      </c>
      <c r="D122" s="368"/>
      <c r="E122" s="369"/>
      <c r="F122" s="371"/>
      <c r="G122" s="371"/>
      <c r="H122" s="366"/>
      <c r="I122" s="367"/>
      <c r="J122" s="366"/>
      <c r="K122" s="372" t="s">
        <v>19</v>
      </c>
      <c r="L122" s="372">
        <v>1</v>
      </c>
      <c r="M122" s="373">
        <v>2353</v>
      </c>
      <c r="N122" s="68">
        <f>L122*M122</f>
        <v>2353</v>
      </c>
      <c r="O122" s="14"/>
      <c r="P122" s="383">
        <f t="shared" si="8"/>
        <v>2541.2400000000002</v>
      </c>
    </row>
    <row r="123" spans="1:16" ht="16">
      <c r="A123" s="14"/>
      <c r="B123" s="21">
        <v>10.5</v>
      </c>
      <c r="C123" s="370" t="s">
        <v>105</v>
      </c>
      <c r="D123" s="368"/>
      <c r="E123" s="369"/>
      <c r="F123" s="371"/>
      <c r="G123" s="371"/>
      <c r="H123" s="366"/>
      <c r="I123" s="367"/>
      <c r="J123" s="366"/>
      <c r="K123" s="372" t="s">
        <v>19</v>
      </c>
      <c r="L123" s="372">
        <v>0</v>
      </c>
      <c r="M123" s="373">
        <v>0</v>
      </c>
      <c r="N123" s="68">
        <f t="shared" ref="N123:N125" si="13">L123*M123</f>
        <v>0</v>
      </c>
      <c r="O123" s="14"/>
      <c r="P123" s="383">
        <f t="shared" si="8"/>
        <v>0</v>
      </c>
    </row>
    <row r="124" spans="1:16">
      <c r="A124" s="14"/>
      <c r="B124" s="21">
        <v>10.6</v>
      </c>
      <c r="C124" s="26" t="s">
        <v>68</v>
      </c>
      <c r="D124" s="64"/>
      <c r="E124" s="65"/>
      <c r="F124" s="263"/>
      <c r="G124" s="263"/>
      <c r="H124" s="32"/>
      <c r="I124" s="44"/>
      <c r="J124" s="32"/>
      <c r="K124" s="94" t="s">
        <v>19</v>
      </c>
      <c r="L124" s="94">
        <v>0</v>
      </c>
      <c r="M124" s="96">
        <v>0</v>
      </c>
      <c r="N124" s="68">
        <f t="shared" si="13"/>
        <v>0</v>
      </c>
      <c r="O124" s="14"/>
      <c r="P124" s="383">
        <f t="shared" si="8"/>
        <v>0</v>
      </c>
    </row>
    <row r="125" spans="1:16">
      <c r="A125" s="14"/>
      <c r="B125" s="21">
        <v>10.7</v>
      </c>
      <c r="C125" s="26" t="s">
        <v>68</v>
      </c>
      <c r="D125" s="64"/>
      <c r="E125" s="65"/>
      <c r="F125" s="263"/>
      <c r="G125" s="263"/>
      <c r="H125" s="32"/>
      <c r="I125" s="44"/>
      <c r="J125" s="32"/>
      <c r="K125" s="94" t="s">
        <v>19</v>
      </c>
      <c r="L125" s="94">
        <v>0</v>
      </c>
      <c r="M125" s="96">
        <v>0</v>
      </c>
      <c r="N125" s="68">
        <f t="shared" si="13"/>
        <v>0</v>
      </c>
      <c r="O125" s="14"/>
      <c r="P125" s="383">
        <f t="shared" si="8"/>
        <v>0</v>
      </c>
    </row>
    <row r="126" spans="1:16" ht="16" thickBot="1">
      <c r="A126" s="14"/>
      <c r="B126" s="21"/>
      <c r="C126" s="80"/>
      <c r="D126" s="72"/>
      <c r="E126" s="72"/>
      <c r="F126" s="72"/>
      <c r="G126" s="72"/>
      <c r="H126" s="32"/>
      <c r="I126" s="44"/>
      <c r="J126" s="32"/>
      <c r="K126" s="67"/>
      <c r="L126" s="67"/>
      <c r="M126" s="73"/>
      <c r="N126" s="68"/>
      <c r="O126" s="14"/>
      <c r="P126" s="383">
        <f t="shared" si="8"/>
        <v>0</v>
      </c>
    </row>
    <row r="127" spans="1:16" ht="16" thickBot="1">
      <c r="A127" s="14"/>
      <c r="B127" s="16"/>
      <c r="C127" s="74"/>
      <c r="D127" s="484"/>
      <c r="E127" s="484"/>
      <c r="F127" s="484"/>
      <c r="G127" s="484"/>
      <c r="H127" s="32"/>
      <c r="I127" s="44"/>
      <c r="J127" s="33"/>
      <c r="K127" s="508" t="s">
        <v>7</v>
      </c>
      <c r="L127" s="509"/>
      <c r="M127" s="510">
        <f>SUM(N119:N125)</f>
        <v>7059</v>
      </c>
      <c r="N127" s="511"/>
      <c r="O127" s="14"/>
      <c r="P127" s="383">
        <f t="shared" si="8"/>
        <v>7623.72</v>
      </c>
    </row>
    <row r="128" spans="1:16" ht="16" thickBot="1">
      <c r="A128" s="14"/>
      <c r="B128" s="20">
        <v>11</v>
      </c>
      <c r="C128" s="27" t="s">
        <v>85</v>
      </c>
      <c r="D128" s="72"/>
      <c r="E128" s="72"/>
      <c r="F128" s="72"/>
      <c r="G128" s="72"/>
      <c r="H128" s="32"/>
      <c r="I128" s="44"/>
      <c r="J128" s="33"/>
      <c r="K128" s="24"/>
      <c r="L128" s="25"/>
      <c r="M128" s="25"/>
      <c r="N128" s="63"/>
      <c r="O128" s="14"/>
      <c r="P128" s="383">
        <f t="shared" si="8"/>
        <v>0</v>
      </c>
    </row>
    <row r="129" spans="1:16" ht="17.25" customHeight="1">
      <c r="A129" s="14"/>
      <c r="B129" s="21">
        <v>11.1</v>
      </c>
      <c r="C129" s="361" t="s">
        <v>86</v>
      </c>
      <c r="D129" s="359"/>
      <c r="E129" s="360"/>
      <c r="F129" s="362"/>
      <c r="G129" s="362"/>
      <c r="H129" s="357"/>
      <c r="I129" s="358"/>
      <c r="J129" s="357"/>
      <c r="K129" s="363" t="s">
        <v>19</v>
      </c>
      <c r="L129" s="363">
        <v>1</v>
      </c>
      <c r="M129" s="364">
        <v>6500</v>
      </c>
      <c r="N129" s="68">
        <f>L129*M129</f>
        <v>6500</v>
      </c>
      <c r="O129" s="14"/>
      <c r="P129" s="383">
        <f t="shared" si="8"/>
        <v>7020.0000000000009</v>
      </c>
    </row>
    <row r="130" spans="1:16" ht="17.25" customHeight="1">
      <c r="A130" s="14"/>
      <c r="B130" s="21">
        <v>11.2</v>
      </c>
      <c r="C130" s="356" t="s">
        <v>140</v>
      </c>
      <c r="D130" s="359"/>
      <c r="E130" s="360"/>
      <c r="F130" s="362"/>
      <c r="G130" s="362"/>
      <c r="H130" s="357"/>
      <c r="I130" s="358"/>
      <c r="J130" s="357"/>
      <c r="K130" s="363" t="s">
        <v>19</v>
      </c>
      <c r="L130" s="363">
        <v>1</v>
      </c>
      <c r="M130" s="364">
        <v>42000</v>
      </c>
      <c r="N130" s="68">
        <f t="shared" ref="N130:N132" si="14">L130*M130</f>
        <v>42000</v>
      </c>
      <c r="O130" s="14"/>
      <c r="P130" s="383">
        <f t="shared" si="8"/>
        <v>45360</v>
      </c>
    </row>
    <row r="131" spans="1:16" ht="17.25" customHeight="1">
      <c r="A131" s="14"/>
      <c r="B131" s="21">
        <v>11.3</v>
      </c>
      <c r="C131" s="356" t="s">
        <v>68</v>
      </c>
      <c r="D131" s="359"/>
      <c r="E131" s="360"/>
      <c r="F131" s="362"/>
      <c r="G131" s="362"/>
      <c r="H131" s="357"/>
      <c r="I131" s="358"/>
      <c r="J131" s="357"/>
      <c r="K131" s="363" t="s">
        <v>19</v>
      </c>
      <c r="L131" s="363">
        <v>0</v>
      </c>
      <c r="M131" s="364">
        <v>0</v>
      </c>
      <c r="N131" s="68">
        <f t="shared" si="14"/>
        <v>0</v>
      </c>
      <c r="O131" s="14"/>
      <c r="P131" s="383">
        <f t="shared" si="8"/>
        <v>0</v>
      </c>
    </row>
    <row r="132" spans="1:16" ht="17.25" customHeight="1">
      <c r="A132" s="14"/>
      <c r="B132" s="21">
        <v>11.4</v>
      </c>
      <c r="C132" s="26" t="s">
        <v>68</v>
      </c>
      <c r="D132" s="64"/>
      <c r="E132" s="65"/>
      <c r="F132" s="263"/>
      <c r="G132" s="263"/>
      <c r="H132" s="32"/>
      <c r="I132" s="44"/>
      <c r="J132" s="32"/>
      <c r="K132" s="94" t="s">
        <v>19</v>
      </c>
      <c r="L132" s="94">
        <v>0</v>
      </c>
      <c r="M132" s="96">
        <v>0</v>
      </c>
      <c r="N132" s="68">
        <f t="shared" si="14"/>
        <v>0</v>
      </c>
      <c r="O132" s="14"/>
      <c r="P132" s="383">
        <f t="shared" si="8"/>
        <v>0</v>
      </c>
    </row>
    <row r="133" spans="1:16" ht="16" thickBot="1">
      <c r="A133" s="14"/>
      <c r="B133" s="21"/>
      <c r="C133" s="80"/>
      <c r="D133" s="72"/>
      <c r="E133" s="72"/>
      <c r="F133" s="72"/>
      <c r="G133" s="72"/>
      <c r="H133" s="32"/>
      <c r="I133" s="44"/>
      <c r="J133" s="32"/>
      <c r="K133" s="67"/>
      <c r="L133" s="67"/>
      <c r="M133" s="73"/>
      <c r="N133" s="68"/>
      <c r="O133" s="14"/>
      <c r="P133" s="383">
        <f t="shared" si="8"/>
        <v>0</v>
      </c>
    </row>
    <row r="134" spans="1:16" ht="16" thickBot="1">
      <c r="A134" s="14"/>
      <c r="B134" s="16"/>
      <c r="C134" s="74"/>
      <c r="D134" s="484"/>
      <c r="E134" s="484"/>
      <c r="F134" s="484"/>
      <c r="G134" s="484"/>
      <c r="H134" s="32"/>
      <c r="I134" s="44"/>
      <c r="J134" s="33"/>
      <c r="K134" s="508" t="s">
        <v>7</v>
      </c>
      <c r="L134" s="509"/>
      <c r="M134" s="510">
        <f>SUM(N129:N132)</f>
        <v>48500</v>
      </c>
      <c r="N134" s="511"/>
      <c r="O134" s="14"/>
      <c r="P134" s="383">
        <f t="shared" si="8"/>
        <v>52380</v>
      </c>
    </row>
    <row r="135" spans="1:16" ht="16" thickBot="1">
      <c r="A135" s="14"/>
      <c r="B135" s="20">
        <v>12</v>
      </c>
      <c r="C135" s="27" t="s">
        <v>18</v>
      </c>
      <c r="D135" s="72"/>
      <c r="E135" s="72"/>
      <c r="F135" s="72"/>
      <c r="G135" s="72"/>
      <c r="H135" s="32"/>
      <c r="I135" s="44"/>
      <c r="J135" s="33"/>
      <c r="K135" s="24"/>
      <c r="L135" s="25"/>
      <c r="M135" s="25"/>
      <c r="N135" s="63"/>
      <c r="O135" s="14"/>
      <c r="P135" s="383">
        <f t="shared" si="8"/>
        <v>0</v>
      </c>
    </row>
    <row r="136" spans="1:16">
      <c r="A136" s="14"/>
      <c r="B136" s="21">
        <v>12.1</v>
      </c>
      <c r="C136" s="377" t="s">
        <v>128</v>
      </c>
      <c r="D136" s="378"/>
      <c r="E136" s="379"/>
      <c r="F136" s="384"/>
      <c r="G136" s="384"/>
      <c r="H136" s="375"/>
      <c r="I136" s="376"/>
      <c r="J136" s="375"/>
      <c r="K136" s="381" t="s">
        <v>19</v>
      </c>
      <c r="L136" s="381">
        <v>1</v>
      </c>
      <c r="M136" s="382">
        <v>3000</v>
      </c>
      <c r="N136" s="68">
        <f>L136*M136</f>
        <v>3000</v>
      </c>
      <c r="O136" s="14"/>
      <c r="P136" s="383">
        <f t="shared" si="8"/>
        <v>3240</v>
      </c>
    </row>
    <row r="137" spans="1:16" ht="31">
      <c r="A137" s="14"/>
      <c r="B137" s="21">
        <v>12.2</v>
      </c>
      <c r="C137" s="365" t="s">
        <v>129</v>
      </c>
      <c r="D137" s="378"/>
      <c r="E137" s="379"/>
      <c r="F137" s="384"/>
      <c r="G137" s="384"/>
      <c r="H137" s="375"/>
      <c r="I137" s="376"/>
      <c r="J137" s="375"/>
      <c r="K137" s="381" t="s">
        <v>19</v>
      </c>
      <c r="L137" s="381">
        <v>0</v>
      </c>
      <c r="M137" s="382">
        <v>7648</v>
      </c>
      <c r="N137" s="68">
        <f>L137*M137</f>
        <v>0</v>
      </c>
      <c r="O137" s="14"/>
      <c r="P137" s="383">
        <f t="shared" ref="P137:P145" si="15">M137*1.08</f>
        <v>8259.84</v>
      </c>
    </row>
    <row r="138" spans="1:16">
      <c r="A138" s="14"/>
      <c r="B138" s="16">
        <v>12.3</v>
      </c>
      <c r="C138" s="374" t="s">
        <v>130</v>
      </c>
      <c r="D138" s="378"/>
      <c r="E138" s="379"/>
      <c r="F138" s="384"/>
      <c r="G138" s="384"/>
      <c r="H138" s="375"/>
      <c r="I138" s="376"/>
      <c r="J138" s="375"/>
      <c r="K138" s="381" t="s">
        <v>8</v>
      </c>
      <c r="L138" s="381">
        <v>0</v>
      </c>
      <c r="M138" s="382">
        <v>2941</v>
      </c>
      <c r="N138" s="68">
        <f>L138*M138</f>
        <v>0</v>
      </c>
      <c r="O138" s="14"/>
      <c r="P138" s="383">
        <f t="shared" si="15"/>
        <v>3176.28</v>
      </c>
    </row>
    <row r="139" spans="1:16">
      <c r="A139" s="14"/>
      <c r="B139" s="16">
        <v>12.4</v>
      </c>
      <c r="C139" s="374" t="s">
        <v>33</v>
      </c>
      <c r="D139" s="378"/>
      <c r="E139" s="379"/>
      <c r="F139" s="380"/>
      <c r="G139" s="380"/>
      <c r="H139" s="375"/>
      <c r="I139" s="376"/>
      <c r="J139" s="375"/>
      <c r="K139" s="381" t="s">
        <v>19</v>
      </c>
      <c r="L139" s="381">
        <v>0</v>
      </c>
      <c r="M139" s="382">
        <v>3780</v>
      </c>
      <c r="N139" s="68">
        <f>L139*M139</f>
        <v>0</v>
      </c>
      <c r="O139" s="14"/>
      <c r="P139" s="383">
        <f t="shared" si="15"/>
        <v>4082.4</v>
      </c>
    </row>
    <row r="140" spans="1:16">
      <c r="A140" s="14"/>
      <c r="B140" s="16">
        <v>12.5</v>
      </c>
      <c r="C140" s="374" t="s">
        <v>106</v>
      </c>
      <c r="D140" s="378"/>
      <c r="E140" s="379"/>
      <c r="F140" s="380"/>
      <c r="G140" s="380"/>
      <c r="H140" s="375"/>
      <c r="I140" s="376"/>
      <c r="J140" s="375"/>
      <c r="K140" s="381" t="s">
        <v>19</v>
      </c>
      <c r="L140" s="381">
        <v>0</v>
      </c>
      <c r="M140" s="382">
        <v>16880</v>
      </c>
      <c r="N140" s="68">
        <f>L140*M140</f>
        <v>0</v>
      </c>
      <c r="O140" s="14"/>
      <c r="P140" s="383">
        <f t="shared" si="15"/>
        <v>18230.400000000001</v>
      </c>
    </row>
    <row r="141" spans="1:16">
      <c r="A141" s="14"/>
      <c r="B141" s="16">
        <v>12.6</v>
      </c>
      <c r="C141" s="374" t="s">
        <v>107</v>
      </c>
      <c r="D141" s="64"/>
      <c r="E141" s="65"/>
      <c r="F141" s="263"/>
      <c r="G141" s="263"/>
      <c r="H141" s="32"/>
      <c r="I141" s="44"/>
      <c r="J141" s="32"/>
      <c r="K141" s="94" t="s">
        <v>19</v>
      </c>
      <c r="L141" s="381">
        <v>0</v>
      </c>
      <c r="M141" s="95">
        <v>3680</v>
      </c>
      <c r="N141" s="68">
        <f t="shared" ref="N141:N143" si="16">L141*M141</f>
        <v>0</v>
      </c>
      <c r="O141" s="14"/>
      <c r="P141" s="383">
        <f t="shared" si="15"/>
        <v>3974.4</v>
      </c>
    </row>
    <row r="142" spans="1:16">
      <c r="A142" s="14"/>
      <c r="B142" s="16">
        <v>12.7</v>
      </c>
      <c r="C142" s="26" t="s">
        <v>68</v>
      </c>
      <c r="D142" s="64"/>
      <c r="E142" s="65"/>
      <c r="F142" s="263"/>
      <c r="G142" s="263"/>
      <c r="H142" s="32"/>
      <c r="I142" s="44"/>
      <c r="J142" s="32"/>
      <c r="K142" s="94" t="s">
        <v>19</v>
      </c>
      <c r="L142" s="94">
        <v>0</v>
      </c>
      <c r="M142" s="95">
        <v>0</v>
      </c>
      <c r="N142" s="68">
        <f t="shared" si="16"/>
        <v>0</v>
      </c>
      <c r="O142" s="14"/>
      <c r="P142" s="383">
        <f t="shared" si="15"/>
        <v>0</v>
      </c>
    </row>
    <row r="143" spans="1:16">
      <c r="A143" s="14"/>
      <c r="B143" s="16">
        <v>12.8</v>
      </c>
      <c r="C143" s="26" t="s">
        <v>68</v>
      </c>
      <c r="D143" s="64"/>
      <c r="E143" s="65"/>
      <c r="F143" s="263"/>
      <c r="G143" s="263"/>
      <c r="H143" s="32"/>
      <c r="I143" s="44"/>
      <c r="J143" s="32"/>
      <c r="K143" s="94" t="s">
        <v>19</v>
      </c>
      <c r="L143" s="94">
        <v>0</v>
      </c>
      <c r="M143" s="95">
        <v>0</v>
      </c>
      <c r="N143" s="68">
        <f t="shared" si="16"/>
        <v>0</v>
      </c>
      <c r="O143" s="14"/>
      <c r="P143" s="383">
        <f t="shared" si="15"/>
        <v>0</v>
      </c>
    </row>
    <row r="144" spans="1:16" ht="16" thickBot="1">
      <c r="A144" s="14"/>
      <c r="B144" s="16"/>
      <c r="C144" s="26"/>
      <c r="D144" s="72"/>
      <c r="E144" s="72"/>
      <c r="F144" s="72"/>
      <c r="G144" s="72"/>
      <c r="H144" s="32"/>
      <c r="I144" s="44"/>
      <c r="J144" s="32"/>
      <c r="K144" s="67"/>
      <c r="L144" s="78"/>
      <c r="M144" s="77"/>
      <c r="N144" s="79"/>
      <c r="O144" s="14"/>
      <c r="P144" s="383">
        <f t="shared" si="15"/>
        <v>0</v>
      </c>
    </row>
    <row r="145" spans="1:16" ht="16" thickBot="1">
      <c r="A145" s="14"/>
      <c r="B145" s="21"/>
      <c r="C145" s="44"/>
      <c r="D145" s="484"/>
      <c r="E145" s="484"/>
      <c r="F145" s="484"/>
      <c r="G145" s="484"/>
      <c r="H145" s="32"/>
      <c r="I145" s="44"/>
      <c r="J145" s="33"/>
      <c r="K145" s="508" t="s">
        <v>7</v>
      </c>
      <c r="L145" s="509"/>
      <c r="M145" s="510">
        <f>SUM(N136:N143)</f>
        <v>3000</v>
      </c>
      <c r="N145" s="511"/>
      <c r="O145" s="14"/>
      <c r="P145" s="383">
        <f t="shared" si="15"/>
        <v>3240</v>
      </c>
    </row>
    <row r="146" spans="1:16" ht="16" thickBot="1">
      <c r="A146" s="14" t="s">
        <v>57</v>
      </c>
      <c r="B146" s="21"/>
      <c r="C146" s="30"/>
      <c r="D146" s="91"/>
      <c r="E146" s="91"/>
      <c r="F146" s="91"/>
      <c r="G146" s="91"/>
      <c r="H146" s="32"/>
      <c r="I146" s="44"/>
      <c r="J146" s="44"/>
      <c r="K146" s="44"/>
      <c r="L146" s="44"/>
      <c r="M146" s="44"/>
      <c r="N146" s="44"/>
      <c r="O146" s="44"/>
    </row>
    <row r="147" spans="1:16" ht="16" thickBot="1">
      <c r="A147" s="102" t="s">
        <v>57</v>
      </c>
      <c r="B147" s="29"/>
      <c r="C147" s="81" t="s">
        <v>32</v>
      </c>
      <c r="D147" s="485" t="s">
        <v>7</v>
      </c>
      <c r="E147" s="486"/>
      <c r="F147" s="487">
        <f>M145+M134+M127+M117+M110+M103+M92+M67+M47+M40+M33+M25+M15</f>
        <v>3923484.5</v>
      </c>
      <c r="G147" s="488"/>
      <c r="H147" s="32"/>
      <c r="I147" s="44"/>
      <c r="J147" s="44"/>
      <c r="K147" s="44"/>
      <c r="L147" s="44"/>
      <c r="M147" s="82"/>
      <c r="N147" s="44"/>
      <c r="O147" s="44"/>
    </row>
    <row r="148" spans="1:16" ht="58.5" customHeight="1">
      <c r="A148" s="102"/>
      <c r="B148" s="478" t="str">
        <f>"Please Note: The above figures are estimates only based on our experience, measures taken and current rates.  An " &amp; 'Maintenance Schedule'!F188*100 &amp; "% escalation has been allowed for per anum . " &amp; " This pricing includes 15% VAT.  Some rates have furthermore been adjusted to try and accommodate P&amp;G's." &amp; "  An allowance for THC to undertake an annual inspection in order to update the maintenance plan and budget should be allowed for."</f>
        <v>Please Note: The above figures are estimates only based on our experience, measures taken and current rates.  An 8% escalation has been allowed for per anum .  This pricing includes 15% VAT.  Some rates have furthermore been adjusted to try and accommodate P&amp;G's.  An allowance for THC to undertake an annual inspection in order to update the maintenance plan and budget should be allowed for.</v>
      </c>
      <c r="C148" s="479"/>
      <c r="D148" s="479"/>
      <c r="E148" s="479"/>
      <c r="F148" s="479"/>
      <c r="G148" s="480"/>
      <c r="H148" s="32"/>
      <c r="I148" s="83"/>
      <c r="J148" s="83"/>
      <c r="K148" s="83"/>
      <c r="L148" s="83"/>
      <c r="M148" s="83"/>
      <c r="N148" s="44"/>
      <c r="O148" s="44"/>
    </row>
    <row r="149" spans="1:16" ht="16" thickBot="1">
      <c r="A149" s="14"/>
      <c r="B149" s="481"/>
      <c r="C149" s="482"/>
      <c r="D149" s="482"/>
      <c r="E149" s="482"/>
      <c r="F149" s="482"/>
      <c r="G149" s="483"/>
      <c r="H149" s="32"/>
      <c r="I149" s="44"/>
      <c r="J149" s="44"/>
      <c r="K149" s="44"/>
      <c r="L149" s="44"/>
      <c r="M149" s="44"/>
      <c r="N149" s="44"/>
      <c r="O149" s="44"/>
    </row>
    <row r="150" spans="1:16">
      <c r="B150" s="90"/>
      <c r="C150" s="44"/>
      <c r="D150" s="44"/>
      <c r="E150" s="44"/>
      <c r="F150" s="44"/>
      <c r="G150" s="44"/>
      <c r="H150" s="44"/>
      <c r="I150" s="44"/>
      <c r="J150" s="44"/>
      <c r="K150" s="44"/>
      <c r="L150" s="44"/>
      <c r="M150" s="44"/>
      <c r="N150" s="44"/>
      <c r="O150" s="44"/>
    </row>
  </sheetData>
  <sheetProtection algorithmName="SHA-512" hashValue="4uyy1lyGbzAyKeRWt7nEVkbU8LczmqGRSeZi2Rhy5ghzLlJm7gBylt7EasZ3CG7K4S8eOx7GnUHEAuJ4u9e9yQ==" saltValue="BKgo3HW6OsvuMzn84KAdZg==" spinCount="100000" sheet="1" objects="1" scenarios="1"/>
  <protectedRanges>
    <protectedRange algorithmName="SHA-512" hashValue="NPXdl9BBqWadSoflsnu0Oy3wMF5ygrJC5FPaqf7U6KGOMrVIQok3FnAQ2vmTzjdCDs7AWVd13Gkptxh0IUpfRg==" saltValue="TiMDbIkiYEfxtlcisAWplQ==" spinCount="100000" sqref="L79:L84" name="Range1_32"/>
  </protectedRanges>
  <mergeCells count="63">
    <mergeCell ref="K134:L134"/>
    <mergeCell ref="M134:N134"/>
    <mergeCell ref="K145:L145"/>
    <mergeCell ref="M145:N145"/>
    <mergeCell ref="K110:L110"/>
    <mergeCell ref="M110:N110"/>
    <mergeCell ref="K117:L117"/>
    <mergeCell ref="M117:N117"/>
    <mergeCell ref="K127:L127"/>
    <mergeCell ref="M127:N127"/>
    <mergeCell ref="K67:L67"/>
    <mergeCell ref="M67:N67"/>
    <mergeCell ref="K92:L92"/>
    <mergeCell ref="M92:N92"/>
    <mergeCell ref="K103:L103"/>
    <mergeCell ref="M103:N103"/>
    <mergeCell ref="K33:L33"/>
    <mergeCell ref="M33:N33"/>
    <mergeCell ref="K40:L40"/>
    <mergeCell ref="M40:N40"/>
    <mergeCell ref="K47:L47"/>
    <mergeCell ref="M47:N47"/>
    <mergeCell ref="K1:N2"/>
    <mergeCell ref="K6:N6"/>
    <mergeCell ref="K15:L15"/>
    <mergeCell ref="M15:N15"/>
    <mergeCell ref="K25:L25"/>
    <mergeCell ref="M25:N25"/>
    <mergeCell ref="K4:L4"/>
    <mergeCell ref="M4:N4"/>
    <mergeCell ref="D92:E92"/>
    <mergeCell ref="F92:G92"/>
    <mergeCell ref="D103:E103"/>
    <mergeCell ref="F103:G103"/>
    <mergeCell ref="F33:G33"/>
    <mergeCell ref="D40:E40"/>
    <mergeCell ref="F40:G40"/>
    <mergeCell ref="D47:E47"/>
    <mergeCell ref="F47:G47"/>
    <mergeCell ref="D33:E33"/>
    <mergeCell ref="D67:E67"/>
    <mergeCell ref="F67:G67"/>
    <mergeCell ref="D134:E134"/>
    <mergeCell ref="F134:G134"/>
    <mergeCell ref="D6:G6"/>
    <mergeCell ref="B1:E2"/>
    <mergeCell ref="B3:G3"/>
    <mergeCell ref="D4:G4"/>
    <mergeCell ref="D25:E25"/>
    <mergeCell ref="F25:G25"/>
    <mergeCell ref="D15:E15"/>
    <mergeCell ref="F15:G15"/>
    <mergeCell ref="D110:E110"/>
    <mergeCell ref="F110:G110"/>
    <mergeCell ref="D117:E117"/>
    <mergeCell ref="F117:G117"/>
    <mergeCell ref="D127:E127"/>
    <mergeCell ref="F127:G127"/>
    <mergeCell ref="B148:G149"/>
    <mergeCell ref="D145:E145"/>
    <mergeCell ref="F145:G145"/>
    <mergeCell ref="D147:E147"/>
    <mergeCell ref="F147:G147"/>
  </mergeCells>
  <pageMargins left="0.70866141732283472" right="0.70866141732283472" top="0.74803149606299213" bottom="0.74803149606299213" header="0.31496062992125984" footer="0.31496062992125984"/>
  <pageSetup scale="3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9F29B-38C2-437F-8B56-4FF3FC439798}">
  <sheetPr codeName="Sheet13">
    <tabColor rgb="FFC00000"/>
    <pageSetUpPr fitToPage="1"/>
  </sheetPr>
  <dimension ref="A1:BN205"/>
  <sheetViews>
    <sheetView tabSelected="1" view="pageBreakPreview" zoomScale="70" zoomScaleNormal="70" zoomScaleSheetLayoutView="70" workbookViewId="0">
      <pane xSplit="5" ySplit="5" topLeftCell="F127" activePane="bottomRight" state="frozen"/>
      <selection pane="topRight"/>
      <selection pane="bottomLeft"/>
      <selection pane="bottomRight" activeCell="F111" sqref="F111"/>
    </sheetView>
  </sheetViews>
  <sheetFormatPr baseColWidth="10" defaultColWidth="9.1640625" defaultRowHeight="18"/>
  <cols>
    <col min="1" max="1" width="2.1640625" style="195" customWidth="1"/>
    <col min="2" max="2" width="11.33203125" style="6" hidden="1" customWidth="1"/>
    <col min="3" max="3" width="11.1640625" style="6" hidden="1" customWidth="1"/>
    <col min="4" max="4" width="6.83203125" style="10" customWidth="1"/>
    <col min="5" max="5" width="85.83203125" style="262" bestFit="1" customWidth="1"/>
    <col min="6" max="6" width="22.5" style="262" bestFit="1" customWidth="1"/>
    <col min="7" max="7" width="0.83203125" style="262" customWidth="1"/>
    <col min="8" max="8" width="22.5" style="262" bestFit="1" customWidth="1"/>
    <col min="9" max="9" width="0.83203125" style="262" customWidth="1"/>
    <col min="10" max="10" width="22.5" style="262" bestFit="1" customWidth="1"/>
    <col min="11" max="11" width="0.83203125" style="262" customWidth="1"/>
    <col min="12" max="12" width="22.5" style="262" bestFit="1" customWidth="1"/>
    <col min="13" max="13" width="0.83203125" style="262" customWidth="1"/>
    <col min="14" max="14" width="22.5" style="262" bestFit="1" customWidth="1"/>
    <col min="15" max="15" width="0.83203125" style="262" customWidth="1"/>
    <col min="16" max="16" width="22.5" style="262" bestFit="1" customWidth="1"/>
    <col min="17" max="17" width="0.83203125" style="262" customWidth="1"/>
    <col min="18" max="18" width="23.5" style="262" bestFit="1" customWidth="1"/>
    <col min="19" max="19" width="0.83203125" style="262" customWidth="1"/>
    <col min="20" max="20" width="23" style="262" bestFit="1" customWidth="1"/>
    <col min="21" max="21" width="0.83203125" style="262" customWidth="1"/>
    <col min="22" max="22" width="23" style="262" customWidth="1"/>
    <col min="23" max="23" width="0.83203125" style="262" customWidth="1"/>
    <col min="24" max="24" width="22.5" style="262" bestFit="1" customWidth="1"/>
    <col min="25" max="25" width="0.83203125" style="262" customWidth="1"/>
    <col min="26" max="26" width="15.6640625" style="442" hidden="1" customWidth="1"/>
    <col min="27" max="27" width="15.6640625" style="13" hidden="1" customWidth="1"/>
    <col min="28" max="28" width="26.5" style="418" customWidth="1"/>
    <col min="29" max="29" width="0.6640625" style="400" customWidth="1"/>
    <col min="30" max="66" width="9.1640625" style="6"/>
    <col min="67" max="16384" width="9.1640625" style="7"/>
  </cols>
  <sheetData>
    <row r="1" spans="1:29" ht="15" customHeight="1">
      <c r="A1" s="194" t="s">
        <v>133</v>
      </c>
      <c r="B1" s="35" t="s">
        <v>49</v>
      </c>
      <c r="C1" s="35" t="s">
        <v>50</v>
      </c>
      <c r="D1" s="462" t="str">
        <f>'Description Sheet'!B1</f>
        <v>KNIGHTSBRIDGE - DESK REVIEW MAINTENANCE SCHEDULE (2021)</v>
      </c>
      <c r="E1" s="463"/>
      <c r="F1" s="463"/>
      <c r="G1" s="463"/>
      <c r="H1" s="463"/>
      <c r="I1" s="463"/>
      <c r="J1" s="464"/>
      <c r="K1" s="517"/>
      <c r="L1" s="518"/>
      <c r="M1" s="518"/>
      <c r="N1" s="518"/>
      <c r="O1" s="518"/>
      <c r="P1" s="518"/>
      <c r="Q1" s="518"/>
      <c r="R1" s="518"/>
      <c r="S1" s="518"/>
      <c r="T1" s="518"/>
      <c r="U1" s="518"/>
      <c r="V1" s="518"/>
      <c r="W1" s="518"/>
      <c r="X1" s="518"/>
      <c r="Y1" s="518"/>
      <c r="Z1" s="518"/>
      <c r="AA1" s="518"/>
      <c r="AB1" s="519"/>
      <c r="AC1" s="399"/>
    </row>
    <row r="2" spans="1:29" ht="57.75" customHeight="1" thickBot="1">
      <c r="A2" s="38"/>
      <c r="B2" s="39"/>
      <c r="C2" s="39"/>
      <c r="D2" s="492"/>
      <c r="E2" s="493"/>
      <c r="F2" s="493"/>
      <c r="G2" s="493"/>
      <c r="H2" s="493"/>
      <c r="I2" s="493"/>
      <c r="J2" s="494"/>
      <c r="K2" s="520"/>
      <c r="L2" s="521"/>
      <c r="M2" s="521"/>
      <c r="N2" s="521"/>
      <c r="O2" s="521"/>
      <c r="P2" s="521"/>
      <c r="Q2" s="521"/>
      <c r="R2" s="521"/>
      <c r="S2" s="521"/>
      <c r="T2" s="521"/>
      <c r="U2" s="521"/>
      <c r="V2" s="521"/>
      <c r="W2" s="521"/>
      <c r="X2" s="521"/>
      <c r="Y2" s="521"/>
      <c r="Z2" s="521"/>
      <c r="AA2" s="521"/>
      <c r="AB2" s="522"/>
    </row>
    <row r="3" spans="1:29" ht="27" customHeight="1" thickBot="1">
      <c r="A3" s="14"/>
      <c r="B3" s="15"/>
      <c r="C3" s="15"/>
      <c r="D3" s="423" t="s">
        <v>1</v>
      </c>
      <c r="E3" s="424"/>
      <c r="F3" s="424"/>
      <c r="G3" s="424"/>
      <c r="H3" s="424"/>
      <c r="I3" s="424"/>
      <c r="J3" s="424"/>
      <c r="K3" s="443"/>
      <c r="L3" s="443"/>
      <c r="M3" s="443"/>
      <c r="N3" s="443"/>
      <c r="O3" s="443"/>
      <c r="P3" s="443"/>
      <c r="Q3" s="443"/>
      <c r="R3" s="443"/>
      <c r="S3" s="443"/>
      <c r="T3" s="443"/>
      <c r="U3" s="443"/>
      <c r="V3" s="443"/>
      <c r="W3" s="443"/>
      <c r="X3" s="444"/>
      <c r="Y3" s="445"/>
      <c r="Z3" s="523" t="s">
        <v>87</v>
      </c>
      <c r="AA3" s="459" t="s">
        <v>51</v>
      </c>
      <c r="AB3" s="446" t="s">
        <v>131</v>
      </c>
    </row>
    <row r="4" spans="1:29" ht="19" thickBot="1">
      <c r="A4" s="14"/>
      <c r="B4" s="15"/>
      <c r="C4" s="15"/>
      <c r="D4" s="119"/>
      <c r="E4" s="17" t="str">
        <f>'Maintenance Schedule'!E4</f>
        <v>WORK DUE IN FINANCIAL YEAR</v>
      </c>
      <c r="F4" s="18" t="str">
        <f>'Maintenance Schedule'!F4</f>
        <v>2021/2022</v>
      </c>
      <c r="G4" s="206"/>
      <c r="H4" s="18" t="str">
        <f>'Maintenance Schedule'!H4</f>
        <v>2022/2023</v>
      </c>
      <c r="I4" s="206"/>
      <c r="J4" s="18" t="str">
        <f>'Maintenance Schedule'!J4</f>
        <v>2023/2024</v>
      </c>
      <c r="K4" s="206"/>
      <c r="L4" s="18" t="str">
        <f>'Maintenance Schedule'!L4</f>
        <v>2024/2025</v>
      </c>
      <c r="M4" s="206"/>
      <c r="N4" s="18" t="str">
        <f>'Maintenance Schedule'!N4</f>
        <v>2025/2026</v>
      </c>
      <c r="O4" s="206"/>
      <c r="P4" s="18" t="str">
        <f>'Maintenance Schedule'!P4</f>
        <v>2026/2027</v>
      </c>
      <c r="Q4" s="206"/>
      <c r="R4" s="18" t="str">
        <f>'Maintenance Schedule'!R4</f>
        <v>2027/2028</v>
      </c>
      <c r="S4" s="206"/>
      <c r="T4" s="18" t="str">
        <f>'Maintenance Schedule'!T4</f>
        <v>2028/2029</v>
      </c>
      <c r="U4" s="206"/>
      <c r="V4" s="18" t="str">
        <f>'Maintenance Schedule'!V4</f>
        <v>2029/2030</v>
      </c>
      <c r="W4" s="206"/>
      <c r="X4" s="18" t="str">
        <f>'Maintenance Schedule'!X4</f>
        <v>2030/2031</v>
      </c>
      <c r="Y4" s="207"/>
      <c r="Z4" s="523"/>
      <c r="AA4" s="459"/>
      <c r="AB4" s="415"/>
    </row>
    <row r="5" spans="1:29" ht="29.25" customHeight="1" thickBot="1">
      <c r="A5" s="14"/>
      <c r="B5" s="19"/>
      <c r="C5" s="19"/>
      <c r="D5" s="120" t="s">
        <v>19</v>
      </c>
      <c r="E5" s="121" t="s">
        <v>0</v>
      </c>
      <c r="F5" s="468" t="str">
        <f>'Maintenance Schedule'!F5:X5</f>
        <v>INDICATION OF REQUIRED WORKS</v>
      </c>
      <c r="G5" s="469"/>
      <c r="H5" s="469"/>
      <c r="I5" s="469"/>
      <c r="J5" s="469"/>
      <c r="K5" s="469"/>
      <c r="L5" s="469"/>
      <c r="M5" s="469"/>
      <c r="N5" s="469"/>
      <c r="O5" s="469"/>
      <c r="P5" s="469"/>
      <c r="Q5" s="469"/>
      <c r="R5" s="469"/>
      <c r="S5" s="469"/>
      <c r="T5" s="469"/>
      <c r="U5" s="469"/>
      <c r="V5" s="469"/>
      <c r="W5" s="469"/>
      <c r="X5" s="469"/>
      <c r="Y5" s="207"/>
      <c r="Z5" s="524"/>
      <c r="AA5" s="459"/>
      <c r="AB5" s="415"/>
    </row>
    <row r="6" spans="1:29" ht="19" hidden="1" thickBot="1">
      <c r="A6" s="14"/>
      <c r="B6" s="19"/>
      <c r="C6" s="19"/>
      <c r="D6" s="122"/>
      <c r="E6" s="123"/>
      <c r="F6" s="208"/>
      <c r="G6" s="206"/>
      <c r="H6" s="208"/>
      <c r="I6" s="206"/>
      <c r="J6" s="208"/>
      <c r="K6" s="206"/>
      <c r="L6" s="208"/>
      <c r="M6" s="206"/>
      <c r="N6" s="208"/>
      <c r="O6" s="206"/>
      <c r="P6" s="208"/>
      <c r="Q6" s="206"/>
      <c r="R6" s="208"/>
      <c r="S6" s="206"/>
      <c r="T6" s="208"/>
      <c r="U6" s="206"/>
      <c r="V6" s="208"/>
      <c r="W6" s="206"/>
      <c r="X6" s="208"/>
      <c r="Y6" s="207"/>
      <c r="Z6" s="431"/>
      <c r="AA6" s="12"/>
      <c r="AB6" s="415"/>
    </row>
    <row r="7" spans="1:29" ht="22" thickBot="1">
      <c r="A7" s="14"/>
      <c r="B7" s="19">
        <v>1</v>
      </c>
      <c r="C7" s="19"/>
      <c r="D7" s="120">
        <f>'Description Sheet'!B7</f>
        <v>1</v>
      </c>
      <c r="E7" s="177" t="str">
        <f>'Description Sheet'!C7</f>
        <v>Electrical Areas</v>
      </c>
      <c r="F7" s="209"/>
      <c r="G7" s="206"/>
      <c r="H7" s="210"/>
      <c r="I7" s="206"/>
      <c r="J7" s="210"/>
      <c r="K7" s="206"/>
      <c r="L7" s="210"/>
      <c r="M7" s="206"/>
      <c r="N7" s="210"/>
      <c r="O7" s="206"/>
      <c r="P7" s="210"/>
      <c r="Q7" s="206"/>
      <c r="R7" s="210"/>
      <c r="S7" s="206"/>
      <c r="T7" s="210"/>
      <c r="U7" s="206"/>
      <c r="V7" s="210"/>
      <c r="W7" s="206"/>
      <c r="X7" s="210"/>
      <c r="Y7" s="207"/>
      <c r="Z7" s="431"/>
      <c r="AA7" s="12"/>
      <c r="AB7" s="415"/>
    </row>
    <row r="8" spans="1:29">
      <c r="A8" s="14"/>
      <c r="B8" s="19">
        <v>1</v>
      </c>
      <c r="C8" s="19">
        <v>1</v>
      </c>
      <c r="D8" s="122">
        <f>'Description Sheet'!B8</f>
        <v>1.1000000000000001</v>
      </c>
      <c r="E8" s="128" t="str">
        <f>'Description Sheet'!C8</f>
        <v>General Electrics and Lighting (Replacement/Repairs)</v>
      </c>
      <c r="F8" s="403">
        <v>4500</v>
      </c>
      <c r="G8" s="404"/>
      <c r="H8" s="403">
        <v>4860</v>
      </c>
      <c r="I8" s="404"/>
      <c r="J8" s="403">
        <v>5248.8</v>
      </c>
      <c r="K8" s="404"/>
      <c r="L8" s="403">
        <v>5668.7040000000006</v>
      </c>
      <c r="M8" s="404"/>
      <c r="N8" s="403">
        <v>6122.2003200000017</v>
      </c>
      <c r="O8" s="404"/>
      <c r="P8" s="403">
        <v>6611.9763456000028</v>
      </c>
      <c r="Q8" s="404"/>
      <c r="R8" s="403">
        <v>7140.9344532480027</v>
      </c>
      <c r="S8" s="404"/>
      <c r="T8" s="403">
        <v>7712.2092095078442</v>
      </c>
      <c r="U8" s="404"/>
      <c r="V8" s="403">
        <v>8329.1859462684715</v>
      </c>
      <c r="W8" s="404"/>
      <c r="X8" s="403">
        <v>8995.5208219699489</v>
      </c>
      <c r="Y8" s="213"/>
      <c r="Z8" s="432" t="str">
        <f>IF('Maintenance Schedule'!Z8="","",'Maintenance Schedule'!Z8)</f>
        <v/>
      </c>
      <c r="AA8" s="12">
        <f>'Description Sheet'!N8</f>
        <v>4500</v>
      </c>
      <c r="AB8" s="415"/>
    </row>
    <row r="9" spans="1:29" hidden="1">
      <c r="A9" s="14"/>
      <c r="B9" s="19">
        <v>1</v>
      </c>
      <c r="C9" s="19">
        <v>2</v>
      </c>
      <c r="D9" s="122">
        <f>'Description Sheet'!B9</f>
        <v>1.2</v>
      </c>
      <c r="E9" s="128" t="str">
        <f>'Description Sheet'!C9</f>
        <v>Generators (Maintenance Savings)</v>
      </c>
      <c r="F9" s="403"/>
      <c r="G9" s="404"/>
      <c r="H9" s="403"/>
      <c r="I9" s="404"/>
      <c r="J9" s="403"/>
      <c r="K9" s="404"/>
      <c r="L9" s="403"/>
      <c r="M9" s="404"/>
      <c r="N9" s="403"/>
      <c r="O9" s="404"/>
      <c r="P9" s="403"/>
      <c r="Q9" s="404"/>
      <c r="R9" s="403"/>
      <c r="S9" s="404"/>
      <c r="T9" s="403"/>
      <c r="U9" s="404"/>
      <c r="V9" s="403"/>
      <c r="W9" s="404"/>
      <c r="X9" s="403"/>
      <c r="Y9" s="213"/>
      <c r="Z9" s="432" t="str">
        <f>IF('Maintenance Schedule'!Z9="","",'Maintenance Schedule'!Z9)</f>
        <v/>
      </c>
      <c r="AA9" s="12">
        <f>'Description Sheet'!N9</f>
        <v>0</v>
      </c>
      <c r="AB9" s="415"/>
    </row>
    <row r="10" spans="1:29">
      <c r="A10" s="14"/>
      <c r="B10" s="19">
        <v>1</v>
      </c>
      <c r="C10" s="19">
        <v>3</v>
      </c>
      <c r="D10" s="122">
        <f>'Description Sheet'!B10</f>
        <v>1.3</v>
      </c>
      <c r="E10" s="128" t="str">
        <f>'Description Sheet'!C10</f>
        <v>Main Gate &amp; Motor (Replacement Savings)</v>
      </c>
      <c r="F10" s="403">
        <v>2941</v>
      </c>
      <c r="G10" s="404"/>
      <c r="H10" s="403">
        <v>3176.28</v>
      </c>
      <c r="I10" s="404"/>
      <c r="J10" s="403">
        <v>3430.3824000000004</v>
      </c>
      <c r="K10" s="404"/>
      <c r="L10" s="403">
        <v>3704.8129920000006</v>
      </c>
      <c r="M10" s="404"/>
      <c r="N10" s="403">
        <v>4001.1980313600011</v>
      </c>
      <c r="O10" s="404"/>
      <c r="P10" s="403">
        <v>4321.2938738688017</v>
      </c>
      <c r="Q10" s="404"/>
      <c r="R10" s="403">
        <v>4666.9973837783054</v>
      </c>
      <c r="S10" s="404"/>
      <c r="T10" s="403">
        <v>5040.3571744805713</v>
      </c>
      <c r="U10" s="404"/>
      <c r="V10" s="403">
        <v>5443.5857484390162</v>
      </c>
      <c r="W10" s="404"/>
      <c r="X10" s="403">
        <v>5879.0726083141381</v>
      </c>
      <c r="Y10" s="213"/>
      <c r="Z10" s="432" t="str">
        <f>IF('Maintenance Schedule'!Z10="","",'Maintenance Schedule'!Z10)</f>
        <v/>
      </c>
      <c r="AA10" s="12">
        <f>'Description Sheet'!N10</f>
        <v>2941</v>
      </c>
      <c r="AB10" s="415"/>
    </row>
    <row r="11" spans="1:29" hidden="1">
      <c r="A11" s="14"/>
      <c r="B11" s="19">
        <v>1</v>
      </c>
      <c r="C11" s="19">
        <v>4</v>
      </c>
      <c r="D11" s="122">
        <f>'Description Sheet'!B11</f>
        <v>1.4</v>
      </c>
      <c r="E11" s="128" t="str">
        <f>'Description Sheet'!C11</f>
        <v>Tranformers (Service Interval 3 Years)</v>
      </c>
      <c r="F11" s="403"/>
      <c r="G11" s="405"/>
      <c r="H11" s="403"/>
      <c r="I11" s="405"/>
      <c r="J11" s="403"/>
      <c r="K11" s="405"/>
      <c r="L11" s="403"/>
      <c r="M11" s="405"/>
      <c r="N11" s="403"/>
      <c r="O11" s="405"/>
      <c r="P11" s="403"/>
      <c r="Q11" s="405"/>
      <c r="R11" s="403"/>
      <c r="S11" s="405"/>
      <c r="T11" s="403"/>
      <c r="U11" s="405"/>
      <c r="V11" s="403"/>
      <c r="W11" s="405"/>
      <c r="X11" s="403"/>
      <c r="Y11" s="213"/>
      <c r="Z11" s="432" t="str">
        <f>IF('Maintenance Schedule'!Z11="","",'Maintenance Schedule'!Z11)</f>
        <v/>
      </c>
      <c r="AA11" s="12">
        <f>'Description Sheet'!N11</f>
        <v>0</v>
      </c>
      <c r="AB11" s="415"/>
    </row>
    <row r="12" spans="1:29" hidden="1">
      <c r="A12" s="14"/>
      <c r="B12" s="19">
        <v>1</v>
      </c>
      <c r="C12" s="19">
        <v>5</v>
      </c>
      <c r="D12" s="122">
        <f>'Description Sheet'!B12</f>
        <v>1.5</v>
      </c>
      <c r="E12" s="128" t="str">
        <f>'Description Sheet'!C12</f>
        <v>blank</v>
      </c>
      <c r="F12" s="403"/>
      <c r="G12" s="405"/>
      <c r="H12" s="403"/>
      <c r="I12" s="405"/>
      <c r="J12" s="403"/>
      <c r="K12" s="405"/>
      <c r="L12" s="403"/>
      <c r="M12" s="405"/>
      <c r="N12" s="403"/>
      <c r="O12" s="405"/>
      <c r="P12" s="403"/>
      <c r="Q12" s="405"/>
      <c r="R12" s="403"/>
      <c r="S12" s="405"/>
      <c r="T12" s="403"/>
      <c r="U12" s="405"/>
      <c r="V12" s="403"/>
      <c r="W12" s="405"/>
      <c r="X12" s="403"/>
      <c r="Y12" s="213"/>
      <c r="Z12" s="432" t="str">
        <f>IF('Maintenance Schedule'!Z12="","",'Maintenance Schedule'!Z12)</f>
        <v/>
      </c>
      <c r="AA12" s="12">
        <f>'Description Sheet'!N12</f>
        <v>0</v>
      </c>
      <c r="AB12" s="415"/>
    </row>
    <row r="13" spans="1:29" hidden="1">
      <c r="A13" s="14"/>
      <c r="B13" s="19">
        <v>1</v>
      </c>
      <c r="C13" s="19">
        <v>6</v>
      </c>
      <c r="D13" s="122">
        <f>'Description Sheet'!B13</f>
        <v>1.6</v>
      </c>
      <c r="E13" s="128" t="str">
        <f>'Description Sheet'!C13</f>
        <v>blank</v>
      </c>
      <c r="F13" s="403"/>
      <c r="G13" s="405"/>
      <c r="H13" s="403"/>
      <c r="I13" s="405"/>
      <c r="J13" s="403"/>
      <c r="K13" s="405"/>
      <c r="L13" s="403"/>
      <c r="M13" s="405"/>
      <c r="N13" s="403"/>
      <c r="O13" s="405"/>
      <c r="P13" s="403"/>
      <c r="Q13" s="405"/>
      <c r="R13" s="403"/>
      <c r="S13" s="405"/>
      <c r="T13" s="403"/>
      <c r="U13" s="405"/>
      <c r="V13" s="403"/>
      <c r="W13" s="405"/>
      <c r="X13" s="403"/>
      <c r="Y13" s="213"/>
      <c r="Z13" s="432" t="str">
        <f>IF('Maintenance Schedule'!Z13="","",'Maintenance Schedule'!Z13)</f>
        <v/>
      </c>
      <c r="AA13" s="12">
        <f>'Description Sheet'!N13</f>
        <v>0</v>
      </c>
      <c r="AB13" s="415"/>
    </row>
    <row r="14" spans="1:29" ht="19" thickBot="1">
      <c r="A14" s="14"/>
      <c r="B14" s="19"/>
      <c r="C14" s="19"/>
      <c r="D14" s="122"/>
      <c r="E14" s="214"/>
      <c r="F14" s="211"/>
      <c r="G14" s="213"/>
      <c r="H14" s="211"/>
      <c r="I14" s="213"/>
      <c r="J14" s="211"/>
      <c r="K14" s="213"/>
      <c r="L14" s="211"/>
      <c r="M14" s="213"/>
      <c r="N14" s="211"/>
      <c r="O14" s="213"/>
      <c r="P14" s="211"/>
      <c r="Q14" s="213"/>
      <c r="R14" s="211"/>
      <c r="S14" s="213"/>
      <c r="T14" s="211"/>
      <c r="U14" s="213"/>
      <c r="V14" s="211"/>
      <c r="W14" s="213"/>
      <c r="X14" s="215"/>
      <c r="Y14" s="213"/>
      <c r="Z14" s="435"/>
      <c r="AA14" s="12"/>
      <c r="AB14" s="415"/>
    </row>
    <row r="15" spans="1:29" ht="20" thickBot="1">
      <c r="A15" s="14" t="s">
        <v>64</v>
      </c>
      <c r="B15" s="19"/>
      <c r="C15" s="19"/>
      <c r="D15" s="124"/>
      <c r="E15" s="125" t="s">
        <v>31</v>
      </c>
      <c r="F15" s="126">
        <v>0</v>
      </c>
      <c r="G15" s="425"/>
      <c r="H15" s="127"/>
      <c r="I15" s="426"/>
      <c r="J15" s="127"/>
      <c r="K15" s="426"/>
      <c r="L15" s="127"/>
      <c r="M15" s="426"/>
      <c r="N15" s="127"/>
      <c r="O15" s="426"/>
      <c r="P15" s="127"/>
      <c r="Q15" s="426"/>
      <c r="R15" s="127"/>
      <c r="S15" s="426"/>
      <c r="T15" s="127"/>
      <c r="U15" s="426"/>
      <c r="V15" s="127"/>
      <c r="W15" s="426"/>
      <c r="X15" s="127"/>
      <c r="Y15" s="425"/>
      <c r="Z15" s="431"/>
      <c r="AA15" s="12"/>
      <c r="AB15" s="415"/>
    </row>
    <row r="16" spans="1:29" ht="19" thickBot="1">
      <c r="A16" s="14" t="s">
        <v>65</v>
      </c>
      <c r="B16" s="19"/>
      <c r="C16" s="19"/>
      <c r="D16" s="122"/>
      <c r="E16" s="128" t="s">
        <v>43</v>
      </c>
      <c r="F16" s="129">
        <f>'Year (2021-2022)'!H16</f>
        <v>7441</v>
      </c>
      <c r="G16" s="206"/>
      <c r="H16" s="129">
        <f>'Year (2022-2023)'!H16</f>
        <v>8036.2800000000007</v>
      </c>
      <c r="I16" s="427">
        <f>'Year (2022-2023)'!I16</f>
        <v>0</v>
      </c>
      <c r="J16" s="129">
        <f>'Year (2023-2024)'!H16</f>
        <v>8679.1824000000015</v>
      </c>
      <c r="K16" s="206"/>
      <c r="L16" s="129">
        <f>'Year (2024-2025)'!H16</f>
        <v>9373.5169920000008</v>
      </c>
      <c r="M16" s="206"/>
      <c r="N16" s="129">
        <f>'Year (2025-2026)'!H16</f>
        <v>10123.398351360001</v>
      </c>
      <c r="O16" s="206"/>
      <c r="P16" s="129">
        <f>'Year (2026-2027)'!H16</f>
        <v>10933.270219468803</v>
      </c>
      <c r="Q16" s="206"/>
      <c r="R16" s="129">
        <f>'Year (2027-2028)'!H16</f>
        <v>11807.931837026308</v>
      </c>
      <c r="S16" s="206"/>
      <c r="T16" s="129">
        <f>'Year (2028-2029)'!H16</f>
        <v>12752.566383988415</v>
      </c>
      <c r="U16" s="206"/>
      <c r="V16" s="129">
        <f>'Year (2029-2030)'!H16</f>
        <v>13772.771694707488</v>
      </c>
      <c r="W16" s="206"/>
      <c r="X16" s="129">
        <f>'Year (2030-2031)'!H16</f>
        <v>14874.593430284087</v>
      </c>
      <c r="Y16" s="207"/>
      <c r="Z16" s="431"/>
      <c r="AA16" s="12"/>
      <c r="AB16" s="416">
        <f>F16+H16+J16+L16+N16+P16+R16+T16+V16+X16</f>
        <v>107794.51130883512</v>
      </c>
    </row>
    <row r="17" spans="1:28">
      <c r="A17" s="14" t="s">
        <v>66</v>
      </c>
      <c r="B17" s="19"/>
      <c r="C17" s="19"/>
      <c r="D17" s="122"/>
      <c r="E17" s="130" t="s">
        <v>48</v>
      </c>
      <c r="F17" s="447">
        <v>7441</v>
      </c>
      <c r="G17" s="206"/>
      <c r="H17" s="447">
        <v>8036.2800000000007</v>
      </c>
      <c r="I17" s="206"/>
      <c r="J17" s="447">
        <v>8679.1824000000015</v>
      </c>
      <c r="K17" s="206"/>
      <c r="L17" s="447">
        <v>9373.5169920000008</v>
      </c>
      <c r="M17" s="206"/>
      <c r="N17" s="447">
        <v>10123.398351360003</v>
      </c>
      <c r="O17" s="206"/>
      <c r="P17" s="447">
        <v>10933.270219468804</v>
      </c>
      <c r="Q17" s="206"/>
      <c r="R17" s="447">
        <v>11807.931837026308</v>
      </c>
      <c r="S17" s="206"/>
      <c r="T17" s="447">
        <v>12752.566383988415</v>
      </c>
      <c r="U17" s="206"/>
      <c r="V17" s="447">
        <v>13772.771694707488</v>
      </c>
      <c r="W17" s="206"/>
      <c r="X17" s="447">
        <v>14874.593430284087</v>
      </c>
      <c r="Y17" s="207"/>
      <c r="Z17" s="431"/>
      <c r="AA17" s="12"/>
      <c r="AB17" s="415"/>
    </row>
    <row r="18" spans="1:28" ht="20" thickBot="1">
      <c r="A18" s="14"/>
      <c r="B18" s="19"/>
      <c r="C18" s="19"/>
      <c r="D18" s="122"/>
      <c r="E18" s="216"/>
      <c r="F18" s="217"/>
      <c r="G18" s="206"/>
      <c r="H18" s="218"/>
      <c r="I18" s="206"/>
      <c r="J18" s="217"/>
      <c r="K18" s="206"/>
      <c r="L18" s="218"/>
      <c r="M18" s="206"/>
      <c r="N18" s="218"/>
      <c r="O18" s="206"/>
      <c r="P18" s="218"/>
      <c r="Q18" s="206"/>
      <c r="R18" s="217"/>
      <c r="S18" s="206"/>
      <c r="T18" s="218"/>
      <c r="U18" s="206"/>
      <c r="V18" s="218"/>
      <c r="W18" s="206"/>
      <c r="X18" s="217"/>
      <c r="Y18" s="207"/>
      <c r="Z18" s="431"/>
      <c r="AA18" s="12"/>
      <c r="AB18" s="415"/>
    </row>
    <row r="19" spans="1:28" ht="22" thickBot="1">
      <c r="A19" s="14"/>
      <c r="B19" s="19">
        <v>2</v>
      </c>
      <c r="C19" s="19"/>
      <c r="D19" s="120">
        <f>'Description Sheet'!B16</f>
        <v>2</v>
      </c>
      <c r="E19" s="178" t="str">
        <f>'Description Sheet'!C16</f>
        <v>External Plumbing Areas</v>
      </c>
      <c r="F19" s="219"/>
      <c r="G19" s="206"/>
      <c r="H19" s="220"/>
      <c r="I19" s="206"/>
      <c r="J19" s="219"/>
      <c r="K19" s="206"/>
      <c r="L19" s="220"/>
      <c r="M19" s="206"/>
      <c r="N19" s="220"/>
      <c r="O19" s="206"/>
      <c r="P19" s="220"/>
      <c r="Q19" s="206"/>
      <c r="R19" s="219"/>
      <c r="S19" s="206"/>
      <c r="T19" s="220"/>
      <c r="U19" s="206"/>
      <c r="V19" s="220"/>
      <c r="W19" s="206"/>
      <c r="X19" s="219"/>
      <c r="Y19" s="207"/>
      <c r="Z19" s="431"/>
      <c r="AA19" s="12"/>
      <c r="AB19" s="415"/>
    </row>
    <row r="20" spans="1:28">
      <c r="A20" s="14"/>
      <c r="B20" s="19">
        <v>2</v>
      </c>
      <c r="C20" s="19">
        <v>7</v>
      </c>
      <c r="D20" s="122">
        <f>'Description Sheet'!B17</f>
        <v>2.1</v>
      </c>
      <c r="E20" s="128" t="str">
        <f>'Description Sheet'!C17</f>
        <v>General Plumbing Repairs/Upgrade (Stacks, Valves etc.)</v>
      </c>
      <c r="F20" s="403">
        <v>25000</v>
      </c>
      <c r="G20" s="404"/>
      <c r="H20" s="403">
        <v>27000</v>
      </c>
      <c r="I20" s="404"/>
      <c r="J20" s="403">
        <v>29160.000000000004</v>
      </c>
      <c r="K20" s="404"/>
      <c r="L20" s="403">
        <v>31492.800000000003</v>
      </c>
      <c r="M20" s="404"/>
      <c r="N20" s="403">
        <v>34012.224000000009</v>
      </c>
      <c r="O20" s="404"/>
      <c r="P20" s="403">
        <v>36733.201920000014</v>
      </c>
      <c r="Q20" s="404"/>
      <c r="R20" s="403">
        <v>39671.858073600015</v>
      </c>
      <c r="S20" s="404"/>
      <c r="T20" s="403">
        <v>42845.606719488023</v>
      </c>
      <c r="U20" s="404"/>
      <c r="V20" s="403">
        <v>46273.255257047065</v>
      </c>
      <c r="W20" s="404"/>
      <c r="X20" s="403">
        <v>49975.115677610833</v>
      </c>
      <c r="Y20" s="213"/>
      <c r="Z20" s="432" t="str">
        <f>IF('Maintenance Schedule'!Z20="","",'Maintenance Schedule'!Z20)</f>
        <v/>
      </c>
      <c r="AA20" s="12">
        <f>'Description Sheet'!N17</f>
        <v>25000</v>
      </c>
      <c r="AB20" s="415"/>
    </row>
    <row r="21" spans="1:28" hidden="1">
      <c r="A21" s="14"/>
      <c r="B21" s="19">
        <v>2</v>
      </c>
      <c r="C21" s="19">
        <v>8</v>
      </c>
      <c r="D21" s="122">
        <f>'Description Sheet'!B18</f>
        <v>2.2000000000000002</v>
      </c>
      <c r="E21" s="128" t="str">
        <f>'Description Sheet'!C18</f>
        <v>Rectify Reticalation Connections at Fire Hydrants</v>
      </c>
      <c r="F21" s="406"/>
      <c r="G21" s="404"/>
      <c r="H21" s="406"/>
      <c r="I21" s="404"/>
      <c r="J21" s="406"/>
      <c r="K21" s="404"/>
      <c r="L21" s="406"/>
      <c r="M21" s="404"/>
      <c r="N21" s="406"/>
      <c r="O21" s="404"/>
      <c r="P21" s="406"/>
      <c r="Q21" s="404"/>
      <c r="R21" s="406"/>
      <c r="S21" s="404"/>
      <c r="T21" s="406"/>
      <c r="U21" s="404"/>
      <c r="V21" s="406"/>
      <c r="W21" s="404"/>
      <c r="X21" s="403"/>
      <c r="Y21" s="213"/>
      <c r="Z21" s="432" t="str">
        <f>IF('Maintenance Schedule'!Z21="","",'Maintenance Schedule'!Z21)</f>
        <v/>
      </c>
      <c r="AA21" s="12">
        <f>'Description Sheet'!N18</f>
        <v>0</v>
      </c>
      <c r="AB21" s="415"/>
    </row>
    <row r="22" spans="1:28" hidden="1">
      <c r="A22" s="14"/>
      <c r="B22" s="19">
        <v>2</v>
      </c>
      <c r="C22" s="19">
        <v>9</v>
      </c>
      <c r="D22" s="122">
        <f>'Description Sheet'!B19</f>
        <v>2.2999999999999998</v>
      </c>
      <c r="E22" s="128" t="str">
        <f>'Description Sheet'!C19</f>
        <v>Repairs to Storm Water Gullies</v>
      </c>
      <c r="F22" s="406"/>
      <c r="G22" s="404"/>
      <c r="H22" s="406"/>
      <c r="I22" s="404"/>
      <c r="J22" s="406"/>
      <c r="K22" s="404"/>
      <c r="L22" s="406"/>
      <c r="M22" s="404"/>
      <c r="N22" s="406"/>
      <c r="O22" s="404"/>
      <c r="P22" s="406"/>
      <c r="Q22" s="404"/>
      <c r="R22" s="406"/>
      <c r="S22" s="404"/>
      <c r="T22" s="406"/>
      <c r="U22" s="404"/>
      <c r="V22" s="406"/>
      <c r="W22" s="404"/>
      <c r="X22" s="403"/>
      <c r="Y22" s="213"/>
      <c r="Z22" s="432" t="str">
        <f>IF('Maintenance Schedule'!Z22="","",'Maintenance Schedule'!Z22)</f>
        <v/>
      </c>
      <c r="AA22" s="12">
        <f>'Description Sheet'!N19</f>
        <v>0</v>
      </c>
      <c r="AB22" s="415"/>
    </row>
    <row r="23" spans="1:28" hidden="1">
      <c r="A23" s="14"/>
      <c r="B23" s="19">
        <v>2</v>
      </c>
      <c r="C23" s="19">
        <v>10</v>
      </c>
      <c r="D23" s="122">
        <f>'Description Sheet'!B20</f>
        <v>2.4</v>
      </c>
      <c r="E23" s="128" t="str">
        <f>'Description Sheet'!C20</f>
        <v>Servicing of Full-Bore Piping</v>
      </c>
      <c r="F23" s="406"/>
      <c r="G23" s="404"/>
      <c r="H23" s="406"/>
      <c r="I23" s="404"/>
      <c r="J23" s="406"/>
      <c r="K23" s="404"/>
      <c r="L23" s="406"/>
      <c r="M23" s="404"/>
      <c r="N23" s="406"/>
      <c r="O23" s="404"/>
      <c r="P23" s="406"/>
      <c r="Q23" s="404"/>
      <c r="R23" s="406"/>
      <c r="S23" s="404"/>
      <c r="T23" s="406"/>
      <c r="U23" s="404"/>
      <c r="V23" s="406"/>
      <c r="W23" s="404"/>
      <c r="X23" s="403"/>
      <c r="Y23" s="213"/>
      <c r="Z23" s="432" t="str">
        <f>IF('Maintenance Schedule'!Z23="","",'Maintenance Schedule'!Z23)</f>
        <v/>
      </c>
      <c r="AA23" s="12">
        <f>'Description Sheet'!N20</f>
        <v>4706</v>
      </c>
      <c r="AB23" s="415"/>
    </row>
    <row r="24" spans="1:28" hidden="1">
      <c r="A24" s="14"/>
      <c r="B24" s="19">
        <v>2</v>
      </c>
      <c r="C24" s="19">
        <v>11</v>
      </c>
      <c r="D24" s="122">
        <f>'Description Sheet'!B21</f>
        <v>2.5</v>
      </c>
      <c r="E24" s="128" t="str">
        <f>'Description Sheet'!C21</f>
        <v>Replacing of Cast Iron Stack Pipes with PVC</v>
      </c>
      <c r="F24" s="406"/>
      <c r="G24" s="404"/>
      <c r="H24" s="403"/>
      <c r="I24" s="405"/>
      <c r="J24" s="403"/>
      <c r="K24" s="405"/>
      <c r="L24" s="403"/>
      <c r="M24" s="405"/>
      <c r="N24" s="403"/>
      <c r="O24" s="405"/>
      <c r="P24" s="403"/>
      <c r="Q24" s="405"/>
      <c r="R24" s="403"/>
      <c r="S24" s="405"/>
      <c r="T24" s="403"/>
      <c r="U24" s="405"/>
      <c r="V24" s="403"/>
      <c r="W24" s="405"/>
      <c r="X24" s="403"/>
      <c r="Y24" s="213"/>
      <c r="Z24" s="432" t="str">
        <f>IF('Maintenance Schedule'!Z24="","",'Maintenance Schedule'!Z24)</f>
        <v/>
      </c>
      <c r="AA24" s="12">
        <f>'Description Sheet'!N21</f>
        <v>111780</v>
      </c>
      <c r="AB24" s="415"/>
    </row>
    <row r="25" spans="1:28" hidden="1">
      <c r="A25" s="14"/>
      <c r="B25" s="19">
        <v>2</v>
      </c>
      <c r="C25" s="19">
        <v>12</v>
      </c>
      <c r="D25" s="122">
        <f>'Description Sheet'!B22</f>
        <v>2.6</v>
      </c>
      <c r="E25" s="128" t="str">
        <f>'Description Sheet'!C22</f>
        <v>Water Tanks and Pumps (Maintenance/Repairs Savings)</v>
      </c>
      <c r="F25" s="403"/>
      <c r="G25" s="404"/>
      <c r="H25" s="403"/>
      <c r="I25" s="404"/>
      <c r="J25" s="403"/>
      <c r="K25" s="404"/>
      <c r="L25" s="403"/>
      <c r="M25" s="404"/>
      <c r="N25" s="403"/>
      <c r="O25" s="404"/>
      <c r="P25" s="403"/>
      <c r="Q25" s="404"/>
      <c r="R25" s="403"/>
      <c r="S25" s="404"/>
      <c r="T25" s="403"/>
      <c r="U25" s="404"/>
      <c r="V25" s="403"/>
      <c r="W25" s="404"/>
      <c r="X25" s="403"/>
      <c r="Y25" s="213"/>
      <c r="Z25" s="432" t="str">
        <f>IF('Maintenance Schedule'!Z25="","",'Maintenance Schedule'!Z25)</f>
        <v/>
      </c>
      <c r="AA25" s="12">
        <f>'Description Sheet'!N22</f>
        <v>0</v>
      </c>
      <c r="AB25" s="415"/>
    </row>
    <row r="26" spans="1:28" hidden="1">
      <c r="A26" s="14"/>
      <c r="B26" s="19">
        <v>2</v>
      </c>
      <c r="C26" s="19">
        <v>13</v>
      </c>
      <c r="D26" s="122">
        <f>'Description Sheet'!B23</f>
        <v>2.7</v>
      </c>
      <c r="E26" s="128" t="str">
        <f>'Description Sheet'!C23</f>
        <v>Asbestos Water Tanks (Replace)</v>
      </c>
      <c r="F26" s="406"/>
      <c r="G26" s="404"/>
      <c r="H26" s="403"/>
      <c r="I26" s="405"/>
      <c r="J26" s="403"/>
      <c r="K26" s="405"/>
      <c r="L26" s="403"/>
      <c r="M26" s="405"/>
      <c r="N26" s="403"/>
      <c r="O26" s="405"/>
      <c r="P26" s="403"/>
      <c r="Q26" s="405"/>
      <c r="R26" s="403"/>
      <c r="S26" s="405"/>
      <c r="T26" s="403"/>
      <c r="U26" s="405"/>
      <c r="V26" s="403"/>
      <c r="W26" s="405"/>
      <c r="X26" s="403"/>
      <c r="Y26" s="213"/>
      <c r="Z26" s="432" t="str">
        <f>IF('Maintenance Schedule'!Z26="","",'Maintenance Schedule'!Z26)</f>
        <v/>
      </c>
      <c r="AA26" s="12">
        <f>'Description Sheet'!N23</f>
        <v>0</v>
      </c>
      <c r="AB26" s="415"/>
    </row>
    <row r="27" spans="1:28" ht="19" thickBot="1">
      <c r="A27" s="14"/>
      <c r="B27" s="19"/>
      <c r="C27" s="19"/>
      <c r="D27" s="122"/>
      <c r="E27" s="214"/>
      <c r="F27" s="215"/>
      <c r="G27" s="212"/>
      <c r="H27" s="211"/>
      <c r="I27" s="213"/>
      <c r="J27" s="211"/>
      <c r="K27" s="213"/>
      <c r="L27" s="211"/>
      <c r="M27" s="213"/>
      <c r="N27" s="211"/>
      <c r="O27" s="213"/>
      <c r="P27" s="211"/>
      <c r="Q27" s="213"/>
      <c r="R27" s="211"/>
      <c r="S27" s="213"/>
      <c r="T27" s="211"/>
      <c r="U27" s="213"/>
      <c r="V27" s="211"/>
      <c r="W27" s="213"/>
      <c r="X27" s="215"/>
      <c r="Y27" s="213"/>
      <c r="Z27" s="431"/>
      <c r="AA27" s="12"/>
      <c r="AB27" s="415"/>
    </row>
    <row r="28" spans="1:28" ht="20" thickBot="1">
      <c r="A28" s="14" t="s">
        <v>64</v>
      </c>
      <c r="B28" s="19"/>
      <c r="C28" s="19"/>
      <c r="D28" s="124"/>
      <c r="E28" s="125" t="s">
        <v>31</v>
      </c>
      <c r="F28" s="126">
        <v>0</v>
      </c>
      <c r="G28" s="206"/>
      <c r="H28" s="127"/>
      <c r="I28" s="426"/>
      <c r="J28" s="127"/>
      <c r="K28" s="426"/>
      <c r="L28" s="127"/>
      <c r="M28" s="426"/>
      <c r="N28" s="127"/>
      <c r="O28" s="426"/>
      <c r="P28" s="127"/>
      <c r="Q28" s="426"/>
      <c r="R28" s="127"/>
      <c r="S28" s="426"/>
      <c r="T28" s="127"/>
      <c r="U28" s="426"/>
      <c r="V28" s="127"/>
      <c r="W28" s="426"/>
      <c r="X28" s="127"/>
      <c r="Y28" s="425"/>
      <c r="Z28" s="431"/>
      <c r="AA28" s="12"/>
      <c r="AB28" s="415"/>
    </row>
    <row r="29" spans="1:28" ht="19" thickBot="1">
      <c r="A29" s="14" t="s">
        <v>65</v>
      </c>
      <c r="B29" s="19"/>
      <c r="C29" s="19"/>
      <c r="D29" s="122"/>
      <c r="E29" s="128" t="s">
        <v>43</v>
      </c>
      <c r="F29" s="129">
        <f>'Year (2021-2022)'!H26</f>
        <v>25000</v>
      </c>
      <c r="G29" s="206"/>
      <c r="H29" s="129">
        <f>'Year (2022-2023)'!H26</f>
        <v>27000</v>
      </c>
      <c r="I29" s="206"/>
      <c r="J29" s="129">
        <f>'Year (2023-2024)'!H26</f>
        <v>29160.000000000004</v>
      </c>
      <c r="K29" s="206"/>
      <c r="L29" s="129">
        <f>'Year (2024-2025)'!H26</f>
        <v>31492.800000000007</v>
      </c>
      <c r="M29" s="206"/>
      <c r="N29" s="129">
        <f>'Year (2025-2026)'!H26</f>
        <v>34012.224000000009</v>
      </c>
      <c r="O29" s="206"/>
      <c r="P29" s="129">
        <f>'Year (2026-2027)'!H26</f>
        <v>36733.201920000014</v>
      </c>
      <c r="Q29" s="206"/>
      <c r="R29" s="129">
        <f>'Year (2027-2028)'!H26</f>
        <v>39671.858073600015</v>
      </c>
      <c r="S29" s="206"/>
      <c r="T29" s="129">
        <f>'Year (2028-2029)'!H26</f>
        <v>42845.606719488016</v>
      </c>
      <c r="U29" s="206"/>
      <c r="V29" s="129">
        <f>'Year (2029-2030)'!H26</f>
        <v>46273.255257047058</v>
      </c>
      <c r="W29" s="206"/>
      <c r="X29" s="129">
        <f>'Year (2030-2031)'!H26</f>
        <v>49975.115677610826</v>
      </c>
      <c r="Y29" s="207"/>
      <c r="Z29" s="431"/>
      <c r="AA29" s="12"/>
      <c r="AB29" s="416">
        <f>F29+H29+J29+L29+N29+P29+R29+T29+V29+X29</f>
        <v>362164.0616477459</v>
      </c>
    </row>
    <row r="30" spans="1:28">
      <c r="A30" s="14" t="s">
        <v>66</v>
      </c>
      <c r="B30" s="19"/>
      <c r="C30" s="19"/>
      <c r="D30" s="122"/>
      <c r="E30" s="130" t="s">
        <v>48</v>
      </c>
      <c r="F30" s="447">
        <v>25000</v>
      </c>
      <c r="G30" s="206"/>
      <c r="H30" s="447">
        <v>27000</v>
      </c>
      <c r="I30" s="206"/>
      <c r="J30" s="447">
        <v>29160.000000000004</v>
      </c>
      <c r="K30" s="206"/>
      <c r="L30" s="447">
        <v>31492.800000000003</v>
      </c>
      <c r="M30" s="206"/>
      <c r="N30" s="447">
        <v>34012.224000000009</v>
      </c>
      <c r="O30" s="206"/>
      <c r="P30" s="447">
        <v>36733.201920000014</v>
      </c>
      <c r="Q30" s="206"/>
      <c r="R30" s="447">
        <v>39671.858073600015</v>
      </c>
      <c r="S30" s="206"/>
      <c r="T30" s="447">
        <v>42845.606719488023</v>
      </c>
      <c r="U30" s="206"/>
      <c r="V30" s="447">
        <v>46273.255257047065</v>
      </c>
      <c r="W30" s="206"/>
      <c r="X30" s="447">
        <v>49975.115677610833</v>
      </c>
      <c r="Y30" s="207"/>
      <c r="Z30" s="431"/>
      <c r="AA30" s="12"/>
      <c r="AB30" s="415"/>
    </row>
    <row r="31" spans="1:28" ht="20" thickBot="1">
      <c r="A31" s="14"/>
      <c r="B31" s="15"/>
      <c r="C31" s="15"/>
      <c r="D31" s="119"/>
      <c r="E31" s="128"/>
      <c r="F31" s="221"/>
      <c r="G31" s="206"/>
      <c r="H31" s="222"/>
      <c r="I31" s="206"/>
      <c r="J31" s="221"/>
      <c r="K31" s="206"/>
      <c r="L31" s="222"/>
      <c r="M31" s="206"/>
      <c r="N31" s="222"/>
      <c r="O31" s="206"/>
      <c r="P31" s="222"/>
      <c r="Q31" s="206"/>
      <c r="R31" s="221"/>
      <c r="S31" s="206"/>
      <c r="T31" s="222"/>
      <c r="U31" s="206"/>
      <c r="V31" s="222"/>
      <c r="W31" s="206"/>
      <c r="X31" s="217"/>
      <c r="Y31" s="207"/>
      <c r="Z31" s="431"/>
      <c r="AA31" s="12"/>
      <c r="AB31" s="415"/>
    </row>
    <row r="32" spans="1:28" ht="22" hidden="1" thickBot="1">
      <c r="A32" s="14"/>
      <c r="B32" s="19">
        <v>3</v>
      </c>
      <c r="C32" s="19"/>
      <c r="D32" s="120">
        <f>'Description Sheet'!B26</f>
        <v>3</v>
      </c>
      <c r="E32" s="178" t="str">
        <f>'Description Sheet'!C26</f>
        <v>Heating and Cooling Systems</v>
      </c>
      <c r="F32" s="219"/>
      <c r="G32" s="206"/>
      <c r="H32" s="220"/>
      <c r="I32" s="206"/>
      <c r="J32" s="219"/>
      <c r="K32" s="206"/>
      <c r="L32" s="220"/>
      <c r="M32" s="206"/>
      <c r="N32" s="220"/>
      <c r="O32" s="206"/>
      <c r="P32" s="220"/>
      <c r="Q32" s="206"/>
      <c r="R32" s="219"/>
      <c r="S32" s="206"/>
      <c r="T32" s="220"/>
      <c r="U32" s="206"/>
      <c r="V32" s="220"/>
      <c r="W32" s="206"/>
      <c r="X32" s="219"/>
      <c r="Y32" s="207"/>
      <c r="Z32" s="431"/>
      <c r="AA32" s="12"/>
      <c r="AB32" s="415"/>
    </row>
    <row r="33" spans="1:28" hidden="1">
      <c r="A33" s="14"/>
      <c r="B33" s="19">
        <v>3</v>
      </c>
      <c r="C33" s="19">
        <v>14</v>
      </c>
      <c r="D33" s="122">
        <f>'Description Sheet'!B27</f>
        <v>3.1</v>
      </c>
      <c r="E33" s="128" t="str">
        <f>'Description Sheet'!C27</f>
        <v>Ventilation Shafts (Maintenance &amp; Upgrade Savings)</v>
      </c>
      <c r="F33" s="406"/>
      <c r="G33" s="404"/>
      <c r="H33" s="406"/>
      <c r="I33" s="404"/>
      <c r="J33" s="406"/>
      <c r="K33" s="404"/>
      <c r="L33" s="406"/>
      <c r="M33" s="404"/>
      <c r="N33" s="406"/>
      <c r="O33" s="404"/>
      <c r="P33" s="406"/>
      <c r="Q33" s="404"/>
      <c r="R33" s="406"/>
      <c r="S33" s="404"/>
      <c r="T33" s="406"/>
      <c r="U33" s="404"/>
      <c r="V33" s="406"/>
      <c r="W33" s="404"/>
      <c r="X33" s="403"/>
      <c r="Y33" s="213"/>
      <c r="Z33" s="432" t="str">
        <f>IF('Maintenance Schedule'!Z33="","",'Maintenance Schedule'!Z33)</f>
        <v/>
      </c>
      <c r="AA33" s="12">
        <f>'Description Sheet'!N27</f>
        <v>0</v>
      </c>
      <c r="AB33" s="415"/>
    </row>
    <row r="34" spans="1:28" hidden="1">
      <c r="A34" s="14"/>
      <c r="B34" s="19">
        <v>3</v>
      </c>
      <c r="C34" s="19">
        <v>15</v>
      </c>
      <c r="D34" s="122">
        <f>'Description Sheet'!B28</f>
        <v>3.2</v>
      </c>
      <c r="E34" s="128" t="str">
        <f>'Description Sheet'!C28</f>
        <v>Air Conditioning Units (Maintenance &amp; Upgrade Savings)</v>
      </c>
      <c r="F34" s="406"/>
      <c r="G34" s="404"/>
      <c r="H34" s="406"/>
      <c r="I34" s="404"/>
      <c r="J34" s="406"/>
      <c r="K34" s="404"/>
      <c r="L34" s="406"/>
      <c r="M34" s="404"/>
      <c r="N34" s="406"/>
      <c r="O34" s="404"/>
      <c r="P34" s="406"/>
      <c r="Q34" s="404"/>
      <c r="R34" s="406"/>
      <c r="S34" s="404"/>
      <c r="T34" s="406"/>
      <c r="U34" s="404"/>
      <c r="V34" s="406"/>
      <c r="W34" s="404"/>
      <c r="X34" s="403"/>
      <c r="Y34" s="213"/>
      <c r="Z34" s="432" t="str">
        <f>IF('Maintenance Schedule'!Z34="","",'Maintenance Schedule'!Z34)</f>
        <v/>
      </c>
      <c r="AA34" s="12">
        <f>'Description Sheet'!N28</f>
        <v>0</v>
      </c>
      <c r="AB34" s="415"/>
    </row>
    <row r="35" spans="1:28" hidden="1">
      <c r="A35" s="14"/>
      <c r="B35" s="19">
        <v>3</v>
      </c>
      <c r="C35" s="19">
        <v>16</v>
      </c>
      <c r="D35" s="122">
        <f>'Description Sheet'!B29</f>
        <v>3.3</v>
      </c>
      <c r="E35" s="128" t="str">
        <f>'Description Sheet'!C29</f>
        <v>Solar Panels (Maintenance &amp; Upgrade Savings)</v>
      </c>
      <c r="F35" s="406"/>
      <c r="G35" s="404"/>
      <c r="H35" s="403"/>
      <c r="I35" s="405"/>
      <c r="J35" s="403"/>
      <c r="K35" s="405"/>
      <c r="L35" s="403"/>
      <c r="M35" s="405"/>
      <c r="N35" s="403"/>
      <c r="O35" s="405"/>
      <c r="P35" s="403"/>
      <c r="Q35" s="405"/>
      <c r="R35" s="403"/>
      <c r="S35" s="405"/>
      <c r="T35" s="403"/>
      <c r="U35" s="405"/>
      <c r="V35" s="403"/>
      <c r="W35" s="405"/>
      <c r="X35" s="403"/>
      <c r="Y35" s="213"/>
      <c r="Z35" s="432" t="str">
        <f>IF('Maintenance Schedule'!Z35="","",'Maintenance Schedule'!Z35)</f>
        <v/>
      </c>
      <c r="AA35" s="12">
        <f>'Description Sheet'!N29</f>
        <v>0</v>
      </c>
      <c r="AB35" s="415"/>
    </row>
    <row r="36" spans="1:28" hidden="1">
      <c r="A36" s="14"/>
      <c r="B36" s="19">
        <v>3</v>
      </c>
      <c r="C36" s="19">
        <v>17</v>
      </c>
      <c r="D36" s="122">
        <f>'Description Sheet'!B30</f>
        <v>3.4</v>
      </c>
      <c r="E36" s="128" t="str">
        <f>'Description Sheet'!C30</f>
        <v>blank</v>
      </c>
      <c r="F36" s="406"/>
      <c r="G36" s="404"/>
      <c r="H36" s="403"/>
      <c r="I36" s="405"/>
      <c r="J36" s="403"/>
      <c r="K36" s="405"/>
      <c r="L36" s="403"/>
      <c r="M36" s="405"/>
      <c r="N36" s="403"/>
      <c r="O36" s="405"/>
      <c r="P36" s="403"/>
      <c r="Q36" s="405"/>
      <c r="R36" s="403"/>
      <c r="S36" s="405"/>
      <c r="T36" s="403"/>
      <c r="U36" s="405"/>
      <c r="V36" s="403"/>
      <c r="W36" s="405"/>
      <c r="X36" s="403"/>
      <c r="Y36" s="213"/>
      <c r="Z36" s="432" t="str">
        <f>IF('Maintenance Schedule'!Z36="","",'Maintenance Schedule'!Z36)</f>
        <v/>
      </c>
      <c r="AA36" s="12">
        <f>'Description Sheet'!N30</f>
        <v>0</v>
      </c>
      <c r="AB36" s="415"/>
    </row>
    <row r="37" spans="1:28" hidden="1">
      <c r="A37" s="14"/>
      <c r="B37" s="19">
        <v>3</v>
      </c>
      <c r="C37" s="19">
        <v>18</v>
      </c>
      <c r="D37" s="122">
        <f>'Description Sheet'!B31</f>
        <v>3.5</v>
      </c>
      <c r="E37" s="128" t="str">
        <f>'Description Sheet'!C31</f>
        <v>blank</v>
      </c>
      <c r="F37" s="406"/>
      <c r="G37" s="404"/>
      <c r="H37" s="403"/>
      <c r="I37" s="405"/>
      <c r="J37" s="403"/>
      <c r="K37" s="405"/>
      <c r="L37" s="403"/>
      <c r="M37" s="405"/>
      <c r="N37" s="403"/>
      <c r="O37" s="405"/>
      <c r="P37" s="403"/>
      <c r="Q37" s="405"/>
      <c r="R37" s="403"/>
      <c r="S37" s="405"/>
      <c r="T37" s="403"/>
      <c r="U37" s="405"/>
      <c r="V37" s="403"/>
      <c r="W37" s="405"/>
      <c r="X37" s="403"/>
      <c r="Y37" s="213"/>
      <c r="Z37" s="432" t="str">
        <f>IF('Maintenance Schedule'!Z37="","",'Maintenance Schedule'!Z37)</f>
        <v/>
      </c>
      <c r="AA37" s="12">
        <f>'Description Sheet'!N31</f>
        <v>0</v>
      </c>
      <c r="AB37" s="415"/>
    </row>
    <row r="38" spans="1:28" ht="19" hidden="1" thickBot="1">
      <c r="A38" s="14"/>
      <c r="B38" s="19"/>
      <c r="C38" s="19"/>
      <c r="D38" s="122"/>
      <c r="E38" s="214"/>
      <c r="F38" s="215"/>
      <c r="G38" s="212"/>
      <c r="H38" s="211"/>
      <c r="I38" s="213"/>
      <c r="J38" s="211"/>
      <c r="K38" s="213"/>
      <c r="L38" s="211"/>
      <c r="M38" s="213"/>
      <c r="N38" s="211"/>
      <c r="O38" s="213"/>
      <c r="P38" s="211"/>
      <c r="Q38" s="213"/>
      <c r="R38" s="211"/>
      <c r="S38" s="213"/>
      <c r="T38" s="211"/>
      <c r="U38" s="213"/>
      <c r="V38" s="211"/>
      <c r="W38" s="213"/>
      <c r="X38" s="215"/>
      <c r="Y38" s="213"/>
      <c r="Z38" s="431"/>
      <c r="AA38" s="12"/>
      <c r="AB38" s="415"/>
    </row>
    <row r="39" spans="1:28" ht="20" hidden="1" thickBot="1">
      <c r="A39" s="14" t="s">
        <v>64</v>
      </c>
      <c r="B39" s="19"/>
      <c r="C39" s="19"/>
      <c r="D39" s="124"/>
      <c r="E39" s="125" t="s">
        <v>31</v>
      </c>
      <c r="F39" s="126">
        <v>0</v>
      </c>
      <c r="G39" s="206"/>
      <c r="H39" s="127"/>
      <c r="I39" s="426"/>
      <c r="J39" s="127"/>
      <c r="K39" s="426"/>
      <c r="L39" s="127"/>
      <c r="M39" s="426"/>
      <c r="N39" s="127"/>
      <c r="O39" s="426"/>
      <c r="P39" s="127"/>
      <c r="Q39" s="426"/>
      <c r="R39" s="127"/>
      <c r="S39" s="426"/>
      <c r="T39" s="127"/>
      <c r="U39" s="426"/>
      <c r="V39" s="127"/>
      <c r="W39" s="426"/>
      <c r="X39" s="127"/>
      <c r="Y39" s="425"/>
      <c r="Z39" s="431"/>
      <c r="AA39" s="12"/>
      <c r="AB39" s="415"/>
    </row>
    <row r="40" spans="1:28" ht="19" hidden="1" thickBot="1">
      <c r="A40" s="14" t="s">
        <v>65</v>
      </c>
      <c r="B40" s="19"/>
      <c r="C40" s="19"/>
      <c r="D40" s="122"/>
      <c r="E40" s="128" t="s">
        <v>43</v>
      </c>
      <c r="F40" s="129">
        <f>'Year (2021-2022)'!H34</f>
        <v>0</v>
      </c>
      <c r="G40" s="206"/>
      <c r="H40" s="129">
        <f>'Year (2022-2023)'!H34</f>
        <v>0</v>
      </c>
      <c r="I40" s="206"/>
      <c r="J40" s="129">
        <f>'Year (2023-2024)'!H34</f>
        <v>0</v>
      </c>
      <c r="K40" s="206"/>
      <c r="L40" s="129">
        <f>'Year (2024-2025)'!H34</f>
        <v>0</v>
      </c>
      <c r="M40" s="206"/>
      <c r="N40" s="129">
        <f>'Year (2025-2026)'!H34</f>
        <v>0</v>
      </c>
      <c r="O40" s="206"/>
      <c r="P40" s="129">
        <f>'Year (2026-2027)'!H34</f>
        <v>0</v>
      </c>
      <c r="Q40" s="206"/>
      <c r="R40" s="129">
        <f>'Year (2027-2028)'!H34</f>
        <v>0</v>
      </c>
      <c r="S40" s="206"/>
      <c r="T40" s="129">
        <f>'Year (2028-2029)'!H34</f>
        <v>0</v>
      </c>
      <c r="U40" s="206"/>
      <c r="V40" s="129">
        <f>'Year (2029-2030)'!H34</f>
        <v>0</v>
      </c>
      <c r="W40" s="206"/>
      <c r="X40" s="129">
        <f>'Year (2030-2031)'!H34</f>
        <v>0</v>
      </c>
      <c r="Y40" s="207"/>
      <c r="Z40" s="431"/>
      <c r="AA40" s="12"/>
      <c r="AB40" s="416">
        <f>F40+H40+J40+L40+N40+P40+R40+T40+V40+X40</f>
        <v>0</v>
      </c>
    </row>
    <row r="41" spans="1:28" hidden="1">
      <c r="A41" s="14" t="s">
        <v>66</v>
      </c>
      <c r="B41" s="19"/>
      <c r="C41" s="19"/>
      <c r="D41" s="122"/>
      <c r="E41" s="130" t="s">
        <v>48</v>
      </c>
      <c r="F41" s="447">
        <v>0</v>
      </c>
      <c r="G41" s="206"/>
      <c r="H41" s="447">
        <v>0</v>
      </c>
      <c r="I41" s="206"/>
      <c r="J41" s="447">
        <v>0</v>
      </c>
      <c r="K41" s="206"/>
      <c r="L41" s="447">
        <v>0</v>
      </c>
      <c r="M41" s="206"/>
      <c r="N41" s="447">
        <v>0</v>
      </c>
      <c r="O41" s="206"/>
      <c r="P41" s="447">
        <v>0</v>
      </c>
      <c r="Q41" s="206"/>
      <c r="R41" s="447">
        <v>0</v>
      </c>
      <c r="S41" s="206"/>
      <c r="T41" s="447">
        <v>0</v>
      </c>
      <c r="U41" s="206"/>
      <c r="V41" s="447">
        <v>0</v>
      </c>
      <c r="W41" s="206"/>
      <c r="X41" s="447">
        <v>0</v>
      </c>
      <c r="Y41" s="207"/>
      <c r="Z41" s="431"/>
      <c r="AA41" s="12"/>
      <c r="AB41" s="415"/>
    </row>
    <row r="42" spans="1:28" ht="20" hidden="1" thickBot="1">
      <c r="A42" s="14"/>
      <c r="B42" s="19"/>
      <c r="C42" s="19"/>
      <c r="D42" s="122"/>
      <c r="E42" s="128"/>
      <c r="F42" s="221"/>
      <c r="G42" s="206"/>
      <c r="H42" s="222"/>
      <c r="I42" s="206"/>
      <c r="J42" s="221"/>
      <c r="K42" s="206"/>
      <c r="L42" s="222"/>
      <c r="M42" s="206"/>
      <c r="N42" s="222"/>
      <c r="O42" s="206"/>
      <c r="P42" s="222"/>
      <c r="Q42" s="206"/>
      <c r="R42" s="221"/>
      <c r="S42" s="206"/>
      <c r="T42" s="222"/>
      <c r="U42" s="206"/>
      <c r="V42" s="222"/>
      <c r="W42" s="206"/>
      <c r="X42" s="217"/>
      <c r="Y42" s="207"/>
      <c r="Z42" s="431"/>
      <c r="AA42" s="12"/>
      <c r="AB42" s="415"/>
    </row>
    <row r="43" spans="1:28" ht="22" hidden="1" thickBot="1">
      <c r="A43" s="14"/>
      <c r="B43" s="19">
        <v>4</v>
      </c>
      <c r="C43" s="19"/>
      <c r="D43" s="120">
        <f>'Description Sheet'!B34</f>
        <v>4</v>
      </c>
      <c r="E43" s="178" t="str">
        <f>'Description Sheet'!C34</f>
        <v>Lifts</v>
      </c>
      <c r="F43" s="219"/>
      <c r="G43" s="206"/>
      <c r="H43" s="220"/>
      <c r="I43" s="206"/>
      <c r="J43" s="219"/>
      <c r="K43" s="206"/>
      <c r="L43" s="220"/>
      <c r="M43" s="206"/>
      <c r="N43" s="220"/>
      <c r="O43" s="206"/>
      <c r="P43" s="220"/>
      <c r="Q43" s="206"/>
      <c r="R43" s="219"/>
      <c r="S43" s="206"/>
      <c r="T43" s="220"/>
      <c r="U43" s="206"/>
      <c r="V43" s="220"/>
      <c r="W43" s="206"/>
      <c r="X43" s="219"/>
      <c r="Y43" s="207"/>
      <c r="Z43" s="431"/>
      <c r="AA43" s="12"/>
      <c r="AB43" s="415"/>
    </row>
    <row r="44" spans="1:28" hidden="1">
      <c r="A44" s="14"/>
      <c r="B44" s="19">
        <v>4</v>
      </c>
      <c r="C44" s="19">
        <v>19</v>
      </c>
      <c r="D44" s="122">
        <f>'Description Sheet'!B35</f>
        <v>4.0999999999999996</v>
      </c>
      <c r="E44" s="128" t="str">
        <f>'Description Sheet'!C35</f>
        <v>Lift Upgrade Savings</v>
      </c>
      <c r="F44" s="407"/>
      <c r="G44" s="404"/>
      <c r="H44" s="407"/>
      <c r="I44" s="404"/>
      <c r="J44" s="407"/>
      <c r="K44" s="404"/>
      <c r="L44" s="407"/>
      <c r="M44" s="404"/>
      <c r="N44" s="407"/>
      <c r="O44" s="404"/>
      <c r="P44" s="407"/>
      <c r="Q44" s="404"/>
      <c r="R44" s="407"/>
      <c r="S44" s="404"/>
      <c r="T44" s="407"/>
      <c r="U44" s="404"/>
      <c r="V44" s="407"/>
      <c r="W44" s="404"/>
      <c r="X44" s="407"/>
      <c r="Y44" s="207"/>
      <c r="Z44" s="432" t="str">
        <f>IF('Maintenance Schedule'!Z44="","",'Maintenance Schedule'!Z44)</f>
        <v/>
      </c>
      <c r="AA44" s="12">
        <f>'Description Sheet'!N35</f>
        <v>88247</v>
      </c>
      <c r="AB44" s="415"/>
    </row>
    <row r="45" spans="1:28" hidden="1">
      <c r="A45" s="14"/>
      <c r="B45" s="19">
        <v>4</v>
      </c>
      <c r="C45" s="19">
        <v>20</v>
      </c>
      <c r="D45" s="122">
        <f>'Description Sheet'!B36</f>
        <v>4.2</v>
      </c>
      <c r="E45" s="128" t="str">
        <f>'Description Sheet'!C36</f>
        <v>Lift Replacement (Only in 12-15 years)</v>
      </c>
      <c r="F45" s="406"/>
      <c r="G45" s="404"/>
      <c r="H45" s="403"/>
      <c r="I45" s="405"/>
      <c r="J45" s="403"/>
      <c r="K45" s="405"/>
      <c r="L45" s="403"/>
      <c r="M45" s="405"/>
      <c r="N45" s="403"/>
      <c r="O45" s="405"/>
      <c r="P45" s="403"/>
      <c r="Q45" s="405"/>
      <c r="R45" s="403"/>
      <c r="S45" s="405"/>
      <c r="T45" s="403"/>
      <c r="U45" s="405"/>
      <c r="V45" s="403"/>
      <c r="W45" s="405"/>
      <c r="X45" s="406"/>
      <c r="Y45" s="207"/>
      <c r="Z45" s="432" t="str">
        <f>IF('Maintenance Schedule'!Z45="","",'Maintenance Schedule'!Z45)</f>
        <v/>
      </c>
      <c r="AA45" s="12">
        <f>'Description Sheet'!N36</f>
        <v>0</v>
      </c>
      <c r="AB45" s="415"/>
    </row>
    <row r="46" spans="1:28" hidden="1">
      <c r="A46" s="14"/>
      <c r="B46" s="19">
        <v>4</v>
      </c>
      <c r="C46" s="19">
        <v>21</v>
      </c>
      <c r="D46" s="122">
        <f>'Description Sheet'!B37</f>
        <v>4.3</v>
      </c>
      <c r="E46" s="128" t="str">
        <f>'Description Sheet'!C37</f>
        <v>blank</v>
      </c>
      <c r="F46" s="406"/>
      <c r="G46" s="404"/>
      <c r="H46" s="403"/>
      <c r="I46" s="405"/>
      <c r="J46" s="403"/>
      <c r="K46" s="405"/>
      <c r="L46" s="403"/>
      <c r="M46" s="405"/>
      <c r="N46" s="403"/>
      <c r="O46" s="405"/>
      <c r="P46" s="403"/>
      <c r="Q46" s="405"/>
      <c r="R46" s="403"/>
      <c r="S46" s="405"/>
      <c r="T46" s="403"/>
      <c r="U46" s="405"/>
      <c r="V46" s="403"/>
      <c r="W46" s="405"/>
      <c r="X46" s="406"/>
      <c r="Y46" s="207"/>
      <c r="Z46" s="432" t="str">
        <f>IF('Maintenance Schedule'!Z46="","",'Maintenance Schedule'!Z46)</f>
        <v/>
      </c>
      <c r="AA46" s="12">
        <f>'Description Sheet'!N37</f>
        <v>0</v>
      </c>
      <c r="AB46" s="415"/>
    </row>
    <row r="47" spans="1:28" hidden="1">
      <c r="A47" s="14"/>
      <c r="B47" s="19">
        <v>4</v>
      </c>
      <c r="C47" s="19">
        <v>22</v>
      </c>
      <c r="D47" s="122">
        <f>'Description Sheet'!B38</f>
        <v>4.4000000000000004</v>
      </c>
      <c r="E47" s="128" t="str">
        <f>'Description Sheet'!C38</f>
        <v>blank</v>
      </c>
      <c r="F47" s="406"/>
      <c r="G47" s="404"/>
      <c r="H47" s="403"/>
      <c r="I47" s="405"/>
      <c r="J47" s="403"/>
      <c r="K47" s="405"/>
      <c r="L47" s="403"/>
      <c r="M47" s="405"/>
      <c r="N47" s="403"/>
      <c r="O47" s="405"/>
      <c r="P47" s="403"/>
      <c r="Q47" s="405"/>
      <c r="R47" s="403"/>
      <c r="S47" s="405"/>
      <c r="T47" s="403"/>
      <c r="U47" s="405"/>
      <c r="V47" s="403"/>
      <c r="W47" s="405"/>
      <c r="X47" s="406"/>
      <c r="Y47" s="207"/>
      <c r="Z47" s="432" t="str">
        <f>IF('Maintenance Schedule'!Z47="","",'Maintenance Schedule'!Z47)</f>
        <v/>
      </c>
      <c r="AA47" s="12">
        <f>'Description Sheet'!N38</f>
        <v>0</v>
      </c>
      <c r="AB47" s="415"/>
    </row>
    <row r="48" spans="1:28" ht="19" hidden="1" thickBot="1">
      <c r="A48" s="14"/>
      <c r="B48" s="19"/>
      <c r="C48" s="19"/>
      <c r="D48" s="122"/>
      <c r="E48" s="214"/>
      <c r="F48" s="215"/>
      <c r="G48" s="206"/>
      <c r="H48" s="211"/>
      <c r="I48" s="207"/>
      <c r="J48" s="211"/>
      <c r="K48" s="207"/>
      <c r="L48" s="211"/>
      <c r="M48" s="207"/>
      <c r="N48" s="211"/>
      <c r="O48" s="207"/>
      <c r="P48" s="211"/>
      <c r="Q48" s="207"/>
      <c r="R48" s="211"/>
      <c r="S48" s="207"/>
      <c r="T48" s="211"/>
      <c r="U48" s="207"/>
      <c r="V48" s="211"/>
      <c r="W48" s="207"/>
      <c r="X48" s="215"/>
      <c r="Y48" s="207"/>
      <c r="Z48" s="431"/>
      <c r="AA48" s="12"/>
      <c r="AB48" s="415"/>
    </row>
    <row r="49" spans="1:29" ht="20" hidden="1" thickBot="1">
      <c r="A49" s="14" t="s">
        <v>64</v>
      </c>
      <c r="B49" s="19"/>
      <c r="C49" s="19"/>
      <c r="D49" s="124"/>
      <c r="E49" s="125" t="s">
        <v>31</v>
      </c>
      <c r="F49" s="126">
        <v>0</v>
      </c>
      <c r="G49" s="206"/>
      <c r="H49" s="127"/>
      <c r="I49" s="426"/>
      <c r="J49" s="127"/>
      <c r="K49" s="426"/>
      <c r="L49" s="127"/>
      <c r="M49" s="426"/>
      <c r="N49" s="127"/>
      <c r="O49" s="426"/>
      <c r="P49" s="127"/>
      <c r="Q49" s="426"/>
      <c r="R49" s="127"/>
      <c r="S49" s="426"/>
      <c r="T49" s="127"/>
      <c r="U49" s="426"/>
      <c r="V49" s="127"/>
      <c r="W49" s="426"/>
      <c r="X49" s="127"/>
      <c r="Y49" s="425"/>
      <c r="Z49" s="431"/>
      <c r="AA49" s="12"/>
      <c r="AB49" s="415"/>
    </row>
    <row r="50" spans="1:29" ht="19" hidden="1" thickBot="1">
      <c r="A50" s="14" t="s">
        <v>65</v>
      </c>
      <c r="B50" s="19"/>
      <c r="C50" s="19"/>
      <c r="D50" s="122"/>
      <c r="E50" s="128" t="s">
        <v>43</v>
      </c>
      <c r="F50" s="129">
        <f>'Year (2021-2022)'!H41</f>
        <v>0</v>
      </c>
      <c r="G50" s="206"/>
      <c r="H50" s="129">
        <f>'Year (2022-2023)'!H41</f>
        <v>0</v>
      </c>
      <c r="I50" s="206"/>
      <c r="J50" s="129">
        <f>'Year (2023-2024)'!H41</f>
        <v>0</v>
      </c>
      <c r="K50" s="206"/>
      <c r="L50" s="129">
        <f>'Year (2024-2025)'!H41</f>
        <v>0</v>
      </c>
      <c r="M50" s="206"/>
      <c r="N50" s="129">
        <f>'Year (2025-2026)'!H41</f>
        <v>0</v>
      </c>
      <c r="O50" s="206"/>
      <c r="P50" s="129">
        <f>'Year (2026-2027)'!H41</f>
        <v>0</v>
      </c>
      <c r="Q50" s="206"/>
      <c r="R50" s="129">
        <f>'Year (2027-2028)'!H41</f>
        <v>0</v>
      </c>
      <c r="S50" s="206"/>
      <c r="T50" s="129">
        <f>'Year (2028-2029)'!H41</f>
        <v>0</v>
      </c>
      <c r="U50" s="206"/>
      <c r="V50" s="129">
        <f>'Year (2029-2030)'!H41</f>
        <v>0</v>
      </c>
      <c r="W50" s="206"/>
      <c r="X50" s="129">
        <f>'Year (2030-2031)'!H41</f>
        <v>0</v>
      </c>
      <c r="Y50" s="207"/>
      <c r="Z50" s="431"/>
      <c r="AA50" s="12"/>
      <c r="AB50" s="416">
        <f>F50+H50+J50+L50+N50+P50+R50+T50+V50+X50</f>
        <v>0</v>
      </c>
    </row>
    <row r="51" spans="1:29" hidden="1">
      <c r="A51" s="14" t="s">
        <v>66</v>
      </c>
      <c r="B51" s="19"/>
      <c r="C51" s="19"/>
      <c r="D51" s="122"/>
      <c r="E51" s="130" t="s">
        <v>48</v>
      </c>
      <c r="F51" s="447">
        <v>0</v>
      </c>
      <c r="G51" s="206"/>
      <c r="H51" s="447">
        <v>0</v>
      </c>
      <c r="I51" s="206"/>
      <c r="J51" s="447">
        <v>0</v>
      </c>
      <c r="K51" s="206"/>
      <c r="L51" s="447">
        <v>0</v>
      </c>
      <c r="M51" s="206"/>
      <c r="N51" s="447">
        <v>0</v>
      </c>
      <c r="O51" s="206"/>
      <c r="P51" s="447">
        <v>0</v>
      </c>
      <c r="Q51" s="206"/>
      <c r="R51" s="447">
        <v>0</v>
      </c>
      <c r="S51" s="206"/>
      <c r="T51" s="447">
        <v>0</v>
      </c>
      <c r="U51" s="206"/>
      <c r="V51" s="447">
        <v>0</v>
      </c>
      <c r="W51" s="206"/>
      <c r="X51" s="447">
        <v>0</v>
      </c>
      <c r="Y51" s="207"/>
      <c r="Z51" s="431"/>
      <c r="AA51" s="12"/>
      <c r="AB51" s="415"/>
    </row>
    <row r="52" spans="1:29" ht="20" hidden="1" thickBot="1">
      <c r="A52" s="14"/>
      <c r="B52" s="19"/>
      <c r="C52" s="19"/>
      <c r="D52" s="122"/>
      <c r="E52" s="128"/>
      <c r="F52" s="221"/>
      <c r="G52" s="206"/>
      <c r="H52" s="222"/>
      <c r="I52" s="206"/>
      <c r="J52" s="221"/>
      <c r="K52" s="206"/>
      <c r="L52" s="222"/>
      <c r="M52" s="206"/>
      <c r="N52" s="222"/>
      <c r="O52" s="206"/>
      <c r="P52" s="222"/>
      <c r="Q52" s="206"/>
      <c r="R52" s="221"/>
      <c r="S52" s="206"/>
      <c r="T52" s="222"/>
      <c r="U52" s="206"/>
      <c r="V52" s="222"/>
      <c r="W52" s="206"/>
      <c r="X52" s="217"/>
      <c r="Y52" s="207"/>
      <c r="Z52" s="431"/>
      <c r="AA52" s="12"/>
      <c r="AB52" s="415"/>
    </row>
    <row r="53" spans="1:29" ht="22" thickBot="1">
      <c r="A53" s="14"/>
      <c r="B53" s="19">
        <v>5</v>
      </c>
      <c r="C53" s="19"/>
      <c r="D53" s="120">
        <f>'Description Sheet'!B41</f>
        <v>5</v>
      </c>
      <c r="E53" s="177" t="str">
        <f>'Description Sheet'!C41</f>
        <v>Carpeting and Furnishing</v>
      </c>
      <c r="F53" s="219"/>
      <c r="G53" s="206"/>
      <c r="H53" s="220"/>
      <c r="I53" s="206"/>
      <c r="J53" s="219"/>
      <c r="K53" s="206"/>
      <c r="L53" s="220"/>
      <c r="M53" s="206"/>
      <c r="N53" s="220"/>
      <c r="O53" s="206"/>
      <c r="P53" s="220"/>
      <c r="Q53" s="206"/>
      <c r="R53" s="219"/>
      <c r="S53" s="206"/>
      <c r="T53" s="220"/>
      <c r="U53" s="206"/>
      <c r="V53" s="220"/>
      <c r="W53" s="206"/>
      <c r="X53" s="219"/>
      <c r="Y53" s="207"/>
      <c r="Z53" s="431"/>
      <c r="AA53" s="12"/>
      <c r="AB53" s="415"/>
    </row>
    <row r="54" spans="1:29" ht="38.25" customHeight="1">
      <c r="A54" s="14"/>
      <c r="B54" s="19">
        <v>5</v>
      </c>
      <c r="C54" s="19">
        <v>23</v>
      </c>
      <c r="D54" s="122">
        <f>'Description Sheet'!B42</f>
        <v>5.0999999999999996</v>
      </c>
      <c r="E54" s="236" t="str">
        <f>'Description Sheet'!C42</f>
        <v>Common Area Equipment/Furnishings (Replacement/Maintenance)</v>
      </c>
      <c r="F54" s="406">
        <v>3500</v>
      </c>
      <c r="G54" s="404"/>
      <c r="H54" s="406">
        <v>3780.0000000000005</v>
      </c>
      <c r="I54" s="404"/>
      <c r="J54" s="406">
        <v>4082.4000000000005</v>
      </c>
      <c r="K54" s="404"/>
      <c r="L54" s="406">
        <v>4408.9920000000002</v>
      </c>
      <c r="M54" s="404"/>
      <c r="N54" s="406">
        <v>4761.7113600000012</v>
      </c>
      <c r="O54" s="404"/>
      <c r="P54" s="406">
        <v>5142.6482688000024</v>
      </c>
      <c r="Q54" s="404"/>
      <c r="R54" s="406">
        <v>5554.0601303040021</v>
      </c>
      <c r="S54" s="404"/>
      <c r="T54" s="406">
        <v>5998.3849407283233</v>
      </c>
      <c r="U54" s="404"/>
      <c r="V54" s="406">
        <v>6478.2557359865887</v>
      </c>
      <c r="W54" s="404"/>
      <c r="X54" s="403">
        <v>6996.5161948655168</v>
      </c>
      <c r="Y54" s="207"/>
      <c r="Z54" s="432" t="str">
        <f>IF('Maintenance Schedule'!Z54="","",'Maintenance Schedule'!Z54)</f>
        <v/>
      </c>
      <c r="AA54" s="12">
        <f>'Description Sheet'!N42</f>
        <v>3500</v>
      </c>
      <c r="AB54" s="415"/>
      <c r="AC54" s="401"/>
    </row>
    <row r="55" spans="1:29" hidden="1">
      <c r="A55" s="14"/>
      <c r="B55" s="19">
        <v>5</v>
      </c>
      <c r="C55" s="19">
        <v>24</v>
      </c>
      <c r="D55" s="122">
        <f>'Description Sheet'!B43</f>
        <v>5.2</v>
      </c>
      <c r="E55" s="128" t="str">
        <f>'Description Sheet'!C43</f>
        <v>blank</v>
      </c>
      <c r="F55" s="406"/>
      <c r="G55" s="404"/>
      <c r="H55" s="403"/>
      <c r="I55" s="405"/>
      <c r="J55" s="403"/>
      <c r="K55" s="405"/>
      <c r="L55" s="403"/>
      <c r="M55" s="405"/>
      <c r="N55" s="403"/>
      <c r="O55" s="405"/>
      <c r="P55" s="403"/>
      <c r="Q55" s="405"/>
      <c r="R55" s="403"/>
      <c r="S55" s="405"/>
      <c r="T55" s="403"/>
      <c r="U55" s="405"/>
      <c r="V55" s="403"/>
      <c r="W55" s="405"/>
      <c r="X55" s="403"/>
      <c r="Y55" s="207"/>
      <c r="Z55" s="432" t="str">
        <f>IF('Maintenance Schedule'!Z55="","",'Maintenance Schedule'!Z55)</f>
        <v/>
      </c>
      <c r="AA55" s="12">
        <f>'Description Sheet'!N43</f>
        <v>0</v>
      </c>
      <c r="AB55" s="415"/>
      <c r="AC55" s="401"/>
    </row>
    <row r="56" spans="1:29" hidden="1">
      <c r="A56" s="14"/>
      <c r="B56" s="19">
        <v>5</v>
      </c>
      <c r="C56" s="19">
        <v>25</v>
      </c>
      <c r="D56" s="122">
        <f>'Description Sheet'!B44</f>
        <v>5.3</v>
      </c>
      <c r="E56" s="128" t="str">
        <f>'Description Sheet'!C44</f>
        <v>blank</v>
      </c>
      <c r="F56" s="406"/>
      <c r="G56" s="404"/>
      <c r="H56" s="403"/>
      <c r="I56" s="405"/>
      <c r="J56" s="403"/>
      <c r="K56" s="405"/>
      <c r="L56" s="403"/>
      <c r="M56" s="405"/>
      <c r="N56" s="403"/>
      <c r="O56" s="405"/>
      <c r="P56" s="403"/>
      <c r="Q56" s="405"/>
      <c r="R56" s="403"/>
      <c r="S56" s="405"/>
      <c r="T56" s="403"/>
      <c r="U56" s="405"/>
      <c r="V56" s="403"/>
      <c r="W56" s="405"/>
      <c r="X56" s="403"/>
      <c r="Y56" s="207"/>
      <c r="Z56" s="432" t="str">
        <f>IF('Maintenance Schedule'!Z56="","",'Maintenance Schedule'!Z56)</f>
        <v/>
      </c>
      <c r="AA56" s="12">
        <f>'Description Sheet'!N44</f>
        <v>0</v>
      </c>
      <c r="AB56" s="415"/>
      <c r="AC56" s="401"/>
    </row>
    <row r="57" spans="1:29" hidden="1">
      <c r="A57" s="14"/>
      <c r="B57" s="19">
        <v>5</v>
      </c>
      <c r="C57" s="19">
        <v>26</v>
      </c>
      <c r="D57" s="122">
        <f>'Description Sheet'!B45</f>
        <v>5.4</v>
      </c>
      <c r="E57" s="128" t="str">
        <f>'Description Sheet'!C45</f>
        <v>blank</v>
      </c>
      <c r="F57" s="406"/>
      <c r="G57" s="404"/>
      <c r="H57" s="403"/>
      <c r="I57" s="405"/>
      <c r="J57" s="403"/>
      <c r="K57" s="405"/>
      <c r="L57" s="403"/>
      <c r="M57" s="405"/>
      <c r="N57" s="403"/>
      <c r="O57" s="405"/>
      <c r="P57" s="403"/>
      <c r="Q57" s="405"/>
      <c r="R57" s="403"/>
      <c r="S57" s="405"/>
      <c r="T57" s="403"/>
      <c r="U57" s="405"/>
      <c r="V57" s="403"/>
      <c r="W57" s="405"/>
      <c r="X57" s="403"/>
      <c r="Y57" s="207"/>
      <c r="Z57" s="432" t="str">
        <f>IF('Maintenance Schedule'!Z57="","",'Maintenance Schedule'!Z57)</f>
        <v/>
      </c>
      <c r="AA57" s="12">
        <f>'Description Sheet'!N45</f>
        <v>0</v>
      </c>
      <c r="AB57" s="415"/>
      <c r="AC57" s="401"/>
    </row>
    <row r="58" spans="1:29" ht="19" thickBot="1">
      <c r="A58" s="14"/>
      <c r="B58" s="19"/>
      <c r="C58" s="19"/>
      <c r="D58" s="122"/>
      <c r="E58" s="214"/>
      <c r="F58" s="215"/>
      <c r="G58" s="206"/>
      <c r="H58" s="211"/>
      <c r="I58" s="207"/>
      <c r="J58" s="211"/>
      <c r="K58" s="207"/>
      <c r="L58" s="211"/>
      <c r="M58" s="207"/>
      <c r="N58" s="211"/>
      <c r="O58" s="207"/>
      <c r="P58" s="211"/>
      <c r="Q58" s="207"/>
      <c r="R58" s="211"/>
      <c r="S58" s="207"/>
      <c r="T58" s="211"/>
      <c r="U58" s="207"/>
      <c r="V58" s="211"/>
      <c r="W58" s="207"/>
      <c r="X58" s="215"/>
      <c r="Y58" s="207"/>
      <c r="Z58" s="431"/>
      <c r="AA58" s="12"/>
      <c r="AB58" s="415"/>
      <c r="AC58" s="401"/>
    </row>
    <row r="59" spans="1:29" ht="20" thickBot="1">
      <c r="A59" s="14" t="s">
        <v>64</v>
      </c>
      <c r="B59" s="19"/>
      <c r="C59" s="19"/>
      <c r="D59" s="124"/>
      <c r="E59" s="125" t="s">
        <v>31</v>
      </c>
      <c r="F59" s="126">
        <v>0</v>
      </c>
      <c r="G59" s="206"/>
      <c r="H59" s="127"/>
      <c r="I59" s="426"/>
      <c r="J59" s="127"/>
      <c r="K59" s="426"/>
      <c r="L59" s="127"/>
      <c r="M59" s="426"/>
      <c r="N59" s="127"/>
      <c r="O59" s="426"/>
      <c r="P59" s="127"/>
      <c r="Q59" s="426"/>
      <c r="R59" s="127"/>
      <c r="S59" s="426"/>
      <c r="T59" s="127"/>
      <c r="U59" s="426"/>
      <c r="V59" s="127"/>
      <c r="W59" s="426"/>
      <c r="X59" s="127"/>
      <c r="Y59" s="425"/>
      <c r="Z59" s="431"/>
      <c r="AA59" s="12"/>
      <c r="AB59" s="415"/>
    </row>
    <row r="60" spans="1:29" ht="19" thickBot="1">
      <c r="A60" s="14" t="s">
        <v>65</v>
      </c>
      <c r="B60" s="19"/>
      <c r="C60" s="19"/>
      <c r="D60" s="122"/>
      <c r="E60" s="128" t="s">
        <v>43</v>
      </c>
      <c r="F60" s="129">
        <f>'Year (2021-2022)'!H48</f>
        <v>3500</v>
      </c>
      <c r="G60" s="206"/>
      <c r="H60" s="129">
        <f>'Year (2022-2023)'!H48</f>
        <v>3780.0000000000005</v>
      </c>
      <c r="I60" s="206"/>
      <c r="J60" s="129">
        <f>'Year (2023-2024)'!H48</f>
        <v>4082.4000000000005</v>
      </c>
      <c r="K60" s="206"/>
      <c r="L60" s="129">
        <f>'Year (2024-2025)'!H48</f>
        <v>4408.9920000000011</v>
      </c>
      <c r="M60" s="206"/>
      <c r="N60" s="129">
        <f>'Year (2025-2026)'!H48</f>
        <v>4761.7113600000012</v>
      </c>
      <c r="O60" s="206"/>
      <c r="P60" s="129">
        <f>'Year (2026-2027)'!H48</f>
        <v>5142.6482688000015</v>
      </c>
      <c r="Q60" s="206"/>
      <c r="R60" s="129">
        <f>'Year (2027-2028)'!H48</f>
        <v>5554.0601303040021</v>
      </c>
      <c r="S60" s="206"/>
      <c r="T60" s="129">
        <f>'Year (2028-2029)'!H48</f>
        <v>5998.3849407283224</v>
      </c>
      <c r="U60" s="206"/>
      <c r="V60" s="129">
        <f>'Year (2029-2030)'!H48</f>
        <v>6478.2557359865887</v>
      </c>
      <c r="W60" s="206"/>
      <c r="X60" s="129">
        <f>'Year (2030-2031)'!H48</f>
        <v>6996.5161948655159</v>
      </c>
      <c r="Y60" s="207"/>
      <c r="Z60" s="431"/>
      <c r="AA60" s="12"/>
      <c r="AB60" s="416">
        <f>F60+H60+J60+L60+N60+P60+R60+T60+V60+X60</f>
        <v>50702.968630684431</v>
      </c>
    </row>
    <row r="61" spans="1:29">
      <c r="A61" s="14" t="s">
        <v>66</v>
      </c>
      <c r="B61" s="19"/>
      <c r="C61" s="19"/>
      <c r="D61" s="122"/>
      <c r="E61" s="130" t="s">
        <v>48</v>
      </c>
      <c r="F61" s="447">
        <v>3500</v>
      </c>
      <c r="G61" s="206"/>
      <c r="H61" s="447">
        <v>3780.0000000000005</v>
      </c>
      <c r="I61" s="206"/>
      <c r="J61" s="447">
        <v>4082.4000000000005</v>
      </c>
      <c r="K61" s="206"/>
      <c r="L61" s="447">
        <v>4408.9920000000002</v>
      </c>
      <c r="M61" s="206"/>
      <c r="N61" s="447">
        <v>4761.7113600000012</v>
      </c>
      <c r="O61" s="206"/>
      <c r="P61" s="447">
        <v>5142.6482688000024</v>
      </c>
      <c r="Q61" s="206"/>
      <c r="R61" s="447">
        <v>5554.0601303040021</v>
      </c>
      <c r="S61" s="206"/>
      <c r="T61" s="447">
        <v>5998.3849407283233</v>
      </c>
      <c r="U61" s="206"/>
      <c r="V61" s="447">
        <v>6478.2557359865887</v>
      </c>
      <c r="W61" s="206"/>
      <c r="X61" s="447">
        <v>6996.5161948655168</v>
      </c>
      <c r="Y61" s="207"/>
      <c r="Z61" s="431"/>
      <c r="AA61" s="12"/>
      <c r="AB61" s="415"/>
    </row>
    <row r="62" spans="1:29" ht="20" thickBot="1">
      <c r="A62" s="14"/>
      <c r="B62" s="19"/>
      <c r="C62" s="19"/>
      <c r="D62" s="122"/>
      <c r="E62" s="128"/>
      <c r="F62" s="221"/>
      <c r="G62" s="206"/>
      <c r="H62" s="222"/>
      <c r="I62" s="206"/>
      <c r="J62" s="221"/>
      <c r="K62" s="206"/>
      <c r="L62" s="222"/>
      <c r="M62" s="206"/>
      <c r="N62" s="222"/>
      <c r="O62" s="206"/>
      <c r="P62" s="222"/>
      <c r="Q62" s="206"/>
      <c r="R62" s="221"/>
      <c r="S62" s="206"/>
      <c r="T62" s="222"/>
      <c r="U62" s="206"/>
      <c r="V62" s="222"/>
      <c r="W62" s="206"/>
      <c r="X62" s="217"/>
      <c r="Y62" s="207"/>
      <c r="Z62" s="431"/>
      <c r="AA62" s="12"/>
      <c r="AB62" s="415"/>
    </row>
    <row r="63" spans="1:29" ht="22" thickBot="1">
      <c r="A63" s="14"/>
      <c r="B63" s="19">
        <v>6</v>
      </c>
      <c r="C63" s="19"/>
      <c r="D63" s="120">
        <f>'Description Sheet'!B48</f>
        <v>6</v>
      </c>
      <c r="E63" s="178" t="str">
        <f>'Description Sheet'!C48</f>
        <v>Roof  Areas</v>
      </c>
      <c r="F63" s="219"/>
      <c r="G63" s="206"/>
      <c r="H63" s="220"/>
      <c r="I63" s="206"/>
      <c r="J63" s="219"/>
      <c r="K63" s="206"/>
      <c r="L63" s="220"/>
      <c r="M63" s="206"/>
      <c r="N63" s="220"/>
      <c r="O63" s="206"/>
      <c r="P63" s="220"/>
      <c r="Q63" s="206"/>
      <c r="R63" s="219"/>
      <c r="S63" s="206"/>
      <c r="T63" s="220"/>
      <c r="U63" s="206"/>
      <c r="V63" s="220"/>
      <c r="W63" s="206"/>
      <c r="X63" s="219"/>
      <c r="Y63" s="207"/>
      <c r="Z63" s="431"/>
      <c r="AA63" s="12"/>
      <c r="AB63" s="415"/>
    </row>
    <row r="64" spans="1:29" hidden="1">
      <c r="A64" s="14"/>
      <c r="B64" s="19">
        <v>6</v>
      </c>
      <c r="C64" s="19">
        <v>27</v>
      </c>
      <c r="D64" s="122">
        <f>'Description Sheet'!B49</f>
        <v>6.1</v>
      </c>
      <c r="E64" s="128" t="str">
        <f>'Description Sheet'!C49</f>
        <v xml:space="preserve">Flashings/Counter Flashings </v>
      </c>
      <c r="F64" s="408"/>
      <c r="G64" s="404"/>
      <c r="H64" s="409"/>
      <c r="I64" s="404"/>
      <c r="J64" s="408"/>
      <c r="K64" s="404"/>
      <c r="L64" s="408"/>
      <c r="M64" s="404"/>
      <c r="N64" s="408"/>
      <c r="O64" s="404"/>
      <c r="P64" s="408"/>
      <c r="Q64" s="404"/>
      <c r="R64" s="408"/>
      <c r="S64" s="404"/>
      <c r="T64" s="408"/>
      <c r="U64" s="404"/>
      <c r="V64" s="408"/>
      <c r="W64" s="404"/>
      <c r="X64" s="410"/>
      <c r="Y64" s="213"/>
      <c r="Z64" s="432" t="str">
        <f>IF('Maintenance Schedule'!Z64="","",'Maintenance Schedule'!Z64)</f>
        <v/>
      </c>
      <c r="AA64" s="12">
        <f>'Description Sheet'!N49</f>
        <v>0</v>
      </c>
      <c r="AB64" s="415"/>
    </row>
    <row r="65" spans="1:30" hidden="1">
      <c r="A65" s="14"/>
      <c r="B65" s="19">
        <v>6</v>
      </c>
      <c r="C65" s="19">
        <v>28</v>
      </c>
      <c r="D65" s="122">
        <f>'Description Sheet'!B50</f>
        <v>6.2</v>
      </c>
      <c r="E65" s="128" t="str">
        <f>'Description Sheet'!C50</f>
        <v>General Roof Repairs</v>
      </c>
      <c r="F65" s="408"/>
      <c r="G65" s="404"/>
      <c r="H65" s="409"/>
      <c r="I65" s="404"/>
      <c r="J65" s="408"/>
      <c r="K65" s="404"/>
      <c r="L65" s="408"/>
      <c r="M65" s="404"/>
      <c r="N65" s="408"/>
      <c r="O65" s="404"/>
      <c r="P65" s="408"/>
      <c r="Q65" s="404"/>
      <c r="R65" s="408"/>
      <c r="S65" s="404"/>
      <c r="T65" s="408"/>
      <c r="U65" s="404"/>
      <c r="V65" s="408"/>
      <c r="W65" s="404"/>
      <c r="X65" s="410"/>
      <c r="Y65" s="213"/>
      <c r="Z65" s="432" t="str">
        <f>IF('Maintenance Schedule'!Z65="","",'Maintenance Schedule'!Z65)</f>
        <v/>
      </c>
      <c r="AA65" s="12">
        <f>'Description Sheet'!N50</f>
        <v>0</v>
      </c>
      <c r="AB65" s="415"/>
    </row>
    <row r="66" spans="1:30">
      <c r="A66" s="14"/>
      <c r="B66" s="19">
        <v>6</v>
      </c>
      <c r="C66" s="19">
        <v>29</v>
      </c>
      <c r="D66" s="122">
        <f>'Description Sheet'!B51</f>
        <v>6.3</v>
      </c>
      <c r="E66" s="128" t="str">
        <f>'Description Sheet'!C51</f>
        <v>Cleaning &amp; Maintenance &amp; Repairs of Gutters and Downpipes</v>
      </c>
      <c r="F66" s="408">
        <v>3190</v>
      </c>
      <c r="G66" s="404"/>
      <c r="H66" s="409">
        <v>3445.2000000000003</v>
      </c>
      <c r="I66" s="404"/>
      <c r="J66" s="408">
        <v>3720.8160000000003</v>
      </c>
      <c r="K66" s="404"/>
      <c r="L66" s="408">
        <v>4018.4812800000004</v>
      </c>
      <c r="M66" s="404"/>
      <c r="N66" s="408">
        <v>4339.9597824000011</v>
      </c>
      <c r="O66" s="404"/>
      <c r="P66" s="408">
        <v>4687.1565649920021</v>
      </c>
      <c r="Q66" s="404"/>
      <c r="R66" s="408">
        <v>5062.1290901913617</v>
      </c>
      <c r="S66" s="404"/>
      <c r="T66" s="408">
        <v>5467.0994174066718</v>
      </c>
      <c r="U66" s="404"/>
      <c r="V66" s="408">
        <v>5904.4673707992051</v>
      </c>
      <c r="W66" s="404"/>
      <c r="X66" s="410">
        <v>6376.8247604631424</v>
      </c>
      <c r="Y66" s="213"/>
      <c r="Z66" s="432" t="str">
        <f>IF('Maintenance Schedule'!Z66="","",'Maintenance Schedule'!Z66)</f>
        <v/>
      </c>
      <c r="AA66" s="12">
        <f>'Description Sheet'!N51</f>
        <v>3190</v>
      </c>
      <c r="AB66" s="415"/>
    </row>
    <row r="67" spans="1:30" hidden="1">
      <c r="A67" s="14"/>
      <c r="B67" s="19">
        <v>6</v>
      </c>
      <c r="C67" s="19">
        <v>30</v>
      </c>
      <c r="D67" s="122">
        <f>'Description Sheet'!B52</f>
        <v>6.4</v>
      </c>
      <c r="E67" s="128" t="str">
        <f>'Description Sheet'!C52</f>
        <v xml:space="preserve">Painting &amp; Repair of Metal Roof Areas </v>
      </c>
      <c r="F67" s="408"/>
      <c r="G67" s="404"/>
      <c r="H67" s="409"/>
      <c r="I67" s="404"/>
      <c r="J67" s="408"/>
      <c r="K67" s="404"/>
      <c r="L67" s="408"/>
      <c r="M67" s="404"/>
      <c r="N67" s="408"/>
      <c r="O67" s="404"/>
      <c r="P67" s="408"/>
      <c r="Q67" s="404"/>
      <c r="R67" s="408"/>
      <c r="S67" s="404"/>
      <c r="T67" s="408"/>
      <c r="U67" s="404"/>
      <c r="V67" s="408"/>
      <c r="W67" s="404"/>
      <c r="X67" s="410"/>
      <c r="Y67" s="213"/>
      <c r="Z67" s="432" t="str">
        <f>IF('Maintenance Schedule'!Z67="","",'Maintenance Schedule'!Z67)</f>
        <v/>
      </c>
      <c r="AA67" s="12">
        <f>'Description Sheet'!N52</f>
        <v>0</v>
      </c>
      <c r="AB67" s="417"/>
      <c r="AD67" s="8"/>
    </row>
    <row r="68" spans="1:30" hidden="1">
      <c r="A68" s="14"/>
      <c r="B68" s="19">
        <v>6</v>
      </c>
      <c r="C68" s="19">
        <v>31</v>
      </c>
      <c r="D68" s="122">
        <f>'Description Sheet'!B53</f>
        <v>6.5</v>
      </c>
      <c r="E68" s="128" t="str">
        <f>'Description Sheet'!C53</f>
        <v xml:space="preserve">Painting &amp; Repair of Tile Roof Areas </v>
      </c>
      <c r="F68" s="408"/>
      <c r="G68" s="404"/>
      <c r="H68" s="409"/>
      <c r="I68" s="404"/>
      <c r="J68" s="408"/>
      <c r="K68" s="404"/>
      <c r="L68" s="408"/>
      <c r="M68" s="404"/>
      <c r="N68" s="408"/>
      <c r="O68" s="404"/>
      <c r="P68" s="408"/>
      <c r="Q68" s="404"/>
      <c r="R68" s="408"/>
      <c r="S68" s="404"/>
      <c r="T68" s="408"/>
      <c r="U68" s="404"/>
      <c r="V68" s="408"/>
      <c r="W68" s="404"/>
      <c r="X68" s="410"/>
      <c r="Y68" s="213"/>
      <c r="Z68" s="432" t="str">
        <f>IF('Maintenance Schedule'!Z68="","",'Maintenance Schedule'!Z68)</f>
        <v/>
      </c>
      <c r="AA68" s="12">
        <f>'Description Sheet'!N53</f>
        <v>0</v>
      </c>
      <c r="AB68" s="415"/>
    </row>
    <row r="69" spans="1:30" hidden="1">
      <c r="A69" s="14"/>
      <c r="B69" s="19">
        <v>6</v>
      </c>
      <c r="C69" s="19">
        <v>32</v>
      </c>
      <c r="D69" s="122">
        <f>'Description Sheet'!B54</f>
        <v>6.6</v>
      </c>
      <c r="E69" s="128" t="str">
        <f>'Description Sheet'!C54</f>
        <v xml:space="preserve">Painting &amp; Repairs of Asbestos Roof Areas </v>
      </c>
      <c r="F69" s="408"/>
      <c r="G69" s="404"/>
      <c r="H69" s="409"/>
      <c r="I69" s="404"/>
      <c r="J69" s="408"/>
      <c r="K69" s="404"/>
      <c r="L69" s="408"/>
      <c r="M69" s="404"/>
      <c r="N69" s="408"/>
      <c r="O69" s="404"/>
      <c r="P69" s="408"/>
      <c r="Q69" s="404"/>
      <c r="R69" s="408"/>
      <c r="S69" s="404"/>
      <c r="T69" s="408"/>
      <c r="U69" s="404"/>
      <c r="V69" s="408"/>
      <c r="W69" s="404"/>
      <c r="X69" s="410"/>
      <c r="Y69" s="213"/>
      <c r="Z69" s="432" t="str">
        <f>IF('Maintenance Schedule'!Z69="","",'Maintenance Schedule'!Z69)</f>
        <v/>
      </c>
      <c r="AA69" s="12">
        <f>'Description Sheet'!N54</f>
        <v>0</v>
      </c>
      <c r="AB69" s="415"/>
    </row>
    <row r="70" spans="1:30" hidden="1">
      <c r="A70" s="14"/>
      <c r="B70" s="19">
        <v>6</v>
      </c>
      <c r="C70" s="19">
        <v>33</v>
      </c>
      <c r="D70" s="122">
        <f>'Description Sheet'!B55</f>
        <v>6.7</v>
      </c>
      <c r="E70" s="128" t="str">
        <f>'Description Sheet'!C55</f>
        <v xml:space="preserve">Painting &amp; Repairs of Fibre Cement Roof Areas </v>
      </c>
      <c r="F70" s="408"/>
      <c r="G70" s="404"/>
      <c r="H70" s="409"/>
      <c r="I70" s="404"/>
      <c r="J70" s="408"/>
      <c r="K70" s="404"/>
      <c r="L70" s="408"/>
      <c r="M70" s="404"/>
      <c r="N70" s="408"/>
      <c r="O70" s="404"/>
      <c r="P70" s="408"/>
      <c r="Q70" s="404"/>
      <c r="R70" s="408"/>
      <c r="S70" s="404"/>
      <c r="T70" s="408"/>
      <c r="U70" s="404"/>
      <c r="V70" s="408"/>
      <c r="W70" s="404"/>
      <c r="X70" s="410"/>
      <c r="Y70" s="213"/>
      <c r="Z70" s="432" t="str">
        <f>IF('Maintenance Schedule'!Z70="","",'Maintenance Schedule'!Z70)</f>
        <v/>
      </c>
      <c r="AA70" s="12">
        <f>'Description Sheet'!N55</f>
        <v>0</v>
      </c>
      <c r="AB70" s="415"/>
    </row>
    <row r="71" spans="1:30" hidden="1">
      <c r="A71" s="14"/>
      <c r="B71" s="19">
        <v>6</v>
      </c>
      <c r="C71" s="19">
        <v>34</v>
      </c>
      <c r="D71" s="122">
        <f>'Description Sheet'!B56</f>
        <v>6.8</v>
      </c>
      <c r="E71" s="128" t="str">
        <f>'Description Sheet'!C56</f>
        <v>Servicing of Roof Screws</v>
      </c>
      <c r="F71" s="408"/>
      <c r="G71" s="404"/>
      <c r="H71" s="409"/>
      <c r="I71" s="404"/>
      <c r="J71" s="408"/>
      <c r="K71" s="404"/>
      <c r="L71" s="408"/>
      <c r="M71" s="404"/>
      <c r="N71" s="408"/>
      <c r="O71" s="404"/>
      <c r="P71" s="408"/>
      <c r="Q71" s="404"/>
      <c r="R71" s="408"/>
      <c r="S71" s="404"/>
      <c r="T71" s="408"/>
      <c r="U71" s="404"/>
      <c r="V71" s="408"/>
      <c r="W71" s="404"/>
      <c r="X71" s="410"/>
      <c r="Y71" s="213"/>
      <c r="Z71" s="432" t="str">
        <f>IF('Maintenance Schedule'!Z71="","",'Maintenance Schedule'!Z71)</f>
        <v/>
      </c>
      <c r="AA71" s="12">
        <f>'Description Sheet'!N56</f>
        <v>0</v>
      </c>
      <c r="AB71" s="415"/>
    </row>
    <row r="72" spans="1:30" hidden="1">
      <c r="A72" s="14"/>
      <c r="B72" s="19">
        <v>6</v>
      </c>
      <c r="C72" s="19">
        <v>35</v>
      </c>
      <c r="D72" s="122">
        <f>'Description Sheet'!B57</f>
        <v>6.9</v>
      </c>
      <c r="E72" s="128" t="str">
        <f>'Description Sheet'!C57</f>
        <v xml:space="preserve">Servicing and Re-lignment of Gutters </v>
      </c>
      <c r="F72" s="408"/>
      <c r="G72" s="404"/>
      <c r="H72" s="409"/>
      <c r="I72" s="404"/>
      <c r="J72" s="408"/>
      <c r="K72" s="404"/>
      <c r="L72" s="408"/>
      <c r="M72" s="404"/>
      <c r="N72" s="408"/>
      <c r="O72" s="404"/>
      <c r="P72" s="408"/>
      <c r="Q72" s="404"/>
      <c r="R72" s="408"/>
      <c r="S72" s="404"/>
      <c r="T72" s="408"/>
      <c r="U72" s="404"/>
      <c r="V72" s="408"/>
      <c r="W72" s="404"/>
      <c r="X72" s="410"/>
      <c r="Y72" s="213"/>
      <c r="Z72" s="432" t="str">
        <f>IF('Maintenance Schedule'!Z72="","",'Maintenance Schedule'!Z72)</f>
        <v/>
      </c>
      <c r="AA72" s="12">
        <f>'Description Sheet'!N57</f>
        <v>0</v>
      </c>
      <c r="AB72" s="415"/>
    </row>
    <row r="73" spans="1:30" hidden="1">
      <c r="A73" s="14"/>
      <c r="B73" s="19">
        <v>6</v>
      </c>
      <c r="C73" s="19">
        <v>36</v>
      </c>
      <c r="D73" s="131">
        <f>'Description Sheet'!B58</f>
        <v>6.1</v>
      </c>
      <c r="E73" s="128" t="str">
        <f>'Description Sheet'!C58</f>
        <v>Replacement of Damaged Metal Roof Sheeting</v>
      </c>
      <c r="F73" s="408"/>
      <c r="G73" s="404"/>
      <c r="H73" s="409"/>
      <c r="I73" s="404"/>
      <c r="J73" s="408"/>
      <c r="K73" s="404"/>
      <c r="L73" s="408"/>
      <c r="M73" s="404"/>
      <c r="N73" s="408"/>
      <c r="O73" s="404"/>
      <c r="P73" s="408"/>
      <c r="Q73" s="404"/>
      <c r="R73" s="408"/>
      <c r="S73" s="404"/>
      <c r="T73" s="408"/>
      <c r="U73" s="404"/>
      <c r="V73" s="408"/>
      <c r="W73" s="404"/>
      <c r="X73" s="410"/>
      <c r="Y73" s="213"/>
      <c r="Z73" s="432" t="str">
        <f>IF('Maintenance Schedule'!Z73="","",'Maintenance Schedule'!Z73)</f>
        <v/>
      </c>
      <c r="AA73" s="12">
        <f>'Description Sheet'!N58</f>
        <v>0</v>
      </c>
      <c r="AB73" s="415"/>
    </row>
    <row r="74" spans="1:30" hidden="1">
      <c r="A74" s="14"/>
      <c r="B74" s="19">
        <v>6</v>
      </c>
      <c r="C74" s="19">
        <v>37</v>
      </c>
      <c r="D74" s="131">
        <f>'Description Sheet'!B59</f>
        <v>6.11</v>
      </c>
      <c r="E74" s="128" t="str">
        <f>'Description Sheet'!C59</f>
        <v>Replacement of Polycarbonate Roof Sheeting</v>
      </c>
      <c r="F74" s="408"/>
      <c r="G74" s="404"/>
      <c r="H74" s="409"/>
      <c r="I74" s="404"/>
      <c r="J74" s="408"/>
      <c r="K74" s="404"/>
      <c r="L74" s="408"/>
      <c r="M74" s="404"/>
      <c r="N74" s="408"/>
      <c r="O74" s="404"/>
      <c r="P74" s="408"/>
      <c r="Q74" s="404"/>
      <c r="R74" s="408"/>
      <c r="S74" s="404"/>
      <c r="T74" s="408"/>
      <c r="U74" s="404"/>
      <c r="V74" s="408"/>
      <c r="W74" s="404"/>
      <c r="X74" s="410"/>
      <c r="Y74" s="213"/>
      <c r="Z74" s="432" t="str">
        <f>IF('Maintenance Schedule'!Z74="","",'Maintenance Schedule'!Z74)</f>
        <v/>
      </c>
      <c r="AA74" s="12">
        <f>'Description Sheet'!N59</f>
        <v>0</v>
      </c>
      <c r="AB74" s="415"/>
    </row>
    <row r="75" spans="1:30" hidden="1">
      <c r="A75" s="14"/>
      <c r="B75" s="19">
        <v>6</v>
      </c>
      <c r="C75" s="19">
        <v>38</v>
      </c>
      <c r="D75" s="131">
        <f>'Description Sheet'!B60</f>
        <v>6.12</v>
      </c>
      <c r="E75" s="128" t="str">
        <f>'Description Sheet'!C60</f>
        <v>Replacement of Tile Roofs</v>
      </c>
      <c r="F75" s="408"/>
      <c r="G75" s="404"/>
      <c r="H75" s="409"/>
      <c r="I75" s="404"/>
      <c r="J75" s="408"/>
      <c r="K75" s="404"/>
      <c r="L75" s="408"/>
      <c r="M75" s="404"/>
      <c r="N75" s="408"/>
      <c r="O75" s="404"/>
      <c r="P75" s="408"/>
      <c r="Q75" s="404"/>
      <c r="R75" s="408"/>
      <c r="S75" s="404"/>
      <c r="T75" s="408"/>
      <c r="U75" s="404"/>
      <c r="V75" s="408"/>
      <c r="W75" s="404"/>
      <c r="X75" s="410"/>
      <c r="Y75" s="213"/>
      <c r="Z75" s="432" t="str">
        <f>IF('Maintenance Schedule'!Z75="","",'Maintenance Schedule'!Z75)</f>
        <v/>
      </c>
      <c r="AA75" s="12">
        <f>'Description Sheet'!N60</f>
        <v>0</v>
      </c>
      <c r="AB75" s="415"/>
    </row>
    <row r="76" spans="1:30" hidden="1">
      <c r="A76" s="14"/>
      <c r="B76" s="19">
        <v>6</v>
      </c>
      <c r="C76" s="19">
        <v>39</v>
      </c>
      <c r="D76" s="131">
        <f>'Description Sheet'!B61</f>
        <v>6.13</v>
      </c>
      <c r="E76" s="128" t="str">
        <f>'Description Sheet'!C61</f>
        <v>Replacement of Tile Roof and Structure</v>
      </c>
      <c r="F76" s="408"/>
      <c r="G76" s="404"/>
      <c r="H76" s="409"/>
      <c r="I76" s="404"/>
      <c r="J76" s="408"/>
      <c r="K76" s="404"/>
      <c r="L76" s="408"/>
      <c r="M76" s="404"/>
      <c r="N76" s="408"/>
      <c r="O76" s="404"/>
      <c r="P76" s="408"/>
      <c r="Q76" s="404"/>
      <c r="R76" s="408"/>
      <c r="S76" s="404"/>
      <c r="T76" s="408"/>
      <c r="U76" s="404"/>
      <c r="V76" s="408"/>
      <c r="W76" s="404"/>
      <c r="X76" s="410"/>
      <c r="Y76" s="213"/>
      <c r="Z76" s="432" t="str">
        <f>IF('Maintenance Schedule'!Z76="","",'Maintenance Schedule'!Z76)</f>
        <v/>
      </c>
      <c r="AA76" s="12">
        <f>'Description Sheet'!N61</f>
        <v>0</v>
      </c>
      <c r="AB76" s="415"/>
    </row>
    <row r="77" spans="1:30" hidden="1">
      <c r="A77" s="14"/>
      <c r="B77" s="19">
        <v>6</v>
      </c>
      <c r="C77" s="19">
        <v>40</v>
      </c>
      <c r="D77" s="131">
        <f>'Description Sheet'!B62</f>
        <v>6.14</v>
      </c>
      <c r="E77" s="128" t="str">
        <f>'Description Sheet'!C62</f>
        <v>Replacement of Fibre Cement Roof</v>
      </c>
      <c r="F77" s="408"/>
      <c r="G77" s="404"/>
      <c r="H77" s="409"/>
      <c r="I77" s="404"/>
      <c r="J77" s="408"/>
      <c r="K77" s="404"/>
      <c r="L77" s="408"/>
      <c r="M77" s="404"/>
      <c r="N77" s="408"/>
      <c r="O77" s="404"/>
      <c r="P77" s="408"/>
      <c r="Q77" s="404"/>
      <c r="R77" s="408"/>
      <c r="S77" s="404"/>
      <c r="T77" s="408"/>
      <c r="U77" s="404"/>
      <c r="V77" s="408"/>
      <c r="W77" s="404"/>
      <c r="X77" s="410"/>
      <c r="Y77" s="213"/>
      <c r="Z77" s="432" t="str">
        <f>IF('Maintenance Schedule'!Z77="","",'Maintenance Schedule'!Z77)</f>
        <v/>
      </c>
      <c r="AA77" s="12">
        <f>'Description Sheet'!N62</f>
        <v>0</v>
      </c>
      <c r="AB77" s="415"/>
    </row>
    <row r="78" spans="1:30" hidden="1">
      <c r="A78" s="14"/>
      <c r="B78" s="19">
        <v>6</v>
      </c>
      <c r="C78" s="19">
        <v>41</v>
      </c>
      <c r="D78" s="131">
        <f>'Description Sheet'!B63</f>
        <v>6.15</v>
      </c>
      <c r="E78" s="128" t="str">
        <f>'Description Sheet'!C63</f>
        <v>blank</v>
      </c>
      <c r="F78" s="408"/>
      <c r="G78" s="404"/>
      <c r="H78" s="411"/>
      <c r="I78" s="405"/>
      <c r="J78" s="410"/>
      <c r="K78" s="405"/>
      <c r="L78" s="410"/>
      <c r="M78" s="405"/>
      <c r="N78" s="410"/>
      <c r="O78" s="405"/>
      <c r="P78" s="410"/>
      <c r="Q78" s="405"/>
      <c r="R78" s="410"/>
      <c r="S78" s="405"/>
      <c r="T78" s="410"/>
      <c r="U78" s="405"/>
      <c r="V78" s="410"/>
      <c r="W78" s="405"/>
      <c r="X78" s="410"/>
      <c r="Y78" s="213"/>
      <c r="Z78" s="432" t="str">
        <f>IF('Maintenance Schedule'!Z78="","",'Maintenance Schedule'!Z78)</f>
        <v/>
      </c>
      <c r="AA78" s="12">
        <f>'Description Sheet'!N63</f>
        <v>0</v>
      </c>
      <c r="AB78" s="415"/>
    </row>
    <row r="79" spans="1:30" hidden="1">
      <c r="A79" s="14"/>
      <c r="B79" s="19">
        <v>6</v>
      </c>
      <c r="C79" s="19">
        <v>42</v>
      </c>
      <c r="D79" s="131">
        <f>'Description Sheet'!B64</f>
        <v>6.17</v>
      </c>
      <c r="E79" s="128" t="str">
        <f>'Description Sheet'!C64</f>
        <v>blank</v>
      </c>
      <c r="F79" s="408"/>
      <c r="G79" s="404"/>
      <c r="H79" s="411"/>
      <c r="I79" s="405"/>
      <c r="J79" s="410"/>
      <c r="K79" s="405"/>
      <c r="L79" s="410"/>
      <c r="M79" s="405"/>
      <c r="N79" s="410"/>
      <c r="O79" s="405"/>
      <c r="P79" s="410"/>
      <c r="Q79" s="405"/>
      <c r="R79" s="410"/>
      <c r="S79" s="405"/>
      <c r="T79" s="410"/>
      <c r="U79" s="405"/>
      <c r="V79" s="410"/>
      <c r="W79" s="405"/>
      <c r="X79" s="410"/>
      <c r="Y79" s="213"/>
      <c r="Z79" s="432" t="str">
        <f>IF('Maintenance Schedule'!Z79="","",'Maintenance Schedule'!Z79)</f>
        <v/>
      </c>
      <c r="AA79" s="12">
        <f>'Description Sheet'!N64</f>
        <v>0</v>
      </c>
      <c r="AB79" s="415"/>
    </row>
    <row r="80" spans="1:30" hidden="1">
      <c r="A80" s="14"/>
      <c r="B80" s="19">
        <v>6</v>
      </c>
      <c r="C80" s="19">
        <v>43</v>
      </c>
      <c r="D80" s="131">
        <f>'Description Sheet'!B65</f>
        <v>6.18</v>
      </c>
      <c r="E80" s="128" t="str">
        <f>'Description Sheet'!C65</f>
        <v>blank</v>
      </c>
      <c r="F80" s="408"/>
      <c r="G80" s="404"/>
      <c r="H80" s="411"/>
      <c r="I80" s="405"/>
      <c r="J80" s="410"/>
      <c r="K80" s="405"/>
      <c r="L80" s="410"/>
      <c r="M80" s="405"/>
      <c r="N80" s="410"/>
      <c r="O80" s="405"/>
      <c r="P80" s="410"/>
      <c r="Q80" s="405"/>
      <c r="R80" s="410"/>
      <c r="S80" s="405"/>
      <c r="T80" s="410"/>
      <c r="U80" s="405"/>
      <c r="V80" s="410"/>
      <c r="W80" s="405"/>
      <c r="X80" s="410"/>
      <c r="Y80" s="213"/>
      <c r="Z80" s="432" t="str">
        <f>IF('Maintenance Schedule'!Z80="","",'Maintenance Schedule'!Z80)</f>
        <v/>
      </c>
      <c r="AA80" s="12">
        <f>'Description Sheet'!N65</f>
        <v>0</v>
      </c>
      <c r="AB80" s="415"/>
    </row>
    <row r="81" spans="1:28" ht="19" thickBot="1">
      <c r="A81" s="14"/>
      <c r="B81" s="19"/>
      <c r="C81" s="19"/>
      <c r="D81" s="131"/>
      <c r="E81" s="214"/>
      <c r="F81" s="223"/>
      <c r="G81" s="212"/>
      <c r="H81" s="225"/>
      <c r="I81" s="213"/>
      <c r="J81" s="225"/>
      <c r="K81" s="213"/>
      <c r="L81" s="225"/>
      <c r="M81" s="213"/>
      <c r="N81" s="225"/>
      <c r="O81" s="213"/>
      <c r="P81" s="225"/>
      <c r="Q81" s="213"/>
      <c r="R81" s="225"/>
      <c r="S81" s="213"/>
      <c r="T81" s="225"/>
      <c r="U81" s="213"/>
      <c r="V81" s="225"/>
      <c r="W81" s="213"/>
      <c r="X81" s="223"/>
      <c r="Y81" s="213"/>
      <c r="Z81" s="431"/>
      <c r="AA81" s="12"/>
      <c r="AB81" s="415"/>
    </row>
    <row r="82" spans="1:28" ht="20" thickBot="1">
      <c r="A82" s="14" t="s">
        <v>64</v>
      </c>
      <c r="B82" s="19"/>
      <c r="C82" s="19"/>
      <c r="D82" s="124"/>
      <c r="E82" s="125" t="s">
        <v>31</v>
      </c>
      <c r="F82" s="126">
        <v>0</v>
      </c>
      <c r="G82" s="206"/>
      <c r="H82" s="127"/>
      <c r="I82" s="426"/>
      <c r="J82" s="127"/>
      <c r="K82" s="426"/>
      <c r="L82" s="127"/>
      <c r="M82" s="426"/>
      <c r="N82" s="127"/>
      <c r="O82" s="426"/>
      <c r="P82" s="127"/>
      <c r="Q82" s="426"/>
      <c r="R82" s="127"/>
      <c r="S82" s="426"/>
      <c r="T82" s="127"/>
      <c r="U82" s="426"/>
      <c r="V82" s="127"/>
      <c r="W82" s="426"/>
      <c r="X82" s="127"/>
      <c r="Y82" s="425"/>
      <c r="Z82" s="431"/>
      <c r="AA82" s="12"/>
      <c r="AB82" s="415"/>
    </row>
    <row r="83" spans="1:28" ht="19" thickBot="1">
      <c r="A83" s="14" t="s">
        <v>65</v>
      </c>
      <c r="B83" s="19"/>
      <c r="C83" s="19"/>
      <c r="D83" s="122"/>
      <c r="E83" s="128" t="s">
        <v>43</v>
      </c>
      <c r="F83" s="129">
        <f>'Year (2021-2022)'!H68</f>
        <v>3190</v>
      </c>
      <c r="G83" s="206"/>
      <c r="H83" s="129">
        <f>'Year (2022-2023)'!H68</f>
        <v>3445.2</v>
      </c>
      <c r="I83" s="206"/>
      <c r="J83" s="129">
        <f>'Year (2023-2024)'!H68</f>
        <v>3720.8160000000003</v>
      </c>
      <c r="K83" s="206"/>
      <c r="L83" s="129">
        <f>'Year (2024-2025)'!H68</f>
        <v>4018.4812800000004</v>
      </c>
      <c r="M83" s="206"/>
      <c r="N83" s="129">
        <f>'Year (2025-2026)'!H68</f>
        <v>4339.9597824000011</v>
      </c>
      <c r="O83" s="206"/>
      <c r="P83" s="129">
        <f>'Year (2026-2027)'!H68</f>
        <v>4687.1565649920012</v>
      </c>
      <c r="Q83" s="206"/>
      <c r="R83" s="129">
        <f>'Year (2027-2028)'!H68</f>
        <v>5062.1290901913617</v>
      </c>
      <c r="S83" s="206"/>
      <c r="T83" s="129">
        <f>'Year (2028-2029)'!H68</f>
        <v>5467.0994174066709</v>
      </c>
      <c r="U83" s="206"/>
      <c r="V83" s="129">
        <f>'Year (2029-2030)'!H68</f>
        <v>5904.4673707992051</v>
      </c>
      <c r="W83" s="206"/>
      <c r="X83" s="129">
        <f>'Year (2030-2031)'!H68</f>
        <v>6376.8247604631424</v>
      </c>
      <c r="Y83" s="207"/>
      <c r="Z83" s="431"/>
      <c r="AA83" s="12"/>
      <c r="AB83" s="416">
        <f>F83+H83+J83+L83+N83+P83+R83+T83+V83+X83</f>
        <v>46212.134266252382</v>
      </c>
    </row>
    <row r="84" spans="1:28">
      <c r="A84" s="14" t="s">
        <v>66</v>
      </c>
      <c r="B84" s="19"/>
      <c r="C84" s="19"/>
      <c r="D84" s="122"/>
      <c r="E84" s="130" t="s">
        <v>48</v>
      </c>
      <c r="F84" s="447">
        <v>3190</v>
      </c>
      <c r="G84" s="206"/>
      <c r="H84" s="447">
        <v>3445.2000000000003</v>
      </c>
      <c r="I84" s="206"/>
      <c r="J84" s="447">
        <v>3720.8160000000003</v>
      </c>
      <c r="K84" s="206"/>
      <c r="L84" s="447">
        <v>4018.4812800000004</v>
      </c>
      <c r="M84" s="206"/>
      <c r="N84" s="447">
        <v>4339.9597824000011</v>
      </c>
      <c r="O84" s="206"/>
      <c r="P84" s="447">
        <v>4687.1565649920021</v>
      </c>
      <c r="Q84" s="206"/>
      <c r="R84" s="447">
        <v>5062.1290901913617</v>
      </c>
      <c r="S84" s="206"/>
      <c r="T84" s="447">
        <v>5467.0994174066718</v>
      </c>
      <c r="U84" s="206"/>
      <c r="V84" s="447">
        <v>5904.4673707992051</v>
      </c>
      <c r="W84" s="206"/>
      <c r="X84" s="447">
        <v>6376.8247604631424</v>
      </c>
      <c r="Y84" s="207"/>
      <c r="Z84" s="431"/>
      <c r="AA84" s="12"/>
      <c r="AB84" s="415"/>
    </row>
    <row r="85" spans="1:28" ht="20" thickBot="1">
      <c r="A85" s="14"/>
      <c r="B85" s="19"/>
      <c r="C85" s="19"/>
      <c r="D85" s="122"/>
      <c r="E85" s="128"/>
      <c r="F85" s="221"/>
      <c r="G85" s="206"/>
      <c r="H85" s="222"/>
      <c r="I85" s="206"/>
      <c r="J85" s="221"/>
      <c r="K85" s="206"/>
      <c r="L85" s="222"/>
      <c r="M85" s="206"/>
      <c r="N85" s="222"/>
      <c r="O85" s="206"/>
      <c r="P85" s="222"/>
      <c r="Q85" s="206"/>
      <c r="R85" s="221"/>
      <c r="S85" s="206"/>
      <c r="T85" s="222"/>
      <c r="U85" s="206"/>
      <c r="V85" s="222"/>
      <c r="W85" s="206"/>
      <c r="X85" s="217"/>
      <c r="Y85" s="207"/>
      <c r="Z85" s="431"/>
      <c r="AA85" s="12"/>
      <c r="AB85" s="415"/>
    </row>
    <row r="86" spans="1:28" ht="22" thickBot="1">
      <c r="A86" s="14"/>
      <c r="B86" s="19">
        <v>7</v>
      </c>
      <c r="C86" s="19"/>
      <c r="D86" s="120">
        <f>'Description Sheet'!B68</f>
        <v>7</v>
      </c>
      <c r="E86" s="178" t="str">
        <f>'Description Sheet'!C68</f>
        <v>Painting and Repairs</v>
      </c>
      <c r="F86" s="227"/>
      <c r="G86" s="206"/>
      <c r="H86" s="228"/>
      <c r="I86" s="206"/>
      <c r="J86" s="227"/>
      <c r="K86" s="206"/>
      <c r="L86" s="228"/>
      <c r="M86" s="206"/>
      <c r="N86" s="228"/>
      <c r="O86" s="206"/>
      <c r="P86" s="228"/>
      <c r="Q86" s="206"/>
      <c r="R86" s="227"/>
      <c r="S86" s="206"/>
      <c r="T86" s="228"/>
      <c r="U86" s="206"/>
      <c r="V86" s="228"/>
      <c r="W86" s="206"/>
      <c r="X86" s="227"/>
      <c r="Y86" s="207"/>
      <c r="Z86" s="431"/>
      <c r="AA86" s="12"/>
      <c r="AB86" s="415"/>
    </row>
    <row r="87" spans="1:28">
      <c r="A87" s="14"/>
      <c r="B87" s="19">
        <v>7</v>
      </c>
      <c r="C87" s="19">
        <v>44</v>
      </c>
      <c r="D87" s="122">
        <f>'Description Sheet'!B69</f>
        <v>7.1</v>
      </c>
      <c r="E87" s="128" t="str">
        <f>'Description Sheet'!C69</f>
        <v>External  Painting and Remedial Repairs</v>
      </c>
      <c r="F87" s="403">
        <v>1843248.8</v>
      </c>
      <c r="G87" s="404"/>
      <c r="H87" s="403"/>
      <c r="I87" s="404"/>
      <c r="J87" s="403"/>
      <c r="K87" s="404"/>
      <c r="L87" s="403"/>
      <c r="M87" s="404"/>
      <c r="N87" s="403"/>
      <c r="O87" s="404"/>
      <c r="P87" s="403"/>
      <c r="Q87" s="404"/>
      <c r="R87" s="403"/>
      <c r="S87" s="404"/>
      <c r="T87" s="403"/>
      <c r="U87" s="404"/>
      <c r="V87" s="403"/>
      <c r="W87" s="404"/>
      <c r="X87" s="403">
        <v>3684662.880104694</v>
      </c>
      <c r="Y87" s="231"/>
      <c r="Z87" s="432" t="str">
        <f>IF('Maintenance Schedule'!Z87="","",'Maintenance Schedule'!Z87)</f>
        <v/>
      </c>
      <c r="AA87" s="12">
        <f>'Description Sheet'!N69</f>
        <v>1843248.8</v>
      </c>
      <c r="AB87" s="415"/>
    </row>
    <row r="88" spans="1:28">
      <c r="A88" s="14"/>
      <c r="B88" s="19">
        <v>7</v>
      </c>
      <c r="C88" s="19">
        <v>45</v>
      </c>
      <c r="D88" s="122">
        <f>'Description Sheet'!B70</f>
        <v>7.2</v>
      </c>
      <c r="E88" s="128" t="str">
        <f>'Description Sheet'!C70</f>
        <v>Internal Repairs to Apartments 505, 405, 305</v>
      </c>
      <c r="F88" s="408">
        <v>155250</v>
      </c>
      <c r="G88" s="412"/>
      <c r="H88" s="408"/>
      <c r="I88" s="412"/>
      <c r="J88" s="408"/>
      <c r="K88" s="412"/>
      <c r="L88" s="408"/>
      <c r="M88" s="412"/>
      <c r="N88" s="408"/>
      <c r="O88" s="412"/>
      <c r="P88" s="413"/>
      <c r="Q88" s="412"/>
      <c r="R88" s="408"/>
      <c r="S88" s="412"/>
      <c r="T88" s="408"/>
      <c r="U88" s="412"/>
      <c r="V88" s="408"/>
      <c r="W88" s="412"/>
      <c r="X88" s="410"/>
      <c r="Y88" s="231"/>
      <c r="Z88" s="432" t="str">
        <f>IF('Maintenance Schedule'!Z88="","",'Maintenance Schedule'!Z88)</f>
        <v/>
      </c>
      <c r="AA88" s="12">
        <f>'Description Sheet'!N70</f>
        <v>155250</v>
      </c>
      <c r="AB88" s="415"/>
    </row>
    <row r="89" spans="1:28" hidden="1">
      <c r="A89" s="14"/>
      <c r="B89" s="19">
        <v>7</v>
      </c>
      <c r="C89" s="19">
        <v>46</v>
      </c>
      <c r="D89" s="122">
        <f>'Description Sheet'!B71</f>
        <v>7.3</v>
      </c>
      <c r="E89" s="128" t="str">
        <f>'Description Sheet'!C71</f>
        <v>Exposed Tops</v>
      </c>
      <c r="F89" s="403"/>
      <c r="G89" s="404"/>
      <c r="H89" s="403"/>
      <c r="I89" s="404"/>
      <c r="J89" s="403"/>
      <c r="K89" s="404"/>
      <c r="L89" s="403"/>
      <c r="M89" s="404"/>
      <c r="N89" s="403"/>
      <c r="O89" s="404"/>
      <c r="P89" s="403"/>
      <c r="Q89" s="404"/>
      <c r="R89" s="403"/>
      <c r="S89" s="404"/>
      <c r="T89" s="403"/>
      <c r="U89" s="404"/>
      <c r="V89" s="403"/>
      <c r="W89" s="404"/>
      <c r="X89" s="403"/>
      <c r="Y89" s="231"/>
      <c r="Z89" s="432" t="str">
        <f>IF('Maintenance Schedule'!Z89="","",'Maintenance Schedule'!Z89)</f>
        <v/>
      </c>
      <c r="AA89" s="12">
        <f>'Description Sheet'!N71</f>
        <v>0</v>
      </c>
      <c r="AB89" s="415"/>
    </row>
    <row r="90" spans="1:28" hidden="1">
      <c r="A90" s="14"/>
      <c r="B90" s="19">
        <v>7</v>
      </c>
      <c r="C90" s="19">
        <v>47</v>
      </c>
      <c r="D90" s="122">
        <f>'Description Sheet'!B72</f>
        <v>7.4</v>
      </c>
      <c r="E90" s="128" t="str">
        <f>'Description Sheet'!C72</f>
        <v>Wall to Frame Sealant (Exposed)</v>
      </c>
      <c r="F90" s="403"/>
      <c r="G90" s="404"/>
      <c r="H90" s="403"/>
      <c r="I90" s="404"/>
      <c r="J90" s="403"/>
      <c r="K90" s="404"/>
      <c r="L90" s="403"/>
      <c r="M90" s="404"/>
      <c r="N90" s="403"/>
      <c r="O90" s="404"/>
      <c r="P90" s="403"/>
      <c r="Q90" s="404"/>
      <c r="R90" s="403"/>
      <c r="S90" s="404"/>
      <c r="T90" s="403"/>
      <c r="U90" s="404"/>
      <c r="V90" s="403"/>
      <c r="W90" s="404"/>
      <c r="X90" s="403"/>
      <c r="Y90" s="231"/>
      <c r="Z90" s="432" t="str">
        <f>IF('Maintenance Schedule'!Z90="","",'Maintenance Schedule'!Z90)</f>
        <v/>
      </c>
      <c r="AA90" s="12">
        <f>'Description Sheet'!N72</f>
        <v>0</v>
      </c>
      <c r="AB90" s="415"/>
    </row>
    <row r="91" spans="1:28" hidden="1">
      <c r="A91" s="14"/>
      <c r="B91" s="19">
        <v>7</v>
      </c>
      <c r="C91" s="19">
        <v>48</v>
      </c>
      <c r="D91" s="122">
        <f>'Description Sheet'!B73</f>
        <v>7.5</v>
      </c>
      <c r="E91" s="128" t="str">
        <f>'Description Sheet'!C73</f>
        <v>Glass to Frame Sealant (Skylights)</v>
      </c>
      <c r="F91" s="403"/>
      <c r="G91" s="404"/>
      <c r="H91" s="403"/>
      <c r="I91" s="404"/>
      <c r="J91" s="403"/>
      <c r="K91" s="404"/>
      <c r="L91" s="403"/>
      <c r="M91" s="404"/>
      <c r="N91" s="403"/>
      <c r="O91" s="404"/>
      <c r="P91" s="403"/>
      <c r="Q91" s="404"/>
      <c r="R91" s="403"/>
      <c r="S91" s="404"/>
      <c r="T91" s="403"/>
      <c r="U91" s="404"/>
      <c r="V91" s="403"/>
      <c r="W91" s="404"/>
      <c r="X91" s="403"/>
      <c r="Y91" s="231"/>
      <c r="Z91" s="432" t="str">
        <f>IF('Maintenance Schedule'!Z91="","",'Maintenance Schedule'!Z91)</f>
        <v/>
      </c>
      <c r="AA91" s="12">
        <f>'Description Sheet'!N73</f>
        <v>0</v>
      </c>
      <c r="AB91" s="415"/>
    </row>
    <row r="92" spans="1:28" hidden="1">
      <c r="A92" s="14"/>
      <c r="B92" s="19">
        <v>7</v>
      </c>
      <c r="C92" s="19">
        <v>49</v>
      </c>
      <c r="D92" s="122">
        <f>'Description Sheet'!B74</f>
        <v>7.6</v>
      </c>
      <c r="E92" s="128" t="str">
        <f>'Description Sheet'!C74</f>
        <v>Metal Windows and Putty Repairs</v>
      </c>
      <c r="F92" s="408"/>
      <c r="G92" s="412"/>
      <c r="H92" s="408"/>
      <c r="I92" s="412"/>
      <c r="J92" s="408"/>
      <c r="K92" s="412"/>
      <c r="L92" s="408"/>
      <c r="M92" s="412"/>
      <c r="N92" s="408"/>
      <c r="O92" s="412"/>
      <c r="P92" s="408"/>
      <c r="Q92" s="412"/>
      <c r="R92" s="408"/>
      <c r="S92" s="412"/>
      <c r="T92" s="408"/>
      <c r="U92" s="412"/>
      <c r="V92" s="408"/>
      <c r="W92" s="412"/>
      <c r="X92" s="410"/>
      <c r="Y92" s="231"/>
      <c r="Z92" s="432" t="str">
        <f>IF('Maintenance Schedule'!Z92="","",'Maintenance Schedule'!Z92)</f>
        <v/>
      </c>
      <c r="AA92" s="12">
        <f>'Description Sheet'!N74</f>
        <v>10000</v>
      </c>
      <c r="AB92" s="415"/>
    </row>
    <row r="93" spans="1:28">
      <c r="A93" s="14"/>
      <c r="B93" s="19">
        <v>7</v>
      </c>
      <c r="C93" s="19">
        <v>50</v>
      </c>
      <c r="D93" s="122">
        <f>'Description Sheet'!B75</f>
        <v>7.7</v>
      </c>
      <c r="E93" s="128" t="str">
        <f>'Description Sheet'!C75</f>
        <v xml:space="preserve">External Woodwork </v>
      </c>
      <c r="F93" s="403"/>
      <c r="G93" s="404"/>
      <c r="H93" s="403"/>
      <c r="I93" s="404"/>
      <c r="J93" s="403"/>
      <c r="K93" s="404"/>
      <c r="L93" s="403"/>
      <c r="M93" s="404"/>
      <c r="N93" s="403">
        <v>44624.037888000013</v>
      </c>
      <c r="O93" s="404"/>
      <c r="P93" s="403"/>
      <c r="Q93" s="404"/>
      <c r="R93" s="403"/>
      <c r="S93" s="404"/>
      <c r="T93" s="403"/>
      <c r="U93" s="404"/>
      <c r="V93" s="403">
        <v>60710.510897245746</v>
      </c>
      <c r="W93" s="404"/>
      <c r="X93" s="403"/>
      <c r="Y93" s="231"/>
      <c r="Z93" s="432">
        <f>IF('Maintenance Schedule'!Z93="","",'Maintenance Schedule'!Z93)</f>
        <v>13</v>
      </c>
      <c r="AA93" s="12">
        <f>'Description Sheet'!N75</f>
        <v>32800</v>
      </c>
      <c r="AB93" s="415"/>
    </row>
    <row r="94" spans="1:28">
      <c r="A94" s="14"/>
      <c r="B94" s="19">
        <v>7</v>
      </c>
      <c r="C94" s="19">
        <v>51</v>
      </c>
      <c r="D94" s="122">
        <f>'Description Sheet'!B76</f>
        <v>7.8</v>
      </c>
      <c r="E94" s="128" t="str">
        <f>'Description Sheet'!C76</f>
        <v xml:space="preserve">External Steelwork </v>
      </c>
      <c r="F94" s="408"/>
      <c r="G94" s="412"/>
      <c r="H94" s="408"/>
      <c r="I94" s="412"/>
      <c r="J94" s="408"/>
      <c r="K94" s="412"/>
      <c r="L94" s="408"/>
      <c r="M94" s="412"/>
      <c r="N94" s="408">
        <v>12462.078873600003</v>
      </c>
      <c r="O94" s="412"/>
      <c r="P94" s="408"/>
      <c r="Q94" s="412"/>
      <c r="R94" s="408"/>
      <c r="S94" s="412"/>
      <c r="T94" s="408"/>
      <c r="U94" s="412"/>
      <c r="V94" s="408">
        <v>16954.520726182043</v>
      </c>
      <c r="W94" s="412"/>
      <c r="X94" s="410"/>
      <c r="Y94" s="231"/>
      <c r="Z94" s="432">
        <f>IF('Maintenance Schedule'!Z94="","",'Maintenance Schedule'!Z94)</f>
        <v>13</v>
      </c>
      <c r="AA94" s="12">
        <f>'Description Sheet'!N76</f>
        <v>9160</v>
      </c>
      <c r="AB94" s="415"/>
    </row>
    <row r="95" spans="1:28" hidden="1">
      <c r="A95" s="14"/>
      <c r="B95" s="19">
        <v>7</v>
      </c>
      <c r="C95" s="19">
        <v>52</v>
      </c>
      <c r="D95" s="122">
        <f>'Description Sheet'!B77</f>
        <v>7.9</v>
      </c>
      <c r="E95" s="128" t="str">
        <f>'Description Sheet'!C77</f>
        <v xml:space="preserve">Pointing &amp; Brickwork Repairs </v>
      </c>
      <c r="F95" s="408"/>
      <c r="G95" s="412"/>
      <c r="H95" s="408"/>
      <c r="I95" s="412"/>
      <c r="J95" s="408"/>
      <c r="K95" s="412"/>
      <c r="L95" s="408"/>
      <c r="M95" s="412"/>
      <c r="N95" s="408"/>
      <c r="O95" s="412"/>
      <c r="P95" s="408"/>
      <c r="Q95" s="412"/>
      <c r="R95" s="408"/>
      <c r="S95" s="412"/>
      <c r="T95" s="408"/>
      <c r="U95" s="412"/>
      <c r="V95" s="408"/>
      <c r="W95" s="412"/>
      <c r="X95" s="410"/>
      <c r="Y95" s="231"/>
      <c r="Z95" s="432" t="str">
        <f>IF('Maintenance Schedule'!Z95="","",'Maintenance Schedule'!Z95)</f>
        <v/>
      </c>
      <c r="AA95" s="12">
        <f>'Description Sheet'!N77</f>
        <v>0</v>
      </c>
      <c r="AB95" s="415"/>
    </row>
    <row r="96" spans="1:28" hidden="1">
      <c r="A96" s="14"/>
      <c r="B96" s="19">
        <v>7</v>
      </c>
      <c r="C96" s="19">
        <v>53</v>
      </c>
      <c r="D96" s="131">
        <f>'Description Sheet'!B78</f>
        <v>7.1</v>
      </c>
      <c r="E96" s="128" t="str">
        <f>'Description Sheet'!C78</f>
        <v>Brickwork Repairs</v>
      </c>
      <c r="F96" s="408"/>
      <c r="G96" s="412"/>
      <c r="H96" s="408"/>
      <c r="I96" s="412"/>
      <c r="J96" s="408"/>
      <c r="K96" s="412"/>
      <c r="L96" s="408"/>
      <c r="M96" s="412"/>
      <c r="N96" s="408"/>
      <c r="O96" s="412"/>
      <c r="P96" s="408"/>
      <c r="Q96" s="412"/>
      <c r="R96" s="408"/>
      <c r="S96" s="412"/>
      <c r="T96" s="408"/>
      <c r="U96" s="412"/>
      <c r="V96" s="408"/>
      <c r="W96" s="412"/>
      <c r="X96" s="410"/>
      <c r="Y96" s="231"/>
      <c r="Z96" s="432" t="str">
        <f>IF('Maintenance Schedule'!Z96="","",'Maintenance Schedule'!Z96)</f>
        <v/>
      </c>
      <c r="AA96" s="12">
        <f>'Description Sheet'!N78</f>
        <v>4118</v>
      </c>
      <c r="AB96" s="415"/>
    </row>
    <row r="97" spans="1:28" hidden="1">
      <c r="A97" s="14"/>
      <c r="B97" s="19">
        <v>7</v>
      </c>
      <c r="C97" s="19">
        <v>54</v>
      </c>
      <c r="D97" s="131">
        <f>'Description Sheet'!B79</f>
        <v>7.11</v>
      </c>
      <c r="E97" s="128" t="str">
        <f>'Description Sheet'!C79</f>
        <v>Painted Floors</v>
      </c>
      <c r="F97" s="408"/>
      <c r="G97" s="412"/>
      <c r="H97" s="408"/>
      <c r="I97" s="412"/>
      <c r="J97" s="408"/>
      <c r="K97" s="412"/>
      <c r="L97" s="408"/>
      <c r="M97" s="412"/>
      <c r="N97" s="408"/>
      <c r="O97" s="412"/>
      <c r="P97" s="408"/>
      <c r="Q97" s="412"/>
      <c r="R97" s="408"/>
      <c r="S97" s="412"/>
      <c r="T97" s="408"/>
      <c r="U97" s="412"/>
      <c r="V97" s="408"/>
      <c r="W97" s="412"/>
      <c r="X97" s="410"/>
      <c r="Y97" s="231"/>
      <c r="Z97" s="432" t="str">
        <f>IF('Maintenance Schedule'!Z97="","",'Maintenance Schedule'!Z97)</f>
        <v/>
      </c>
      <c r="AA97" s="12">
        <f>'Description Sheet'!N79</f>
        <v>103360</v>
      </c>
      <c r="AB97" s="415"/>
    </row>
    <row r="98" spans="1:28" hidden="1">
      <c r="A98" s="14"/>
      <c r="B98" s="19">
        <v>7</v>
      </c>
      <c r="C98" s="19">
        <v>55</v>
      </c>
      <c r="D98" s="131">
        <f>'Description Sheet'!B80</f>
        <v>7.12</v>
      </c>
      <c r="E98" s="128" t="str">
        <f>'Description Sheet'!C80</f>
        <v>Nutec Walls</v>
      </c>
      <c r="F98" s="408"/>
      <c r="G98" s="412"/>
      <c r="H98" s="408"/>
      <c r="I98" s="412"/>
      <c r="J98" s="408"/>
      <c r="K98" s="412"/>
      <c r="L98" s="408"/>
      <c r="M98" s="412"/>
      <c r="N98" s="408"/>
      <c r="O98" s="412"/>
      <c r="P98" s="408"/>
      <c r="Q98" s="412"/>
      <c r="R98" s="408"/>
      <c r="S98" s="412"/>
      <c r="T98" s="408"/>
      <c r="U98" s="412"/>
      <c r="V98" s="408"/>
      <c r="W98" s="412"/>
      <c r="X98" s="410"/>
      <c r="Y98" s="231"/>
      <c r="Z98" s="432" t="str">
        <f>IF('Maintenance Schedule'!Z98="","",'Maintenance Schedule'!Z98)</f>
        <v/>
      </c>
      <c r="AA98" s="12">
        <f>'Description Sheet'!N80</f>
        <v>43290</v>
      </c>
      <c r="AB98" s="415"/>
    </row>
    <row r="99" spans="1:28" hidden="1">
      <c r="A99" s="14"/>
      <c r="B99" s="19">
        <v>7</v>
      </c>
      <c r="C99" s="19">
        <v>56</v>
      </c>
      <c r="D99" s="131">
        <f>'Description Sheet'!B81</f>
        <v>7.13</v>
      </c>
      <c r="E99" s="128" t="str">
        <f>'Description Sheet'!C81</f>
        <v xml:space="preserve">Basement Parking Walls and Soffits Areas </v>
      </c>
      <c r="F99" s="403"/>
      <c r="G99" s="404"/>
      <c r="H99" s="403"/>
      <c r="I99" s="404"/>
      <c r="J99" s="403"/>
      <c r="K99" s="404"/>
      <c r="L99" s="403"/>
      <c r="M99" s="404"/>
      <c r="N99" s="403"/>
      <c r="O99" s="404"/>
      <c r="P99" s="403"/>
      <c r="Q99" s="404"/>
      <c r="R99" s="403"/>
      <c r="S99" s="404"/>
      <c r="T99" s="403"/>
      <c r="U99" s="404"/>
      <c r="V99" s="403"/>
      <c r="W99" s="404"/>
      <c r="X99" s="403"/>
      <c r="Y99" s="231"/>
      <c r="Z99" s="432" t="str">
        <f>IF('Maintenance Schedule'!Z99="","",'Maintenance Schedule'!Z99)</f>
        <v/>
      </c>
      <c r="AA99" s="12">
        <f>'Description Sheet'!N81</f>
        <v>0</v>
      </c>
      <c r="AB99" s="415"/>
    </row>
    <row r="100" spans="1:28" hidden="1">
      <c r="A100" s="14"/>
      <c r="B100" s="19">
        <v>7</v>
      </c>
      <c r="C100" s="19">
        <v>57</v>
      </c>
      <c r="D100" s="131">
        <f>'Description Sheet'!B82</f>
        <v>7.14</v>
      </c>
      <c r="E100" s="128" t="str">
        <f>'Description Sheet'!C82</f>
        <v>Internal Common Walls and Soffit Areas</v>
      </c>
      <c r="F100" s="403"/>
      <c r="G100" s="404"/>
      <c r="H100" s="403"/>
      <c r="I100" s="404"/>
      <c r="J100" s="403"/>
      <c r="K100" s="404"/>
      <c r="L100" s="403"/>
      <c r="M100" s="404"/>
      <c r="N100" s="403"/>
      <c r="O100" s="404"/>
      <c r="P100" s="403"/>
      <c r="Q100" s="404"/>
      <c r="R100" s="403"/>
      <c r="S100" s="404"/>
      <c r="T100" s="403"/>
      <c r="U100" s="404"/>
      <c r="V100" s="403"/>
      <c r="W100" s="404"/>
      <c r="X100" s="403"/>
      <c r="Y100" s="231"/>
      <c r="Z100" s="432" t="str">
        <f>IF('Maintenance Schedule'!Z100="","",'Maintenance Schedule'!Z100)</f>
        <v/>
      </c>
      <c r="AA100" s="12">
        <f>'Description Sheet'!N82</f>
        <v>0</v>
      </c>
      <c r="AB100" s="415"/>
    </row>
    <row r="101" spans="1:28" hidden="1">
      <c r="A101" s="14"/>
      <c r="B101" s="19">
        <v>7</v>
      </c>
      <c r="C101" s="19">
        <v>58</v>
      </c>
      <c r="D101" s="131">
        <f>'Description Sheet'!B83</f>
        <v>7.15</v>
      </c>
      <c r="E101" s="128" t="str">
        <f>'Description Sheet'!C83</f>
        <v xml:space="preserve">Basement Parking Walls and Soffits Areas </v>
      </c>
      <c r="F101" s="408"/>
      <c r="G101" s="412"/>
      <c r="H101" s="408"/>
      <c r="I101" s="412"/>
      <c r="J101" s="408"/>
      <c r="K101" s="412"/>
      <c r="L101" s="408"/>
      <c r="M101" s="412"/>
      <c r="N101" s="408"/>
      <c r="O101" s="412"/>
      <c r="P101" s="408"/>
      <c r="Q101" s="412"/>
      <c r="R101" s="408"/>
      <c r="S101" s="412"/>
      <c r="T101" s="408"/>
      <c r="U101" s="412"/>
      <c r="V101" s="408"/>
      <c r="W101" s="412"/>
      <c r="X101" s="410"/>
      <c r="Y101" s="231"/>
      <c r="Z101" s="432" t="str">
        <f>IF('Maintenance Schedule'!Z101="","",'Maintenance Schedule'!Z101)</f>
        <v/>
      </c>
      <c r="AA101" s="12">
        <f>'Description Sheet'!N83</f>
        <v>0</v>
      </c>
      <c r="AB101" s="415"/>
    </row>
    <row r="102" spans="1:28" hidden="1">
      <c r="A102" s="14"/>
      <c r="B102" s="19">
        <v>7</v>
      </c>
      <c r="C102" s="19">
        <v>59</v>
      </c>
      <c r="D102" s="131">
        <f>'Description Sheet'!B84</f>
        <v>7.16</v>
      </c>
      <c r="E102" s="128" t="str">
        <f>'Description Sheet'!C84</f>
        <v>Cleaning of Cladding Panels</v>
      </c>
      <c r="F102" s="408"/>
      <c r="G102" s="412"/>
      <c r="H102" s="408"/>
      <c r="I102" s="412"/>
      <c r="J102" s="408"/>
      <c r="K102" s="412"/>
      <c r="L102" s="408"/>
      <c r="M102" s="412"/>
      <c r="N102" s="408"/>
      <c r="O102" s="412"/>
      <c r="P102" s="408"/>
      <c r="Q102" s="412"/>
      <c r="R102" s="408"/>
      <c r="S102" s="412"/>
      <c r="T102" s="408"/>
      <c r="U102" s="412"/>
      <c r="V102" s="408"/>
      <c r="W102" s="412"/>
      <c r="X102" s="410"/>
      <c r="Y102" s="231"/>
      <c r="Z102" s="432" t="str">
        <f>IF('Maintenance Schedule'!Z102="","",'Maintenance Schedule'!Z102)</f>
        <v/>
      </c>
      <c r="AA102" s="12">
        <f>'Description Sheet'!N84</f>
        <v>0</v>
      </c>
      <c r="AB102" s="415"/>
    </row>
    <row r="103" spans="1:28" hidden="1">
      <c r="A103" s="14"/>
      <c r="B103" s="19">
        <v>7</v>
      </c>
      <c r="C103" s="19">
        <v>60</v>
      </c>
      <c r="D103" s="131">
        <f>'Description Sheet'!B85</f>
        <v>7.17</v>
      </c>
      <c r="E103" s="128" t="str">
        <f>'Description Sheet'!C85</f>
        <v>Painting of Facais and Barge Boarding</v>
      </c>
      <c r="F103" s="408"/>
      <c r="G103" s="412"/>
      <c r="H103" s="408"/>
      <c r="I103" s="412"/>
      <c r="J103" s="408"/>
      <c r="K103" s="412"/>
      <c r="L103" s="408"/>
      <c r="M103" s="412"/>
      <c r="N103" s="408"/>
      <c r="O103" s="412"/>
      <c r="P103" s="408"/>
      <c r="Q103" s="412"/>
      <c r="R103" s="408"/>
      <c r="S103" s="412"/>
      <c r="T103" s="408"/>
      <c r="U103" s="412"/>
      <c r="V103" s="408"/>
      <c r="W103" s="412"/>
      <c r="X103" s="410"/>
      <c r="Y103" s="231"/>
      <c r="Z103" s="432" t="str">
        <f>IF('Maintenance Schedule'!Z103="","",'Maintenance Schedule'!Z103)</f>
        <v/>
      </c>
      <c r="AA103" s="12">
        <f>'Description Sheet'!N85</f>
        <v>0</v>
      </c>
      <c r="AB103" s="415"/>
    </row>
    <row r="104" spans="1:28" hidden="1">
      <c r="A104" s="14"/>
      <c r="B104" s="19">
        <v>7</v>
      </c>
      <c r="C104" s="19">
        <v>61</v>
      </c>
      <c r="D104" s="131">
        <f>'Description Sheet'!B86</f>
        <v>7.18</v>
      </c>
      <c r="E104" s="128" t="str">
        <f>'Description Sheet'!C86</f>
        <v>Painting External Wooden Soffits</v>
      </c>
      <c r="F104" s="408"/>
      <c r="G104" s="412"/>
      <c r="H104" s="408"/>
      <c r="I104" s="412"/>
      <c r="J104" s="408"/>
      <c r="K104" s="412"/>
      <c r="L104" s="408"/>
      <c r="M104" s="412"/>
      <c r="N104" s="408"/>
      <c r="O104" s="412"/>
      <c r="P104" s="408"/>
      <c r="Q104" s="412"/>
      <c r="R104" s="408"/>
      <c r="S104" s="412"/>
      <c r="T104" s="408"/>
      <c r="U104" s="412"/>
      <c r="V104" s="408"/>
      <c r="W104" s="412"/>
      <c r="X104" s="410"/>
      <c r="Y104" s="231"/>
      <c r="Z104" s="432" t="str">
        <f>IF('Maintenance Schedule'!Z104="","",'Maintenance Schedule'!Z104)</f>
        <v/>
      </c>
      <c r="AA104" s="12">
        <f>'Description Sheet'!N86</f>
        <v>0</v>
      </c>
      <c r="AB104" s="415"/>
    </row>
    <row r="105" spans="1:28" hidden="1">
      <c r="A105" s="14"/>
      <c r="B105" s="19">
        <v>7</v>
      </c>
      <c r="C105" s="19">
        <v>62</v>
      </c>
      <c r="D105" s="131">
        <f>'Description Sheet'!B87</f>
        <v>7.19</v>
      </c>
      <c r="E105" s="128" t="str">
        <f>'Description Sheet'!C87</f>
        <v>Painting of Palisade Fencing</v>
      </c>
      <c r="F105" s="403"/>
      <c r="G105" s="404"/>
      <c r="H105" s="403"/>
      <c r="I105" s="404"/>
      <c r="J105" s="403"/>
      <c r="K105" s="404"/>
      <c r="L105" s="403"/>
      <c r="M105" s="404"/>
      <c r="N105" s="403"/>
      <c r="O105" s="404"/>
      <c r="P105" s="403"/>
      <c r="Q105" s="404"/>
      <c r="R105" s="403"/>
      <c r="S105" s="404"/>
      <c r="T105" s="403"/>
      <c r="U105" s="404"/>
      <c r="V105" s="403"/>
      <c r="W105" s="404"/>
      <c r="X105" s="403"/>
      <c r="Y105" s="231"/>
      <c r="Z105" s="432" t="str">
        <f>IF('Maintenance Schedule'!Z105="","",'Maintenance Schedule'!Z105)</f>
        <v/>
      </c>
      <c r="AA105" s="12">
        <f>'Description Sheet'!N87</f>
        <v>0</v>
      </c>
      <c r="AB105" s="415"/>
    </row>
    <row r="106" spans="1:28" hidden="1">
      <c r="A106" s="14"/>
      <c r="B106" s="19">
        <v>7</v>
      </c>
      <c r="C106" s="19">
        <v>63</v>
      </c>
      <c r="D106" s="131">
        <f>'Description Sheet'!B88</f>
        <v>7.2</v>
      </c>
      <c r="E106" s="128" t="str">
        <f>'Description Sheet'!C88</f>
        <v>blank</v>
      </c>
      <c r="F106" s="408"/>
      <c r="G106" s="412"/>
      <c r="H106" s="410"/>
      <c r="I106" s="414"/>
      <c r="J106" s="410"/>
      <c r="K106" s="414"/>
      <c r="L106" s="410"/>
      <c r="M106" s="414"/>
      <c r="N106" s="410"/>
      <c r="O106" s="414"/>
      <c r="P106" s="410"/>
      <c r="Q106" s="414"/>
      <c r="R106" s="410"/>
      <c r="S106" s="414"/>
      <c r="T106" s="410"/>
      <c r="U106" s="414"/>
      <c r="V106" s="410"/>
      <c r="W106" s="414"/>
      <c r="X106" s="410"/>
      <c r="Y106" s="231"/>
      <c r="Z106" s="432" t="str">
        <f>IF('Maintenance Schedule'!Z106="","",'Maintenance Schedule'!Z106)</f>
        <v/>
      </c>
      <c r="AA106" s="12">
        <f>'Description Sheet'!N88</f>
        <v>0</v>
      </c>
      <c r="AB106" s="415"/>
    </row>
    <row r="107" spans="1:28" hidden="1">
      <c r="A107" s="14"/>
      <c r="B107" s="19">
        <v>7</v>
      </c>
      <c r="C107" s="19">
        <v>64</v>
      </c>
      <c r="D107" s="131">
        <f>'Description Sheet'!B89</f>
        <v>7.21</v>
      </c>
      <c r="E107" s="128" t="str">
        <f>'Description Sheet'!C89</f>
        <v>blank</v>
      </c>
      <c r="F107" s="408"/>
      <c r="G107" s="412"/>
      <c r="H107" s="410"/>
      <c r="I107" s="414"/>
      <c r="J107" s="410"/>
      <c r="K107" s="414"/>
      <c r="L107" s="410"/>
      <c r="M107" s="414"/>
      <c r="N107" s="410"/>
      <c r="O107" s="414"/>
      <c r="P107" s="410"/>
      <c r="Q107" s="414"/>
      <c r="R107" s="410"/>
      <c r="S107" s="414"/>
      <c r="T107" s="410"/>
      <c r="U107" s="414"/>
      <c r="V107" s="410"/>
      <c r="W107" s="414"/>
      <c r="X107" s="410"/>
      <c r="Y107" s="231"/>
      <c r="Z107" s="432" t="str">
        <f>IF('Maintenance Schedule'!Z107="","",'Maintenance Schedule'!Z107)</f>
        <v/>
      </c>
      <c r="AA107" s="12">
        <f>'Description Sheet'!N89</f>
        <v>0</v>
      </c>
      <c r="AB107" s="415"/>
    </row>
    <row r="108" spans="1:28" hidden="1">
      <c r="A108" s="14"/>
      <c r="B108" s="19">
        <v>7</v>
      </c>
      <c r="C108" s="19">
        <v>65</v>
      </c>
      <c r="D108" s="131">
        <f>'Description Sheet'!B90</f>
        <v>7.22</v>
      </c>
      <c r="E108" s="128" t="str">
        <f>'Description Sheet'!C90</f>
        <v>blank</v>
      </c>
      <c r="F108" s="408"/>
      <c r="G108" s="412"/>
      <c r="H108" s="410"/>
      <c r="I108" s="414"/>
      <c r="J108" s="410"/>
      <c r="K108" s="414"/>
      <c r="L108" s="410"/>
      <c r="M108" s="414"/>
      <c r="N108" s="410"/>
      <c r="O108" s="414"/>
      <c r="P108" s="410"/>
      <c r="Q108" s="414"/>
      <c r="R108" s="410"/>
      <c r="S108" s="414"/>
      <c r="T108" s="410"/>
      <c r="U108" s="414"/>
      <c r="V108" s="410"/>
      <c r="W108" s="414"/>
      <c r="X108" s="410"/>
      <c r="Y108" s="231"/>
      <c r="Z108" s="432" t="str">
        <f>IF('Maintenance Schedule'!Z108="","",'Maintenance Schedule'!Z108)</f>
        <v/>
      </c>
      <c r="AA108" s="12">
        <f>'Description Sheet'!N90</f>
        <v>0</v>
      </c>
      <c r="AB108" s="415"/>
    </row>
    <row r="109" spans="1:28" ht="19" thickBot="1">
      <c r="A109" s="14"/>
      <c r="B109" s="19"/>
      <c r="C109" s="19"/>
      <c r="D109" s="131"/>
      <c r="E109" s="214"/>
      <c r="F109" s="223"/>
      <c r="G109" s="229"/>
      <c r="H109" s="225"/>
      <c r="I109" s="231"/>
      <c r="J109" s="225"/>
      <c r="K109" s="231"/>
      <c r="L109" s="225"/>
      <c r="M109" s="231"/>
      <c r="N109" s="225"/>
      <c r="O109" s="231"/>
      <c r="P109" s="225"/>
      <c r="Q109" s="231"/>
      <c r="R109" s="225"/>
      <c r="S109" s="231"/>
      <c r="T109" s="225"/>
      <c r="U109" s="231"/>
      <c r="V109" s="225"/>
      <c r="W109" s="231"/>
      <c r="X109" s="223"/>
      <c r="Y109" s="231"/>
      <c r="Z109" s="431"/>
      <c r="AA109" s="12"/>
      <c r="AB109" s="415"/>
    </row>
    <row r="110" spans="1:28" ht="20" thickBot="1">
      <c r="A110" s="14" t="s">
        <v>64</v>
      </c>
      <c r="B110" s="19"/>
      <c r="C110" s="19"/>
      <c r="D110" s="124"/>
      <c r="E110" s="125" t="s">
        <v>31</v>
      </c>
      <c r="F110" s="126">
        <v>0</v>
      </c>
      <c r="G110" s="206"/>
      <c r="H110" s="127"/>
      <c r="I110" s="426"/>
      <c r="J110" s="127"/>
      <c r="K110" s="426"/>
      <c r="L110" s="127"/>
      <c r="M110" s="426"/>
      <c r="N110" s="127"/>
      <c r="O110" s="426"/>
      <c r="P110" s="127"/>
      <c r="Q110" s="426"/>
      <c r="R110" s="127"/>
      <c r="S110" s="426"/>
      <c r="T110" s="127"/>
      <c r="U110" s="426"/>
      <c r="V110" s="127"/>
      <c r="W110" s="426"/>
      <c r="X110" s="127"/>
      <c r="Y110" s="425"/>
      <c r="Z110" s="431"/>
      <c r="AA110" s="12"/>
      <c r="AB110" s="415"/>
    </row>
    <row r="111" spans="1:28" ht="19" thickBot="1">
      <c r="A111" s="14" t="s">
        <v>65</v>
      </c>
      <c r="B111" s="19"/>
      <c r="C111" s="19"/>
      <c r="D111" s="122"/>
      <c r="E111" s="128" t="s">
        <v>43</v>
      </c>
      <c r="F111" s="129">
        <f>'Year (2021-2022)'!H93</f>
        <v>1998498.8</v>
      </c>
      <c r="G111" s="206"/>
      <c r="H111" s="129">
        <f>'Year (2022-2023)'!H93</f>
        <v>0</v>
      </c>
      <c r="I111" s="206"/>
      <c r="J111" s="129">
        <f>'Year (2023-2024)'!H93</f>
        <v>0</v>
      </c>
      <c r="K111" s="206"/>
      <c r="L111" s="129">
        <f>'Year (2024-2025)'!H93</f>
        <v>0</v>
      </c>
      <c r="M111" s="206"/>
      <c r="N111" s="129">
        <f>'Year (2025-2026)'!H93</f>
        <v>57086.116761600017</v>
      </c>
      <c r="O111" s="206"/>
      <c r="P111" s="129">
        <f>'Year (2026-2027)'!H93</f>
        <v>0</v>
      </c>
      <c r="Q111" s="206"/>
      <c r="R111" s="129">
        <f>'Year (2027-2028)'!H93</f>
        <v>0</v>
      </c>
      <c r="S111" s="206"/>
      <c r="T111" s="129">
        <f>'Year (2028-2029)'!H93</f>
        <v>0</v>
      </c>
      <c r="U111" s="206"/>
      <c r="V111" s="129">
        <f>'Year (2029-2030)'!H93</f>
        <v>77665.0316234278</v>
      </c>
      <c r="W111" s="206"/>
      <c r="X111" s="129">
        <f>'Year (2030-2031)'!H93</f>
        <v>3684662.880104694</v>
      </c>
      <c r="Y111" s="207"/>
      <c r="Z111" s="431"/>
      <c r="AA111" s="12"/>
      <c r="AB111" s="416">
        <f>F111+H111+J111+L111+N111+P111+R111+T111+V111+X111</f>
        <v>5817912.8284897218</v>
      </c>
    </row>
    <row r="112" spans="1:28">
      <c r="A112" s="14" t="s">
        <v>66</v>
      </c>
      <c r="B112" s="19"/>
      <c r="C112" s="19"/>
      <c r="D112" s="122"/>
      <c r="E112" s="130" t="s">
        <v>48</v>
      </c>
      <c r="F112" s="447">
        <v>2009916.0233523201</v>
      </c>
      <c r="G112" s="206"/>
      <c r="H112" s="447">
        <v>420824.21003061935</v>
      </c>
      <c r="I112" s="206"/>
      <c r="J112" s="447">
        <v>420824.21003061935</v>
      </c>
      <c r="K112" s="206"/>
      <c r="L112" s="447">
        <v>420824.21003061935</v>
      </c>
      <c r="M112" s="206"/>
      <c r="N112" s="447">
        <v>420824.21003061935</v>
      </c>
      <c r="O112" s="206"/>
      <c r="P112" s="447">
        <v>428823.24458415626</v>
      </c>
      <c r="Q112" s="206"/>
      <c r="R112" s="447">
        <v>428823.24458415626</v>
      </c>
      <c r="S112" s="206"/>
      <c r="T112" s="447">
        <v>428823.24458415626</v>
      </c>
      <c r="U112" s="206"/>
      <c r="V112" s="447">
        <v>428823.24458415626</v>
      </c>
      <c r="W112" s="206"/>
      <c r="X112" s="447">
        <v>435822.59120373044</v>
      </c>
      <c r="Y112" s="207"/>
      <c r="Z112" s="431"/>
      <c r="AA112" s="12"/>
      <c r="AB112" s="415"/>
    </row>
    <row r="113" spans="1:28" ht="19.5" customHeight="1" thickBot="1">
      <c r="A113" s="14"/>
      <c r="B113" s="19"/>
      <c r="C113" s="19"/>
      <c r="D113" s="122"/>
      <c r="E113" s="128"/>
      <c r="F113" s="221"/>
      <c r="G113" s="206"/>
      <c r="H113" s="222"/>
      <c r="I113" s="206"/>
      <c r="J113" s="221"/>
      <c r="K113" s="206"/>
      <c r="L113" s="222"/>
      <c r="M113" s="206"/>
      <c r="N113" s="222"/>
      <c r="O113" s="206"/>
      <c r="P113" s="222"/>
      <c r="Q113" s="206"/>
      <c r="R113" s="221"/>
      <c r="S113" s="206"/>
      <c r="T113" s="222"/>
      <c r="U113" s="206"/>
      <c r="V113" s="222"/>
      <c r="W113" s="206"/>
      <c r="X113" s="217"/>
      <c r="Y113" s="207"/>
      <c r="Z113" s="431"/>
      <c r="AA113" s="12"/>
      <c r="AB113" s="415"/>
    </row>
    <row r="114" spans="1:28" ht="22" thickBot="1">
      <c r="A114" s="14"/>
      <c r="B114" s="19">
        <v>8</v>
      </c>
      <c r="C114" s="19"/>
      <c r="D114" s="122"/>
      <c r="E114" s="178" t="str">
        <f>'Description Sheet'!C93</f>
        <v xml:space="preserve">Waterproofing </v>
      </c>
      <c r="F114" s="227"/>
      <c r="G114" s="206"/>
      <c r="H114" s="228"/>
      <c r="I114" s="206"/>
      <c r="J114" s="227"/>
      <c r="K114" s="206"/>
      <c r="L114" s="228"/>
      <c r="M114" s="206"/>
      <c r="N114" s="228"/>
      <c r="O114" s="206"/>
      <c r="P114" s="228"/>
      <c r="Q114" s="206"/>
      <c r="R114" s="227"/>
      <c r="S114" s="206"/>
      <c r="T114" s="228"/>
      <c r="U114" s="206"/>
      <c r="V114" s="228"/>
      <c r="W114" s="206"/>
      <c r="X114" s="227"/>
      <c r="Y114" s="207"/>
      <c r="Z114" s="431"/>
      <c r="AA114" s="12"/>
      <c r="AB114" s="415"/>
    </row>
    <row r="115" spans="1:28">
      <c r="A115" s="14"/>
      <c r="B115" s="19">
        <v>8</v>
      </c>
      <c r="C115" s="19">
        <v>66</v>
      </c>
      <c r="D115" s="131">
        <f>'Description Sheet'!B94</f>
        <v>7.23</v>
      </c>
      <c r="E115" s="128" t="str">
        <f>'Description Sheet'!C94</f>
        <v>Waterproofing of Walkways</v>
      </c>
      <c r="F115" s="406">
        <v>161894.70000000001</v>
      </c>
      <c r="G115" s="404"/>
      <c r="H115" s="406"/>
      <c r="I115" s="404"/>
      <c r="J115" s="406"/>
      <c r="K115" s="404"/>
      <c r="L115" s="406"/>
      <c r="M115" s="404"/>
      <c r="N115" s="406"/>
      <c r="O115" s="404"/>
      <c r="P115" s="406"/>
      <c r="Q115" s="404"/>
      <c r="R115" s="406"/>
      <c r="S115" s="404"/>
      <c r="T115" s="406"/>
      <c r="U115" s="404"/>
      <c r="V115" s="406"/>
      <c r="W115" s="404"/>
      <c r="X115" s="403"/>
      <c r="Y115" s="213"/>
      <c r="Z115" s="432" t="str">
        <f>IF('Maintenance Schedule'!Z115="","",'Maintenance Schedule'!Z115)</f>
        <v/>
      </c>
      <c r="AA115" s="12">
        <f>'Description Sheet'!N94</f>
        <v>161894.70000000001</v>
      </c>
      <c r="AB115" s="415"/>
    </row>
    <row r="116" spans="1:28" hidden="1">
      <c r="A116" s="14"/>
      <c r="B116" s="19">
        <v>8</v>
      </c>
      <c r="C116" s="19">
        <v>67</v>
      </c>
      <c r="D116" s="131">
        <f>'Description Sheet'!B95</f>
        <v>7.24</v>
      </c>
      <c r="E116" s="128" t="str">
        <f>'Description Sheet'!C95</f>
        <v>Roof Repairs (Phase 2)</v>
      </c>
      <c r="F116" s="406"/>
      <c r="G116" s="404"/>
      <c r="H116" s="406"/>
      <c r="I116" s="404"/>
      <c r="J116" s="406"/>
      <c r="K116" s="404"/>
      <c r="L116" s="406"/>
      <c r="M116" s="404"/>
      <c r="N116" s="406"/>
      <c r="O116" s="404"/>
      <c r="P116" s="406"/>
      <c r="Q116" s="404"/>
      <c r="R116" s="406"/>
      <c r="S116" s="404"/>
      <c r="T116" s="406"/>
      <c r="U116" s="404"/>
      <c r="V116" s="406"/>
      <c r="W116" s="404"/>
      <c r="X116" s="403"/>
      <c r="Y116" s="213"/>
      <c r="Z116" s="432" t="str">
        <f>IF('Maintenance Schedule'!Z116="","",'Maintenance Schedule'!Z116)</f>
        <v/>
      </c>
      <c r="AA116" s="12">
        <f>'Description Sheet'!N95</f>
        <v>500000</v>
      </c>
      <c r="AB116" s="415"/>
    </row>
    <row r="117" spans="1:28">
      <c r="A117" s="14"/>
      <c r="B117" s="19">
        <v>8</v>
      </c>
      <c r="C117" s="19">
        <v>68</v>
      </c>
      <c r="D117" s="131">
        <f>'Description Sheet'!B96</f>
        <v>7.25</v>
      </c>
      <c r="E117" s="128" t="str">
        <f>'Description Sheet'!C96</f>
        <v xml:space="preserve">Flat Roof Service </v>
      </c>
      <c r="F117" s="403"/>
      <c r="G117" s="404"/>
      <c r="H117" s="403"/>
      <c r="I117" s="404"/>
      <c r="J117" s="403">
        <v>67855.320000000007</v>
      </c>
      <c r="K117" s="404"/>
      <c r="L117" s="403"/>
      <c r="M117" s="404"/>
      <c r="N117" s="403"/>
      <c r="O117" s="404"/>
      <c r="P117" s="403">
        <v>85478.160867840037</v>
      </c>
      <c r="Q117" s="404"/>
      <c r="R117" s="403"/>
      <c r="S117" s="404"/>
      <c r="T117" s="403"/>
      <c r="U117" s="404"/>
      <c r="V117" s="403">
        <v>107677.86498314852</v>
      </c>
      <c r="W117" s="404"/>
      <c r="X117" s="403"/>
      <c r="Y117" s="213"/>
      <c r="Z117" s="432">
        <f>IF('Maintenance Schedule'!Z117="","",'Maintenance Schedule'!Z117)</f>
        <v>11</v>
      </c>
      <c r="AA117" s="12">
        <f>'Description Sheet'!N96</f>
        <v>58175</v>
      </c>
      <c r="AB117" s="415"/>
    </row>
    <row r="118" spans="1:28" hidden="1">
      <c r="A118" s="14"/>
      <c r="B118" s="19">
        <v>8</v>
      </c>
      <c r="C118" s="19">
        <v>69</v>
      </c>
      <c r="D118" s="131">
        <f>'Description Sheet'!B97</f>
        <v>7.26</v>
      </c>
      <c r="E118" s="128" t="str">
        <f>'Description Sheet'!C97</f>
        <v>Flat Roof Replacement</v>
      </c>
      <c r="F118" s="406"/>
      <c r="G118" s="404"/>
      <c r="H118" s="406"/>
      <c r="I118" s="404"/>
      <c r="J118" s="406"/>
      <c r="K118" s="404"/>
      <c r="L118" s="406"/>
      <c r="M118" s="404"/>
      <c r="N118" s="406"/>
      <c r="O118" s="404"/>
      <c r="P118" s="406"/>
      <c r="Q118" s="404"/>
      <c r="R118" s="406"/>
      <c r="S118" s="404"/>
      <c r="T118" s="406"/>
      <c r="U118" s="404"/>
      <c r="V118" s="406"/>
      <c r="W118" s="404"/>
      <c r="X118" s="403"/>
      <c r="Y118" s="213"/>
      <c r="Z118" s="432" t="str">
        <f>IF('Maintenance Schedule'!Z118="","",'Maintenance Schedule'!Z118)</f>
        <v/>
      </c>
      <c r="AA118" s="12">
        <f>'Description Sheet'!N97</f>
        <v>647147</v>
      </c>
      <c r="AB118" s="415"/>
    </row>
    <row r="119" spans="1:28" hidden="1">
      <c r="A119" s="14"/>
      <c r="B119" s="19">
        <v>8</v>
      </c>
      <c r="C119" s="19">
        <v>70</v>
      </c>
      <c r="D119" s="131">
        <f>'Description Sheet'!B98</f>
        <v>7.27</v>
      </c>
      <c r="E119" s="128" t="str">
        <f>'Description Sheet'!C98</f>
        <v xml:space="preserve">Walkway and Staircases (Cementitious Waterproofing) </v>
      </c>
      <c r="F119" s="406"/>
      <c r="G119" s="404"/>
      <c r="H119" s="406"/>
      <c r="I119" s="404"/>
      <c r="J119" s="406"/>
      <c r="K119" s="404"/>
      <c r="L119" s="406"/>
      <c r="M119" s="404"/>
      <c r="N119" s="406"/>
      <c r="O119" s="404"/>
      <c r="P119" s="406"/>
      <c r="Q119" s="404"/>
      <c r="R119" s="406"/>
      <c r="S119" s="404"/>
      <c r="T119" s="406"/>
      <c r="U119" s="404"/>
      <c r="V119" s="406"/>
      <c r="W119" s="404"/>
      <c r="X119" s="403"/>
      <c r="Y119" s="213"/>
      <c r="Z119" s="432" t="str">
        <f>IF('Maintenance Schedule'!Z119="","",'Maintenance Schedule'!Z119)</f>
        <v/>
      </c>
      <c r="AA119" s="12">
        <f>'Description Sheet'!N98</f>
        <v>0</v>
      </c>
      <c r="AB119" s="415"/>
    </row>
    <row r="120" spans="1:28" hidden="1">
      <c r="A120" s="14"/>
      <c r="B120" s="19">
        <v>8</v>
      </c>
      <c r="C120" s="19">
        <v>71</v>
      </c>
      <c r="D120" s="131">
        <f>'Description Sheet'!B99</f>
        <v>7.28</v>
      </c>
      <c r="E120" s="128" t="str">
        <f>'Description Sheet'!C99</f>
        <v>Waterproofing Servicing of Parapets</v>
      </c>
      <c r="F120" s="406"/>
      <c r="G120" s="404"/>
      <c r="H120" s="403"/>
      <c r="I120" s="405"/>
      <c r="J120" s="403"/>
      <c r="K120" s="405"/>
      <c r="L120" s="403"/>
      <c r="M120" s="405"/>
      <c r="N120" s="403"/>
      <c r="O120" s="405"/>
      <c r="P120" s="403"/>
      <c r="Q120" s="405"/>
      <c r="R120" s="403"/>
      <c r="S120" s="405"/>
      <c r="T120" s="403"/>
      <c r="U120" s="405"/>
      <c r="V120" s="403"/>
      <c r="W120" s="405"/>
      <c r="X120" s="403"/>
      <c r="Y120" s="213"/>
      <c r="Z120" s="432" t="str">
        <f>IF('Maintenance Schedule'!Z120="","",'Maintenance Schedule'!Z120)</f>
        <v/>
      </c>
      <c r="AA120" s="12">
        <f>'Description Sheet'!N99</f>
        <v>0</v>
      </c>
      <c r="AB120" s="415"/>
    </row>
    <row r="121" spans="1:28" hidden="1">
      <c r="A121" s="14"/>
      <c r="B121" s="19">
        <v>8</v>
      </c>
      <c r="C121" s="19">
        <v>72</v>
      </c>
      <c r="D121" s="131">
        <f>'Description Sheet'!B100</f>
        <v>7.29</v>
      </c>
      <c r="E121" s="128" t="str">
        <f>'Description Sheet'!C100</f>
        <v>blank</v>
      </c>
      <c r="F121" s="406"/>
      <c r="G121" s="404"/>
      <c r="H121" s="403"/>
      <c r="I121" s="405"/>
      <c r="J121" s="403"/>
      <c r="K121" s="405"/>
      <c r="L121" s="403"/>
      <c r="M121" s="405"/>
      <c r="N121" s="403"/>
      <c r="O121" s="405"/>
      <c r="P121" s="403"/>
      <c r="Q121" s="405"/>
      <c r="R121" s="403"/>
      <c r="S121" s="405"/>
      <c r="T121" s="403"/>
      <c r="U121" s="405"/>
      <c r="V121" s="403"/>
      <c r="W121" s="405"/>
      <c r="X121" s="403"/>
      <c r="Y121" s="213"/>
      <c r="Z121" s="432" t="str">
        <f>IF('Maintenance Schedule'!Z121="","",'Maintenance Schedule'!Z121)</f>
        <v/>
      </c>
      <c r="AA121" s="12">
        <f>'Description Sheet'!N100</f>
        <v>0</v>
      </c>
      <c r="AB121" s="415"/>
    </row>
    <row r="122" spans="1:28" hidden="1">
      <c r="A122" s="14"/>
      <c r="B122" s="19">
        <v>8</v>
      </c>
      <c r="C122" s="19">
        <v>73</v>
      </c>
      <c r="D122" s="131">
        <f>'Description Sheet'!B101</f>
        <v>7.3</v>
      </c>
      <c r="E122" s="128" t="str">
        <f>'Description Sheet'!C101</f>
        <v>blank</v>
      </c>
      <c r="F122" s="406"/>
      <c r="G122" s="404"/>
      <c r="H122" s="403"/>
      <c r="I122" s="405"/>
      <c r="J122" s="403"/>
      <c r="K122" s="405"/>
      <c r="L122" s="403"/>
      <c r="M122" s="405"/>
      <c r="N122" s="403"/>
      <c r="O122" s="405"/>
      <c r="P122" s="403"/>
      <c r="Q122" s="405"/>
      <c r="R122" s="403"/>
      <c r="S122" s="405"/>
      <c r="T122" s="403"/>
      <c r="U122" s="405"/>
      <c r="V122" s="403"/>
      <c r="W122" s="405"/>
      <c r="X122" s="403"/>
      <c r="Y122" s="213"/>
      <c r="Z122" s="432" t="str">
        <f>IF('Maintenance Schedule'!Z122="","",'Maintenance Schedule'!Z122)</f>
        <v/>
      </c>
      <c r="AA122" s="12">
        <f>'Description Sheet'!N101</f>
        <v>0</v>
      </c>
      <c r="AB122" s="415"/>
    </row>
    <row r="123" spans="1:28" ht="19" thickBot="1">
      <c r="A123" s="14"/>
      <c r="B123" s="19"/>
      <c r="C123" s="19"/>
      <c r="D123" s="131"/>
      <c r="E123" s="214"/>
      <c r="F123" s="215"/>
      <c r="G123" s="212"/>
      <c r="H123" s="211"/>
      <c r="I123" s="213"/>
      <c r="J123" s="211"/>
      <c r="K123" s="213"/>
      <c r="L123" s="211"/>
      <c r="M123" s="213"/>
      <c r="N123" s="211"/>
      <c r="O123" s="213"/>
      <c r="P123" s="211"/>
      <c r="Q123" s="213"/>
      <c r="R123" s="211"/>
      <c r="S123" s="213"/>
      <c r="T123" s="211"/>
      <c r="U123" s="213"/>
      <c r="V123" s="211"/>
      <c r="W123" s="213"/>
      <c r="X123" s="215"/>
      <c r="Y123" s="213"/>
      <c r="Z123" s="431"/>
      <c r="AA123" s="12"/>
      <c r="AB123" s="415"/>
    </row>
    <row r="124" spans="1:28" ht="20" thickBot="1">
      <c r="A124" s="14" t="s">
        <v>64</v>
      </c>
      <c r="B124" s="19"/>
      <c r="C124" s="19"/>
      <c r="D124" s="124"/>
      <c r="E124" s="125" t="s">
        <v>31</v>
      </c>
      <c r="F124" s="126">
        <v>0</v>
      </c>
      <c r="G124" s="206"/>
      <c r="H124" s="127"/>
      <c r="I124" s="426"/>
      <c r="J124" s="127"/>
      <c r="K124" s="426"/>
      <c r="L124" s="127"/>
      <c r="M124" s="426"/>
      <c r="N124" s="127"/>
      <c r="O124" s="426"/>
      <c r="P124" s="127"/>
      <c r="Q124" s="426"/>
      <c r="R124" s="127"/>
      <c r="S124" s="426"/>
      <c r="T124" s="127"/>
      <c r="U124" s="426"/>
      <c r="V124" s="127"/>
      <c r="W124" s="426"/>
      <c r="X124" s="127"/>
      <c r="Y124" s="425"/>
      <c r="Z124" s="431"/>
      <c r="AA124" s="12"/>
      <c r="AB124" s="415"/>
    </row>
    <row r="125" spans="1:28" ht="19" thickBot="1">
      <c r="A125" s="14" t="s">
        <v>65</v>
      </c>
      <c r="B125" s="19"/>
      <c r="C125" s="19"/>
      <c r="D125" s="122"/>
      <c r="E125" s="128" t="s">
        <v>43</v>
      </c>
      <c r="F125" s="129">
        <f>'Year (2021-2022)'!H104</f>
        <v>161894.70000000001</v>
      </c>
      <c r="G125" s="206"/>
      <c r="H125" s="129">
        <f>'Year (2022-2023)'!H104</f>
        <v>0</v>
      </c>
      <c r="I125" s="206"/>
      <c r="J125" s="129">
        <f>'Year (2023-2024)'!H104</f>
        <v>67855.320000000007</v>
      </c>
      <c r="K125" s="206"/>
      <c r="L125" s="129">
        <f>'Year (2024-2025)'!H104</f>
        <v>0</v>
      </c>
      <c r="M125" s="206"/>
      <c r="N125" s="129">
        <f>'Year (2025-2026)'!H104</f>
        <v>0</v>
      </c>
      <c r="O125" s="206"/>
      <c r="P125" s="129">
        <f>'Year (2026-2027)'!H104</f>
        <v>85478.160867840008</v>
      </c>
      <c r="Q125" s="206"/>
      <c r="R125" s="129">
        <f>'Year (2027-2028)'!H104</f>
        <v>0</v>
      </c>
      <c r="S125" s="206"/>
      <c r="T125" s="129">
        <f>'Year (2028-2029)'!H104</f>
        <v>0</v>
      </c>
      <c r="U125" s="206"/>
      <c r="V125" s="129">
        <f>'Year (2029-2030)'!H104</f>
        <v>107677.86498314848</v>
      </c>
      <c r="W125" s="206"/>
      <c r="X125" s="129">
        <f>'Year (2030-2031)'!H104</f>
        <v>0</v>
      </c>
      <c r="Y125" s="207"/>
      <c r="Z125" s="431"/>
      <c r="AA125" s="12"/>
      <c r="AB125" s="416">
        <f>F125+H125+J125+L125+N125+P125+R125+T125+V125+X125</f>
        <v>422906.04585098848</v>
      </c>
    </row>
    <row r="126" spans="1:28">
      <c r="A126" s="14" t="s">
        <v>66</v>
      </c>
      <c r="B126" s="19"/>
      <c r="C126" s="19"/>
      <c r="D126" s="122"/>
      <c r="E126" s="130" t="s">
        <v>48</v>
      </c>
      <c r="F126" s="447">
        <v>184513.14</v>
      </c>
      <c r="G126" s="206"/>
      <c r="H126" s="447">
        <v>22618.440000000002</v>
      </c>
      <c r="I126" s="206"/>
      <c r="J126" s="447">
        <v>22618.440000000002</v>
      </c>
      <c r="K126" s="206"/>
      <c r="L126" s="447">
        <v>28492.720289280012</v>
      </c>
      <c r="M126" s="206"/>
      <c r="N126" s="447">
        <v>28492.720289280012</v>
      </c>
      <c r="O126" s="206"/>
      <c r="P126" s="447">
        <v>28492.720289280012</v>
      </c>
      <c r="Q126" s="206"/>
      <c r="R126" s="447">
        <v>35892.62166104951</v>
      </c>
      <c r="S126" s="206"/>
      <c r="T126" s="447">
        <v>35892.62166104951</v>
      </c>
      <c r="U126" s="206"/>
      <c r="V126" s="447">
        <v>35892.62166104951</v>
      </c>
      <c r="W126" s="206"/>
      <c r="X126" s="447">
        <v>62797.730858172225</v>
      </c>
      <c r="Y126" s="207"/>
      <c r="Z126" s="431"/>
      <c r="AA126" s="12"/>
      <c r="AB126" s="415"/>
    </row>
    <row r="127" spans="1:28" ht="20" thickBot="1">
      <c r="A127" s="14"/>
      <c r="B127" s="19"/>
      <c r="C127" s="19"/>
      <c r="D127" s="122"/>
      <c r="E127" s="128"/>
      <c r="F127" s="221"/>
      <c r="G127" s="206"/>
      <c r="H127" s="222"/>
      <c r="I127" s="206"/>
      <c r="J127" s="221"/>
      <c r="K127" s="206"/>
      <c r="L127" s="222"/>
      <c r="M127" s="206"/>
      <c r="N127" s="222"/>
      <c r="O127" s="206"/>
      <c r="P127" s="222"/>
      <c r="Q127" s="206"/>
      <c r="R127" s="221"/>
      <c r="S127" s="206"/>
      <c r="T127" s="222"/>
      <c r="U127" s="206"/>
      <c r="V127" s="222"/>
      <c r="W127" s="206"/>
      <c r="X127" s="217"/>
      <c r="Y127" s="207"/>
      <c r="Z127" s="431"/>
      <c r="AA127" s="12"/>
      <c r="AB127" s="415"/>
    </row>
    <row r="128" spans="1:28" ht="22" thickBot="1">
      <c r="A128" s="14"/>
      <c r="B128" s="19">
        <v>9</v>
      </c>
      <c r="C128" s="19"/>
      <c r="D128" s="120">
        <f>'Description Sheet'!B104</f>
        <v>8</v>
      </c>
      <c r="E128" s="174" t="str">
        <f>'Description Sheet'!C104</f>
        <v>Communication and Service Supply Systems</v>
      </c>
      <c r="F128" s="232"/>
      <c r="G128" s="233"/>
      <c r="H128" s="228"/>
      <c r="I128" s="234"/>
      <c r="J128" s="228"/>
      <c r="K128" s="234"/>
      <c r="L128" s="228"/>
      <c r="M128" s="234"/>
      <c r="N128" s="228"/>
      <c r="O128" s="234"/>
      <c r="P128" s="228"/>
      <c r="Q128" s="234"/>
      <c r="R128" s="228"/>
      <c r="S128" s="234"/>
      <c r="T128" s="228"/>
      <c r="U128" s="234"/>
      <c r="V128" s="228"/>
      <c r="W128" s="234"/>
      <c r="X128" s="235"/>
      <c r="Y128" s="206"/>
      <c r="Z128" s="431"/>
      <c r="AA128" s="12"/>
      <c r="AB128" s="415"/>
    </row>
    <row r="129" spans="1:28" ht="19" hidden="1">
      <c r="A129" s="14"/>
      <c r="B129" s="19">
        <v>9</v>
      </c>
      <c r="C129" s="19">
        <v>74</v>
      </c>
      <c r="D129" s="122">
        <f>'Description Sheet'!B105</f>
        <v>8.1</v>
      </c>
      <c r="E129" s="236" t="str">
        <f>'Description Sheet'!C105</f>
        <v>Communication Systems (Service &amp; Upgrade Savings)</v>
      </c>
      <c r="F129" s="403"/>
      <c r="G129" s="404"/>
      <c r="H129" s="403"/>
      <c r="I129" s="404"/>
      <c r="J129" s="403"/>
      <c r="K129" s="404"/>
      <c r="L129" s="403"/>
      <c r="M129" s="404"/>
      <c r="N129" s="403"/>
      <c r="O129" s="404"/>
      <c r="P129" s="403"/>
      <c r="Q129" s="404"/>
      <c r="R129" s="403"/>
      <c r="S129" s="404"/>
      <c r="T129" s="403"/>
      <c r="U129" s="404"/>
      <c r="V129" s="403"/>
      <c r="W129" s="404"/>
      <c r="X129" s="403"/>
      <c r="Y129" s="207"/>
      <c r="Z129" s="432" t="str">
        <f>IF('Maintenance Schedule'!Z129="","",'Maintenance Schedule'!Z129)</f>
        <v/>
      </c>
      <c r="AA129" s="12">
        <f>'Description Sheet'!N105</f>
        <v>0</v>
      </c>
      <c r="AB129" s="415"/>
    </row>
    <row r="130" spans="1:28" ht="19">
      <c r="A130" s="14"/>
      <c r="B130" s="19">
        <v>9</v>
      </c>
      <c r="C130" s="19">
        <v>75</v>
      </c>
      <c r="D130" s="122">
        <f>'Description Sheet'!B106</f>
        <v>8.1999999999999993</v>
      </c>
      <c r="E130" s="236" t="str">
        <f>'Description Sheet'!C106</f>
        <v>Intercom Systems (Replacement Maintenance/Savings)</v>
      </c>
      <c r="F130" s="408">
        <v>4118</v>
      </c>
      <c r="G130" s="404"/>
      <c r="H130" s="410">
        <v>4447.4400000000005</v>
      </c>
      <c r="I130" s="405"/>
      <c r="J130" s="410">
        <v>4803.2352000000001</v>
      </c>
      <c r="K130" s="405"/>
      <c r="L130" s="410">
        <v>5187.4940160000006</v>
      </c>
      <c r="M130" s="405"/>
      <c r="N130" s="410">
        <v>5602.493537280001</v>
      </c>
      <c r="O130" s="405"/>
      <c r="P130" s="410">
        <v>6050.6930202624026</v>
      </c>
      <c r="Q130" s="405"/>
      <c r="R130" s="411">
        <v>6534.7484618833942</v>
      </c>
      <c r="S130" s="405"/>
      <c r="T130" s="411">
        <v>7057.5283388340667</v>
      </c>
      <c r="U130" s="405"/>
      <c r="V130" s="411">
        <v>7622.1306059407925</v>
      </c>
      <c r="W130" s="405"/>
      <c r="X130" s="410">
        <v>8231.9010544160556</v>
      </c>
      <c r="Y130" s="207"/>
      <c r="Z130" s="432" t="str">
        <f>IF('Maintenance Schedule'!Z130="","",'Maintenance Schedule'!Z130)</f>
        <v/>
      </c>
      <c r="AA130" s="12">
        <f>'Description Sheet'!N106</f>
        <v>4118</v>
      </c>
      <c r="AB130" s="415"/>
    </row>
    <row r="131" spans="1:28" ht="19" hidden="1">
      <c r="A131" s="14"/>
      <c r="B131" s="19">
        <v>9</v>
      </c>
      <c r="C131" s="19">
        <v>76</v>
      </c>
      <c r="D131" s="122">
        <f>'Description Sheet'!B107</f>
        <v>8.3000000000000007</v>
      </c>
      <c r="E131" s="236" t="str">
        <f>'Description Sheet'!C107</f>
        <v xml:space="preserve">Intercom System Replacement </v>
      </c>
      <c r="F131" s="408"/>
      <c r="G131" s="404"/>
      <c r="H131" s="410"/>
      <c r="I131" s="405"/>
      <c r="J131" s="410"/>
      <c r="K131" s="405"/>
      <c r="L131" s="410"/>
      <c r="M131" s="405"/>
      <c r="N131" s="410"/>
      <c r="O131" s="405"/>
      <c r="P131" s="410"/>
      <c r="Q131" s="405"/>
      <c r="R131" s="411"/>
      <c r="S131" s="405"/>
      <c r="T131" s="411"/>
      <c r="U131" s="405"/>
      <c r="V131" s="411"/>
      <c r="W131" s="405"/>
      <c r="X131" s="410"/>
      <c r="Y131" s="207"/>
      <c r="Z131" s="432" t="str">
        <f>IF('Maintenance Schedule'!Z131="","",'Maintenance Schedule'!Z131)</f>
        <v/>
      </c>
      <c r="AA131" s="12">
        <f>'Description Sheet'!N107</f>
        <v>42000</v>
      </c>
      <c r="AB131" s="415"/>
    </row>
    <row r="132" spans="1:28" ht="19" hidden="1">
      <c r="A132" s="14"/>
      <c r="B132" s="19">
        <v>9</v>
      </c>
      <c r="C132" s="19">
        <v>77</v>
      </c>
      <c r="D132" s="122">
        <f>'Description Sheet'!B108</f>
        <v>8.4</v>
      </c>
      <c r="E132" s="236" t="str">
        <f>'Description Sheet'!C108</f>
        <v>blank</v>
      </c>
      <c r="F132" s="408"/>
      <c r="G132" s="404"/>
      <c r="H132" s="410"/>
      <c r="I132" s="405"/>
      <c r="J132" s="410"/>
      <c r="K132" s="405"/>
      <c r="L132" s="410"/>
      <c r="M132" s="405"/>
      <c r="N132" s="410"/>
      <c r="O132" s="405"/>
      <c r="P132" s="410"/>
      <c r="Q132" s="405"/>
      <c r="R132" s="411"/>
      <c r="S132" s="405"/>
      <c r="T132" s="411"/>
      <c r="U132" s="405"/>
      <c r="V132" s="411"/>
      <c r="W132" s="405"/>
      <c r="X132" s="410"/>
      <c r="Y132" s="207"/>
      <c r="Z132" s="432" t="str">
        <f>IF('Maintenance Schedule'!Z132="","",'Maintenance Schedule'!Z132)</f>
        <v/>
      </c>
      <c r="AA132" s="12">
        <f>'Description Sheet'!N108</f>
        <v>0</v>
      </c>
      <c r="AB132" s="415"/>
    </row>
    <row r="133" spans="1:28" ht="19" thickBot="1">
      <c r="A133" s="14"/>
      <c r="B133" s="19"/>
      <c r="C133" s="19"/>
      <c r="D133" s="122"/>
      <c r="E133" s="237"/>
      <c r="F133" s="223"/>
      <c r="G133" s="206"/>
      <c r="H133" s="225"/>
      <c r="I133" s="207"/>
      <c r="J133" s="225"/>
      <c r="K133" s="207"/>
      <c r="L133" s="225"/>
      <c r="M133" s="207"/>
      <c r="N133" s="225"/>
      <c r="O133" s="207"/>
      <c r="P133" s="225"/>
      <c r="Q133" s="207"/>
      <c r="R133" s="226"/>
      <c r="S133" s="207"/>
      <c r="T133" s="226"/>
      <c r="U133" s="207"/>
      <c r="V133" s="226"/>
      <c r="W133" s="207"/>
      <c r="X133" s="223"/>
      <c r="Y133" s="207"/>
      <c r="Z133" s="431"/>
      <c r="AA133" s="12"/>
      <c r="AB133" s="415"/>
    </row>
    <row r="134" spans="1:28" ht="20" thickBot="1">
      <c r="A134" s="14" t="s">
        <v>64</v>
      </c>
      <c r="B134" s="19"/>
      <c r="C134" s="19"/>
      <c r="D134" s="124"/>
      <c r="E134" s="125" t="s">
        <v>31</v>
      </c>
      <c r="F134" s="126">
        <v>0</v>
      </c>
      <c r="G134" s="206"/>
      <c r="H134" s="127"/>
      <c r="I134" s="426"/>
      <c r="J134" s="127"/>
      <c r="K134" s="426"/>
      <c r="L134" s="127"/>
      <c r="M134" s="426"/>
      <c r="N134" s="127"/>
      <c r="O134" s="426"/>
      <c r="P134" s="127"/>
      <c r="Q134" s="426"/>
      <c r="R134" s="127"/>
      <c r="S134" s="426"/>
      <c r="T134" s="127"/>
      <c r="U134" s="426"/>
      <c r="V134" s="127"/>
      <c r="W134" s="426"/>
      <c r="X134" s="127"/>
      <c r="Y134" s="425"/>
      <c r="Z134" s="431"/>
      <c r="AA134" s="12"/>
      <c r="AB134" s="415"/>
    </row>
    <row r="135" spans="1:28" ht="19" thickBot="1">
      <c r="A135" s="14" t="s">
        <v>65</v>
      </c>
      <c r="B135" s="19"/>
      <c r="C135" s="19"/>
      <c r="D135" s="122"/>
      <c r="E135" s="128" t="s">
        <v>43</v>
      </c>
      <c r="F135" s="129">
        <f>'Year (2021-2022)'!H111</f>
        <v>4118</v>
      </c>
      <c r="G135" s="206"/>
      <c r="H135" s="129">
        <f>'Year (2022-2023)'!H111</f>
        <v>4447.4400000000005</v>
      </c>
      <c r="I135" s="206"/>
      <c r="J135" s="129">
        <f>'Year (2023-2024)'!H111</f>
        <v>4803.235200000001</v>
      </c>
      <c r="K135" s="206"/>
      <c r="L135" s="129">
        <f>'Year (2024-2025)'!H111</f>
        <v>5187.4940160000015</v>
      </c>
      <c r="M135" s="206"/>
      <c r="N135" s="129">
        <f>'Year (2025-2026)'!H111</f>
        <v>5602.4935372800019</v>
      </c>
      <c r="O135" s="206"/>
      <c r="P135" s="129">
        <f>'Year (2026-2027)'!H111</f>
        <v>6050.6930202624026</v>
      </c>
      <c r="Q135" s="206"/>
      <c r="R135" s="129">
        <f>'Year (2027-2028)'!H111</f>
        <v>6534.7484618833951</v>
      </c>
      <c r="S135" s="206"/>
      <c r="T135" s="129">
        <f>'Year (2028-2029)'!H111</f>
        <v>7057.5283388340667</v>
      </c>
      <c r="U135" s="206"/>
      <c r="V135" s="129">
        <f>'Year (2029-2030)'!H111</f>
        <v>7622.1306059407925</v>
      </c>
      <c r="W135" s="206"/>
      <c r="X135" s="129">
        <f>'Year (2030-2031)'!H111</f>
        <v>8231.9010544160556</v>
      </c>
      <c r="Y135" s="207"/>
      <c r="Z135" s="431"/>
      <c r="AA135" s="12"/>
      <c r="AB135" s="416">
        <f>F135+H135+J135+L135+N135+P135+R135+T135+V135+X135</f>
        <v>59655.664234616721</v>
      </c>
    </row>
    <row r="136" spans="1:28">
      <c r="A136" s="14" t="s">
        <v>66</v>
      </c>
      <c r="B136" s="19"/>
      <c r="C136" s="19"/>
      <c r="D136" s="122"/>
      <c r="E136" s="130" t="s">
        <v>48</v>
      </c>
      <c r="F136" s="447">
        <v>4118</v>
      </c>
      <c r="G136" s="206"/>
      <c r="H136" s="447">
        <v>4447.4400000000005</v>
      </c>
      <c r="I136" s="206"/>
      <c r="J136" s="447">
        <v>4803.2352000000001</v>
      </c>
      <c r="K136" s="206"/>
      <c r="L136" s="447">
        <v>5187.4940160000006</v>
      </c>
      <c r="M136" s="206"/>
      <c r="N136" s="447">
        <v>5602.493537280001</v>
      </c>
      <c r="O136" s="206"/>
      <c r="P136" s="447">
        <v>6050.6930202624026</v>
      </c>
      <c r="Q136" s="206"/>
      <c r="R136" s="447">
        <v>6534.7484618833942</v>
      </c>
      <c r="S136" s="206"/>
      <c r="T136" s="447">
        <v>7057.5283388340667</v>
      </c>
      <c r="U136" s="206"/>
      <c r="V136" s="447">
        <v>7622.1306059407925</v>
      </c>
      <c r="W136" s="206"/>
      <c r="X136" s="447">
        <v>8231.9010544160556</v>
      </c>
      <c r="Y136" s="207"/>
      <c r="Z136" s="431"/>
      <c r="AA136" s="12"/>
      <c r="AB136" s="415"/>
    </row>
    <row r="137" spans="1:28" ht="19" thickBot="1">
      <c r="A137" s="14"/>
      <c r="B137" s="15"/>
      <c r="C137" s="15"/>
      <c r="D137" s="119"/>
      <c r="E137" s="132"/>
      <c r="F137" s="238"/>
      <c r="G137" s="206"/>
      <c r="H137" s="239"/>
      <c r="I137" s="206"/>
      <c r="J137" s="239"/>
      <c r="K137" s="206"/>
      <c r="L137" s="239"/>
      <c r="M137" s="206"/>
      <c r="N137" s="239"/>
      <c r="O137" s="206"/>
      <c r="P137" s="238"/>
      <c r="Q137" s="206"/>
      <c r="R137" s="240"/>
      <c r="S137" s="206"/>
      <c r="T137" s="240"/>
      <c r="U137" s="206"/>
      <c r="V137" s="240"/>
      <c r="W137" s="206"/>
      <c r="X137" s="238"/>
      <c r="Y137" s="207"/>
      <c r="Z137" s="431"/>
      <c r="AA137" s="12"/>
      <c r="AB137" s="415"/>
    </row>
    <row r="138" spans="1:28" ht="22" thickBot="1">
      <c r="A138" s="14"/>
      <c r="B138" s="19">
        <v>10</v>
      </c>
      <c r="C138" s="19"/>
      <c r="D138" s="120">
        <f>'Description Sheet'!B111</f>
        <v>9</v>
      </c>
      <c r="E138" s="178" t="str">
        <f>'Description Sheet'!C111</f>
        <v>Parking Facilities</v>
      </c>
      <c r="F138" s="241"/>
      <c r="G138" s="206"/>
      <c r="H138" s="235"/>
      <c r="I138" s="206"/>
      <c r="J138" s="241"/>
      <c r="K138" s="206"/>
      <c r="L138" s="235"/>
      <c r="M138" s="206"/>
      <c r="N138" s="235"/>
      <c r="O138" s="206"/>
      <c r="P138" s="235"/>
      <c r="Q138" s="206"/>
      <c r="R138" s="241"/>
      <c r="S138" s="206"/>
      <c r="T138" s="235"/>
      <c r="U138" s="206"/>
      <c r="V138" s="235"/>
      <c r="W138" s="206"/>
      <c r="X138" s="227"/>
      <c r="Y138" s="207"/>
      <c r="Z138" s="431"/>
      <c r="AA138" s="12"/>
      <c r="AB138" s="415"/>
    </row>
    <row r="139" spans="1:28" ht="19">
      <c r="A139" s="14"/>
      <c r="B139" s="19">
        <v>10</v>
      </c>
      <c r="C139" s="19">
        <v>78</v>
      </c>
      <c r="D139" s="122">
        <f>'Description Sheet'!B112</f>
        <v>9.1</v>
      </c>
      <c r="E139" s="236" t="str">
        <f>'Description Sheet'!C112</f>
        <v>Painting of Demarcation Lines</v>
      </c>
      <c r="F139" s="408"/>
      <c r="G139" s="404"/>
      <c r="H139" s="408"/>
      <c r="I139" s="404"/>
      <c r="J139" s="408"/>
      <c r="K139" s="404"/>
      <c r="L139" s="408"/>
      <c r="M139" s="404"/>
      <c r="N139" s="408">
        <v>8843.1782400000011</v>
      </c>
      <c r="O139" s="404"/>
      <c r="P139" s="408"/>
      <c r="Q139" s="404"/>
      <c r="R139" s="408"/>
      <c r="S139" s="404"/>
      <c r="T139" s="408"/>
      <c r="U139" s="404"/>
      <c r="V139" s="408">
        <v>12031.046366832237</v>
      </c>
      <c r="W139" s="404"/>
      <c r="X139" s="410"/>
      <c r="Y139" s="207"/>
      <c r="Z139" s="432">
        <f>IF('Maintenance Schedule'!Z139="","",'Maintenance Schedule'!Z139)</f>
        <v>13</v>
      </c>
      <c r="AA139" s="12">
        <f>'Description Sheet'!N112</f>
        <v>6500</v>
      </c>
      <c r="AB139" s="415"/>
    </row>
    <row r="140" spans="1:28" ht="19" hidden="1">
      <c r="A140" s="14"/>
      <c r="B140" s="19">
        <v>10</v>
      </c>
      <c r="C140" s="19">
        <v>79</v>
      </c>
      <c r="D140" s="122">
        <f>'Description Sheet'!B113</f>
        <v>9.1999999999999993</v>
      </c>
      <c r="E140" s="236" t="str">
        <f>'Description Sheet'!C113</f>
        <v>Shade Port Netting (Replacement and Maintanance)</v>
      </c>
      <c r="F140" s="408"/>
      <c r="G140" s="404"/>
      <c r="H140" s="410"/>
      <c r="I140" s="405"/>
      <c r="J140" s="410"/>
      <c r="K140" s="405"/>
      <c r="L140" s="410"/>
      <c r="M140" s="405"/>
      <c r="N140" s="410"/>
      <c r="O140" s="405"/>
      <c r="P140" s="410"/>
      <c r="Q140" s="405"/>
      <c r="R140" s="410"/>
      <c r="S140" s="405"/>
      <c r="T140" s="410"/>
      <c r="U140" s="405"/>
      <c r="V140" s="410"/>
      <c r="W140" s="405"/>
      <c r="X140" s="410"/>
      <c r="Y140" s="207"/>
      <c r="Z140" s="432" t="str">
        <f>IF('Maintenance Schedule'!Z140="","",'Maintenance Schedule'!Z140)</f>
        <v/>
      </c>
      <c r="AA140" s="12">
        <f>'Description Sheet'!N113</f>
        <v>0</v>
      </c>
      <c r="AB140" s="415"/>
    </row>
    <row r="141" spans="1:28" ht="19" hidden="1">
      <c r="A141" s="14"/>
      <c r="B141" s="19">
        <v>10</v>
      </c>
      <c r="C141" s="19">
        <v>80</v>
      </c>
      <c r="D141" s="122">
        <f>'Description Sheet'!B114</f>
        <v>9.3000000000000007</v>
      </c>
      <c r="E141" s="236" t="str">
        <f>'Description Sheet'!C114</f>
        <v>Garages (Maintanance)</v>
      </c>
      <c r="F141" s="408"/>
      <c r="G141" s="404"/>
      <c r="H141" s="410"/>
      <c r="I141" s="405"/>
      <c r="J141" s="410"/>
      <c r="K141" s="405"/>
      <c r="L141" s="410"/>
      <c r="M141" s="405"/>
      <c r="N141" s="410"/>
      <c r="O141" s="405"/>
      <c r="P141" s="410"/>
      <c r="Q141" s="405"/>
      <c r="R141" s="410"/>
      <c r="S141" s="405"/>
      <c r="T141" s="410"/>
      <c r="U141" s="405"/>
      <c r="V141" s="410"/>
      <c r="W141" s="405"/>
      <c r="X141" s="410"/>
      <c r="Y141" s="207"/>
      <c r="Z141" s="432" t="str">
        <f>IF('Maintenance Schedule'!Z141="","",'Maintenance Schedule'!Z141)</f>
        <v/>
      </c>
      <c r="AA141" s="12">
        <f>'Description Sheet'!N114</f>
        <v>0</v>
      </c>
      <c r="AB141" s="415"/>
    </row>
    <row r="142" spans="1:28" ht="19" hidden="1">
      <c r="A142" s="14"/>
      <c r="B142" s="19">
        <v>10</v>
      </c>
      <c r="C142" s="19">
        <v>81</v>
      </c>
      <c r="D142" s="122">
        <f>'Description Sheet'!B115</f>
        <v>9.4</v>
      </c>
      <c r="E142" s="236" t="str">
        <f>'Description Sheet'!C115</f>
        <v>Parking Facilities</v>
      </c>
      <c r="F142" s="408"/>
      <c r="G142" s="404"/>
      <c r="H142" s="410"/>
      <c r="I142" s="405"/>
      <c r="J142" s="410"/>
      <c r="K142" s="405"/>
      <c r="L142" s="410"/>
      <c r="M142" s="405"/>
      <c r="N142" s="410"/>
      <c r="O142" s="405"/>
      <c r="P142" s="410"/>
      <c r="Q142" s="405"/>
      <c r="R142" s="410"/>
      <c r="S142" s="405"/>
      <c r="T142" s="410"/>
      <c r="U142" s="405"/>
      <c r="V142" s="410"/>
      <c r="W142" s="405"/>
      <c r="X142" s="410"/>
      <c r="Y142" s="207"/>
      <c r="Z142" s="432" t="str">
        <f>IF('Maintenance Schedule'!Z142="","",'Maintenance Schedule'!Z142)</f>
        <v/>
      </c>
      <c r="AA142" s="12">
        <f>'Description Sheet'!N115</f>
        <v>0</v>
      </c>
      <c r="AB142" s="415"/>
    </row>
    <row r="143" spans="1:28" ht="19" thickBot="1">
      <c r="A143" s="14"/>
      <c r="B143" s="19"/>
      <c r="C143" s="19"/>
      <c r="D143" s="122"/>
      <c r="E143" s="237"/>
      <c r="F143" s="223"/>
      <c r="G143" s="206"/>
      <c r="H143" s="225"/>
      <c r="I143" s="207"/>
      <c r="J143" s="225"/>
      <c r="K143" s="207"/>
      <c r="L143" s="225"/>
      <c r="M143" s="207"/>
      <c r="N143" s="225"/>
      <c r="O143" s="207"/>
      <c r="P143" s="225"/>
      <c r="Q143" s="207"/>
      <c r="R143" s="225"/>
      <c r="S143" s="207"/>
      <c r="T143" s="225"/>
      <c r="U143" s="207"/>
      <c r="V143" s="225"/>
      <c r="W143" s="207"/>
      <c r="X143" s="223"/>
      <c r="Y143" s="207"/>
      <c r="Z143" s="431"/>
      <c r="AA143" s="12"/>
      <c r="AB143" s="415"/>
    </row>
    <row r="144" spans="1:28" ht="20" thickBot="1">
      <c r="A144" s="14" t="s">
        <v>64</v>
      </c>
      <c r="B144" s="19"/>
      <c r="C144" s="19"/>
      <c r="D144" s="124"/>
      <c r="E144" s="125" t="s">
        <v>31</v>
      </c>
      <c r="F144" s="126">
        <v>0</v>
      </c>
      <c r="G144" s="206"/>
      <c r="H144" s="127"/>
      <c r="I144" s="426"/>
      <c r="J144" s="127"/>
      <c r="K144" s="426"/>
      <c r="L144" s="127"/>
      <c r="M144" s="426"/>
      <c r="N144" s="127"/>
      <c r="O144" s="426"/>
      <c r="P144" s="127"/>
      <c r="Q144" s="426"/>
      <c r="R144" s="127"/>
      <c r="S144" s="426"/>
      <c r="T144" s="127"/>
      <c r="U144" s="426"/>
      <c r="V144" s="127"/>
      <c r="W144" s="426"/>
      <c r="X144" s="127"/>
      <c r="Y144" s="425"/>
      <c r="Z144" s="431"/>
      <c r="AA144" s="12"/>
      <c r="AB144" s="415"/>
    </row>
    <row r="145" spans="1:28" ht="19" thickBot="1">
      <c r="A145" s="14" t="s">
        <v>65</v>
      </c>
      <c r="B145" s="19"/>
      <c r="C145" s="19"/>
      <c r="D145" s="122"/>
      <c r="E145" s="128" t="s">
        <v>43</v>
      </c>
      <c r="F145" s="129">
        <f>'Year (2021-2022)'!H118</f>
        <v>0</v>
      </c>
      <c r="G145" s="206"/>
      <c r="H145" s="129">
        <f>'Year (2022-2023)'!H118</f>
        <v>0</v>
      </c>
      <c r="I145" s="206"/>
      <c r="J145" s="129">
        <f>'Year (2023-2024)'!H118</f>
        <v>0</v>
      </c>
      <c r="K145" s="206"/>
      <c r="L145" s="129">
        <f>'Year (2024-2025)'!H118</f>
        <v>0</v>
      </c>
      <c r="M145" s="206"/>
      <c r="N145" s="129">
        <f>'Year (2025-2026)'!H118</f>
        <v>8843.1782400000029</v>
      </c>
      <c r="O145" s="206"/>
      <c r="P145" s="129">
        <f>'Year (2026-2027)'!H118</f>
        <v>0</v>
      </c>
      <c r="Q145" s="206"/>
      <c r="R145" s="129">
        <f>'Year (2027-2028)'!H118</f>
        <v>0</v>
      </c>
      <c r="S145" s="206"/>
      <c r="T145" s="129">
        <f>'Year (2028-2029)'!H118</f>
        <v>0</v>
      </c>
      <c r="U145" s="206"/>
      <c r="V145" s="129">
        <f>'Year (2029-2030)'!H118</f>
        <v>12031.046366832237</v>
      </c>
      <c r="W145" s="206"/>
      <c r="X145" s="129">
        <f>'Year (2030-2031)'!H118</f>
        <v>0</v>
      </c>
      <c r="Y145" s="207"/>
      <c r="Z145" s="431"/>
      <c r="AA145" s="12"/>
      <c r="AB145" s="416">
        <f>F145+H145+J145+L145+N145+P145+R145+T145+V145+X145</f>
        <v>20874.224606832242</v>
      </c>
    </row>
    <row r="146" spans="1:28">
      <c r="A146" s="14" t="s">
        <v>66</v>
      </c>
      <c r="B146" s="19"/>
      <c r="C146" s="19"/>
      <c r="D146" s="122"/>
      <c r="E146" s="130" t="s">
        <v>48</v>
      </c>
      <c r="F146" s="447">
        <v>1768.6356480000002</v>
      </c>
      <c r="G146" s="206"/>
      <c r="H146" s="447">
        <v>1768.6356480000002</v>
      </c>
      <c r="I146" s="206"/>
      <c r="J146" s="447">
        <v>1768.6356480000002</v>
      </c>
      <c r="K146" s="206"/>
      <c r="L146" s="447">
        <v>1768.6356480000002</v>
      </c>
      <c r="M146" s="206"/>
      <c r="N146" s="447">
        <v>1768.6356480000002</v>
      </c>
      <c r="O146" s="206"/>
      <c r="P146" s="447">
        <v>3007.7615917080593</v>
      </c>
      <c r="Q146" s="206"/>
      <c r="R146" s="447">
        <v>3007.7615917080593</v>
      </c>
      <c r="S146" s="206"/>
      <c r="T146" s="447">
        <v>3007.7615917080593</v>
      </c>
      <c r="U146" s="206"/>
      <c r="V146" s="447">
        <v>3007.7615917080593</v>
      </c>
      <c r="W146" s="206"/>
      <c r="X146" s="447">
        <v>4092.0264398308432</v>
      </c>
      <c r="Y146" s="207"/>
      <c r="Z146" s="431"/>
      <c r="AA146" s="12"/>
      <c r="AB146" s="415"/>
    </row>
    <row r="147" spans="1:28" ht="20" thickBot="1">
      <c r="A147" s="14"/>
      <c r="B147" s="19"/>
      <c r="C147" s="19"/>
      <c r="D147" s="122"/>
      <c r="E147" s="236"/>
      <c r="F147" s="221"/>
      <c r="G147" s="206"/>
      <c r="H147" s="222"/>
      <c r="I147" s="206"/>
      <c r="J147" s="221"/>
      <c r="K147" s="206"/>
      <c r="L147" s="222"/>
      <c r="M147" s="206"/>
      <c r="N147" s="222"/>
      <c r="O147" s="206"/>
      <c r="P147" s="222"/>
      <c r="Q147" s="206"/>
      <c r="R147" s="221"/>
      <c r="S147" s="206"/>
      <c r="T147" s="222"/>
      <c r="U147" s="206"/>
      <c r="V147" s="222"/>
      <c r="W147" s="206"/>
      <c r="X147" s="217"/>
      <c r="Y147" s="207"/>
      <c r="Z147" s="431"/>
      <c r="AA147" s="12"/>
      <c r="AB147" s="415"/>
    </row>
    <row r="148" spans="1:28" ht="22" hidden="1" thickBot="1">
      <c r="A148" s="14"/>
      <c r="B148" s="19">
        <v>11</v>
      </c>
      <c r="C148" s="19"/>
      <c r="D148" s="120">
        <f>'Description Sheet'!B118</f>
        <v>10</v>
      </c>
      <c r="E148" s="178" t="str">
        <f>'Description Sheet'!C118</f>
        <v>Roadways and Paved Areas</v>
      </c>
      <c r="F148" s="241"/>
      <c r="G148" s="206"/>
      <c r="H148" s="235"/>
      <c r="I148" s="206"/>
      <c r="J148" s="241"/>
      <c r="K148" s="206"/>
      <c r="L148" s="235"/>
      <c r="M148" s="206"/>
      <c r="N148" s="235"/>
      <c r="O148" s="206"/>
      <c r="P148" s="235"/>
      <c r="Q148" s="206"/>
      <c r="R148" s="241"/>
      <c r="S148" s="206"/>
      <c r="T148" s="235"/>
      <c r="U148" s="206"/>
      <c r="V148" s="235"/>
      <c r="W148" s="206"/>
      <c r="X148" s="227"/>
      <c r="Y148" s="207"/>
      <c r="Z148" s="431"/>
      <c r="AA148" s="12"/>
      <c r="AB148" s="415"/>
    </row>
    <row r="149" spans="1:28" ht="19" hidden="1">
      <c r="A149" s="14"/>
      <c r="B149" s="19">
        <v>11</v>
      </c>
      <c r="C149" s="19">
        <v>82</v>
      </c>
      <c r="D149" s="122">
        <f>'Description Sheet'!B119</f>
        <v>10.1</v>
      </c>
      <c r="E149" s="236" t="str">
        <f>'Description Sheet'!C119</f>
        <v>Tarmac Areas (Reinstatement)</v>
      </c>
      <c r="F149" s="408"/>
      <c r="G149" s="404"/>
      <c r="H149" s="408"/>
      <c r="I149" s="404"/>
      <c r="J149" s="408"/>
      <c r="K149" s="404"/>
      <c r="L149" s="408"/>
      <c r="M149" s="404"/>
      <c r="N149" s="408"/>
      <c r="O149" s="404"/>
      <c r="P149" s="408"/>
      <c r="Q149" s="404"/>
      <c r="R149" s="408"/>
      <c r="S149" s="404"/>
      <c r="T149" s="408"/>
      <c r="U149" s="404"/>
      <c r="V149" s="408"/>
      <c r="W149" s="404"/>
      <c r="X149" s="410"/>
      <c r="Y149" s="207"/>
      <c r="Z149" s="432" t="str">
        <f>IF('Maintenance Schedule'!Z149="","",'Maintenance Schedule'!Z149)</f>
        <v/>
      </c>
      <c r="AA149" s="12">
        <f>'Description Sheet'!N119</f>
        <v>0</v>
      </c>
      <c r="AB149" s="415"/>
    </row>
    <row r="150" spans="1:28" ht="19" hidden="1">
      <c r="A150" s="14"/>
      <c r="B150" s="19">
        <v>11</v>
      </c>
      <c r="C150" s="19">
        <v>83</v>
      </c>
      <c r="D150" s="122">
        <f>'Description Sheet'!B120</f>
        <v>10.199999999999999</v>
      </c>
      <c r="E150" s="236" t="str">
        <f>'Description Sheet'!C120</f>
        <v>Concrete Areas (Reinstatement)</v>
      </c>
      <c r="F150" s="403"/>
      <c r="G150" s="404"/>
      <c r="H150" s="403"/>
      <c r="I150" s="404"/>
      <c r="J150" s="403"/>
      <c r="K150" s="404"/>
      <c r="L150" s="403"/>
      <c r="M150" s="404"/>
      <c r="N150" s="403"/>
      <c r="O150" s="404"/>
      <c r="P150" s="403"/>
      <c r="Q150" s="404"/>
      <c r="R150" s="403"/>
      <c r="S150" s="404"/>
      <c r="T150" s="403"/>
      <c r="U150" s="404"/>
      <c r="V150" s="403"/>
      <c r="W150" s="404"/>
      <c r="X150" s="403"/>
      <c r="Y150" s="207"/>
      <c r="Z150" s="432" t="str">
        <f>IF('Maintenance Schedule'!Z150="","",'Maintenance Schedule'!Z150)</f>
        <v/>
      </c>
      <c r="AA150" s="12">
        <f>'Description Sheet'!N120</f>
        <v>2353</v>
      </c>
      <c r="AB150" s="415"/>
    </row>
    <row r="151" spans="1:28" ht="19" hidden="1">
      <c r="A151" s="14"/>
      <c r="B151" s="19">
        <v>11</v>
      </c>
      <c r="C151" s="19">
        <v>84</v>
      </c>
      <c r="D151" s="122">
        <f>'Description Sheet'!B121</f>
        <v>10.3</v>
      </c>
      <c r="E151" s="236" t="str">
        <f>'Description Sheet'!C121</f>
        <v>Paving  Areas (Reinstatement)</v>
      </c>
      <c r="F151" s="403"/>
      <c r="G151" s="404"/>
      <c r="H151" s="403"/>
      <c r="I151" s="404"/>
      <c r="J151" s="403"/>
      <c r="K151" s="404"/>
      <c r="L151" s="403"/>
      <c r="M151" s="404"/>
      <c r="N151" s="403"/>
      <c r="O151" s="404"/>
      <c r="P151" s="403"/>
      <c r="Q151" s="404"/>
      <c r="R151" s="403"/>
      <c r="S151" s="404"/>
      <c r="T151" s="403"/>
      <c r="U151" s="404"/>
      <c r="V151" s="403"/>
      <c r="W151" s="404"/>
      <c r="X151" s="403"/>
      <c r="Y151" s="207"/>
      <c r="Z151" s="432" t="str">
        <f>IF('Maintenance Schedule'!Z151="","",'Maintenance Schedule'!Z151)</f>
        <v/>
      </c>
      <c r="AA151" s="12">
        <f>'Description Sheet'!N121</f>
        <v>2353</v>
      </c>
      <c r="AB151" s="415"/>
    </row>
    <row r="152" spans="1:28" ht="19" hidden="1">
      <c r="A152" s="14"/>
      <c r="B152" s="19">
        <v>11</v>
      </c>
      <c r="C152" s="19">
        <v>85</v>
      </c>
      <c r="D152" s="122">
        <f>'Description Sheet'!B122</f>
        <v>10.4</v>
      </c>
      <c r="E152" s="236" t="str">
        <f>'Description Sheet'!C122</f>
        <v>Reinstatement of Walkways (Grouting and Tiles)</v>
      </c>
      <c r="F152" s="403"/>
      <c r="G152" s="404"/>
      <c r="H152" s="403"/>
      <c r="I152" s="404"/>
      <c r="J152" s="403"/>
      <c r="K152" s="404"/>
      <c r="L152" s="403"/>
      <c r="M152" s="404"/>
      <c r="N152" s="403"/>
      <c r="O152" s="404"/>
      <c r="P152" s="403"/>
      <c r="Q152" s="404"/>
      <c r="R152" s="403"/>
      <c r="S152" s="404"/>
      <c r="T152" s="403"/>
      <c r="U152" s="404"/>
      <c r="V152" s="403"/>
      <c r="W152" s="404"/>
      <c r="X152" s="403"/>
      <c r="Y152" s="207"/>
      <c r="Z152" s="432" t="str">
        <f>IF('Maintenance Schedule'!Z152="","",'Maintenance Schedule'!Z152)</f>
        <v/>
      </c>
      <c r="AA152" s="12">
        <f>'Description Sheet'!N122</f>
        <v>2353</v>
      </c>
      <c r="AB152" s="415"/>
    </row>
    <row r="153" spans="1:28" ht="19" hidden="1">
      <c r="A153" s="14"/>
      <c r="B153" s="19">
        <v>11</v>
      </c>
      <c r="C153" s="19">
        <v>86</v>
      </c>
      <c r="D153" s="122">
        <f>'Description Sheet'!B123</f>
        <v>10.5</v>
      </c>
      <c r="E153" s="236" t="str">
        <f>'Description Sheet'!C123</f>
        <v>Tarmac Damaged Areas (Replacement)</v>
      </c>
      <c r="F153" s="408"/>
      <c r="G153" s="404"/>
      <c r="H153" s="410"/>
      <c r="I153" s="405"/>
      <c r="J153" s="410"/>
      <c r="K153" s="405"/>
      <c r="L153" s="410"/>
      <c r="M153" s="405"/>
      <c r="N153" s="410"/>
      <c r="O153" s="405"/>
      <c r="P153" s="410"/>
      <c r="Q153" s="405"/>
      <c r="R153" s="410"/>
      <c r="S153" s="405"/>
      <c r="T153" s="410"/>
      <c r="U153" s="405"/>
      <c r="V153" s="410"/>
      <c r="W153" s="405"/>
      <c r="X153" s="410"/>
      <c r="Y153" s="207"/>
      <c r="Z153" s="432" t="str">
        <f>IF('Maintenance Schedule'!Z153="","",'Maintenance Schedule'!Z153)</f>
        <v/>
      </c>
      <c r="AA153" s="12">
        <f>'Description Sheet'!N123</f>
        <v>0</v>
      </c>
      <c r="AB153" s="415"/>
    </row>
    <row r="154" spans="1:28" ht="19" hidden="1">
      <c r="A154" s="14"/>
      <c r="B154" s="19">
        <v>11</v>
      </c>
      <c r="C154" s="19">
        <v>87</v>
      </c>
      <c r="D154" s="122">
        <f>'Description Sheet'!B124</f>
        <v>10.6</v>
      </c>
      <c r="E154" s="236" t="str">
        <f>'Description Sheet'!C124</f>
        <v>blank</v>
      </c>
      <c r="F154" s="408"/>
      <c r="G154" s="404"/>
      <c r="H154" s="410"/>
      <c r="I154" s="405"/>
      <c r="J154" s="410"/>
      <c r="K154" s="405"/>
      <c r="L154" s="410"/>
      <c r="M154" s="405"/>
      <c r="N154" s="410"/>
      <c r="O154" s="405"/>
      <c r="P154" s="410"/>
      <c r="Q154" s="405"/>
      <c r="R154" s="410"/>
      <c r="S154" s="405"/>
      <c r="T154" s="410"/>
      <c r="U154" s="405"/>
      <c r="V154" s="410"/>
      <c r="W154" s="405"/>
      <c r="X154" s="410"/>
      <c r="Y154" s="207"/>
      <c r="Z154" s="432" t="str">
        <f>IF('Maintenance Schedule'!Z154="","",'Maintenance Schedule'!Z154)</f>
        <v/>
      </c>
      <c r="AA154" s="12">
        <f>'Description Sheet'!N124</f>
        <v>0</v>
      </c>
      <c r="AB154" s="415"/>
    </row>
    <row r="155" spans="1:28" ht="19" hidden="1">
      <c r="A155" s="14"/>
      <c r="B155" s="19">
        <v>11</v>
      </c>
      <c r="C155" s="19">
        <v>88</v>
      </c>
      <c r="D155" s="122">
        <f>'Description Sheet'!B125</f>
        <v>10.7</v>
      </c>
      <c r="E155" s="236" t="str">
        <f>'Description Sheet'!C125</f>
        <v>blank</v>
      </c>
      <c r="F155" s="408"/>
      <c r="G155" s="404"/>
      <c r="H155" s="410"/>
      <c r="I155" s="405"/>
      <c r="J155" s="410"/>
      <c r="K155" s="405"/>
      <c r="L155" s="410"/>
      <c r="M155" s="405"/>
      <c r="N155" s="410"/>
      <c r="O155" s="405"/>
      <c r="P155" s="410"/>
      <c r="Q155" s="405"/>
      <c r="R155" s="410"/>
      <c r="S155" s="405"/>
      <c r="T155" s="410"/>
      <c r="U155" s="405"/>
      <c r="V155" s="410"/>
      <c r="W155" s="405"/>
      <c r="X155" s="410"/>
      <c r="Y155" s="207"/>
      <c r="Z155" s="432" t="str">
        <f>IF('Maintenance Schedule'!Z155="","",'Maintenance Schedule'!Z155)</f>
        <v/>
      </c>
      <c r="AA155" s="12">
        <f>'Description Sheet'!N125</f>
        <v>0</v>
      </c>
      <c r="AB155" s="415"/>
    </row>
    <row r="156" spans="1:28" ht="19" hidden="1" thickBot="1">
      <c r="A156" s="14"/>
      <c r="B156" s="19"/>
      <c r="C156" s="19"/>
      <c r="D156" s="122"/>
      <c r="E156" s="237"/>
      <c r="F156" s="223"/>
      <c r="G156" s="206"/>
      <c r="H156" s="225"/>
      <c r="I156" s="207"/>
      <c r="J156" s="225"/>
      <c r="K156" s="207"/>
      <c r="L156" s="225"/>
      <c r="M156" s="207"/>
      <c r="N156" s="225"/>
      <c r="O156" s="207"/>
      <c r="P156" s="225"/>
      <c r="Q156" s="207"/>
      <c r="R156" s="225"/>
      <c r="S156" s="207"/>
      <c r="T156" s="225"/>
      <c r="U156" s="207"/>
      <c r="V156" s="225"/>
      <c r="W156" s="207"/>
      <c r="X156" s="223"/>
      <c r="Y156" s="207"/>
      <c r="Z156" s="431"/>
      <c r="AA156" s="12"/>
      <c r="AB156" s="415"/>
    </row>
    <row r="157" spans="1:28" ht="20" hidden="1" thickBot="1">
      <c r="A157" s="14" t="s">
        <v>64</v>
      </c>
      <c r="B157" s="19"/>
      <c r="C157" s="19"/>
      <c r="D157" s="124"/>
      <c r="E157" s="125" t="s">
        <v>31</v>
      </c>
      <c r="F157" s="126">
        <v>0</v>
      </c>
      <c r="G157" s="206"/>
      <c r="H157" s="127"/>
      <c r="I157" s="426"/>
      <c r="J157" s="127"/>
      <c r="K157" s="426"/>
      <c r="L157" s="127"/>
      <c r="M157" s="426"/>
      <c r="N157" s="127"/>
      <c r="O157" s="426"/>
      <c r="P157" s="127"/>
      <c r="Q157" s="426"/>
      <c r="R157" s="127"/>
      <c r="S157" s="426"/>
      <c r="T157" s="127"/>
      <c r="U157" s="426"/>
      <c r="V157" s="127"/>
      <c r="W157" s="426"/>
      <c r="X157" s="127"/>
      <c r="Y157" s="425"/>
      <c r="Z157" s="431"/>
      <c r="AA157" s="12"/>
      <c r="AB157" s="415"/>
    </row>
    <row r="158" spans="1:28" ht="19" hidden="1" thickBot="1">
      <c r="A158" s="14" t="s">
        <v>65</v>
      </c>
      <c r="B158" s="19"/>
      <c r="C158" s="19"/>
      <c r="D158" s="122"/>
      <c r="E158" s="128" t="s">
        <v>43</v>
      </c>
      <c r="F158" s="129">
        <f>'Year (2021-2022)'!H128</f>
        <v>0</v>
      </c>
      <c r="G158" s="206"/>
      <c r="H158" s="129">
        <f>'Year (2022-2023)'!H128</f>
        <v>0</v>
      </c>
      <c r="I158" s="206"/>
      <c r="J158" s="129">
        <f>'Year (2023-2024)'!H128</f>
        <v>0</v>
      </c>
      <c r="K158" s="206"/>
      <c r="L158" s="129">
        <f>'Year (2024-2025)'!H128</f>
        <v>0</v>
      </c>
      <c r="M158" s="206"/>
      <c r="N158" s="129">
        <f>'Year (2025-2026)'!H128</f>
        <v>0</v>
      </c>
      <c r="O158" s="206"/>
      <c r="P158" s="129">
        <f>'Year (2026-2027)'!H128</f>
        <v>0</v>
      </c>
      <c r="Q158" s="206"/>
      <c r="R158" s="129">
        <f>'Year (2027-2028)'!H128</f>
        <v>0</v>
      </c>
      <c r="S158" s="206"/>
      <c r="T158" s="129">
        <f>'Year (2028-2029)'!H128</f>
        <v>0</v>
      </c>
      <c r="U158" s="206"/>
      <c r="V158" s="129">
        <f>'Year (2029-2030)'!H128</f>
        <v>0</v>
      </c>
      <c r="W158" s="206"/>
      <c r="X158" s="129">
        <f>'Year (2030-2031)'!H128</f>
        <v>0</v>
      </c>
      <c r="Y158" s="207"/>
      <c r="Z158" s="431"/>
      <c r="AA158" s="12"/>
      <c r="AB158" s="416">
        <f>F158+H158+J158+L158+N158+P158+R158+T158+V158+X158</f>
        <v>0</v>
      </c>
    </row>
    <row r="159" spans="1:28" hidden="1">
      <c r="A159" s="14" t="s">
        <v>66</v>
      </c>
      <c r="B159" s="19"/>
      <c r="C159" s="19"/>
      <c r="D159" s="122"/>
      <c r="E159" s="130" t="s">
        <v>48</v>
      </c>
      <c r="F159" s="447">
        <v>0</v>
      </c>
      <c r="G159" s="206"/>
      <c r="H159" s="447">
        <v>0</v>
      </c>
      <c r="I159" s="206"/>
      <c r="J159" s="447">
        <v>0</v>
      </c>
      <c r="K159" s="206"/>
      <c r="L159" s="447">
        <v>0</v>
      </c>
      <c r="M159" s="206"/>
      <c r="N159" s="447">
        <v>0</v>
      </c>
      <c r="O159" s="206"/>
      <c r="P159" s="447">
        <v>0</v>
      </c>
      <c r="Q159" s="206"/>
      <c r="R159" s="447">
        <v>0</v>
      </c>
      <c r="S159" s="206"/>
      <c r="T159" s="447">
        <v>0</v>
      </c>
      <c r="U159" s="206"/>
      <c r="V159" s="447">
        <v>0</v>
      </c>
      <c r="W159" s="206"/>
      <c r="X159" s="447">
        <v>0</v>
      </c>
      <c r="Y159" s="207"/>
      <c r="Z159" s="431"/>
      <c r="AA159" s="12"/>
      <c r="AB159" s="415"/>
    </row>
    <row r="160" spans="1:28" ht="20" hidden="1" thickBot="1">
      <c r="A160" s="14"/>
      <c r="B160" s="19"/>
      <c r="C160" s="19"/>
      <c r="D160" s="122"/>
      <c r="E160" s="236"/>
      <c r="F160" s="221"/>
      <c r="G160" s="206"/>
      <c r="H160" s="222"/>
      <c r="I160" s="206"/>
      <c r="J160" s="221"/>
      <c r="K160" s="206"/>
      <c r="L160" s="222"/>
      <c r="M160" s="206"/>
      <c r="N160" s="222"/>
      <c r="O160" s="206"/>
      <c r="P160" s="222"/>
      <c r="Q160" s="206"/>
      <c r="R160" s="221"/>
      <c r="S160" s="206"/>
      <c r="T160" s="222"/>
      <c r="U160" s="206"/>
      <c r="V160" s="222"/>
      <c r="W160" s="206"/>
      <c r="X160" s="217"/>
      <c r="Y160" s="207"/>
      <c r="Z160" s="431"/>
      <c r="AA160" s="12"/>
      <c r="AB160" s="415"/>
    </row>
    <row r="161" spans="1:28" ht="22" thickBot="1">
      <c r="A161" s="14"/>
      <c r="B161" s="19">
        <v>12</v>
      </c>
      <c r="C161" s="19"/>
      <c r="D161" s="120">
        <f>'Description Sheet'!B128</f>
        <v>11</v>
      </c>
      <c r="E161" s="178" t="str">
        <f>'Description Sheet'!C128</f>
        <v>Security Systems and Facilities</v>
      </c>
      <c r="F161" s="241"/>
      <c r="G161" s="206"/>
      <c r="H161" s="235"/>
      <c r="I161" s="206"/>
      <c r="J161" s="241"/>
      <c r="K161" s="206"/>
      <c r="L161" s="235"/>
      <c r="M161" s="206"/>
      <c r="N161" s="235"/>
      <c r="O161" s="206"/>
      <c r="P161" s="235"/>
      <c r="Q161" s="206"/>
      <c r="R161" s="241"/>
      <c r="S161" s="206"/>
      <c r="T161" s="235"/>
      <c r="U161" s="206"/>
      <c r="V161" s="235"/>
      <c r="W161" s="206"/>
      <c r="X161" s="227"/>
      <c r="Y161" s="207"/>
      <c r="Z161" s="431"/>
      <c r="AA161" s="12"/>
      <c r="AB161" s="415"/>
    </row>
    <row r="162" spans="1:28" ht="18" customHeight="1">
      <c r="A162" s="14"/>
      <c r="B162" s="19">
        <v>12</v>
      </c>
      <c r="C162" s="19">
        <v>89</v>
      </c>
      <c r="D162" s="133">
        <f>'Description Sheet'!B129</f>
        <v>11.1</v>
      </c>
      <c r="E162" s="236" t="str">
        <f>'Description Sheet'!C129</f>
        <v>Security Equipment (Replacement/Upgrade Savings)</v>
      </c>
      <c r="F162" s="403">
        <v>6500</v>
      </c>
      <c r="G162" s="404"/>
      <c r="H162" s="403">
        <v>7020.0000000000009</v>
      </c>
      <c r="I162" s="404"/>
      <c r="J162" s="403">
        <v>7581.6</v>
      </c>
      <c r="K162" s="404"/>
      <c r="L162" s="403">
        <v>8188.1280000000015</v>
      </c>
      <c r="M162" s="404"/>
      <c r="N162" s="403">
        <v>8843.1782400000011</v>
      </c>
      <c r="O162" s="404"/>
      <c r="P162" s="403">
        <v>9550.6324992000027</v>
      </c>
      <c r="Q162" s="404"/>
      <c r="R162" s="403">
        <v>10314.683099136004</v>
      </c>
      <c r="S162" s="404"/>
      <c r="T162" s="403">
        <v>11139.857747066886</v>
      </c>
      <c r="U162" s="404"/>
      <c r="V162" s="403">
        <v>12031.046366832237</v>
      </c>
      <c r="W162" s="404"/>
      <c r="X162" s="403">
        <v>12993.530076178817</v>
      </c>
      <c r="Y162" s="207"/>
      <c r="Z162" s="432" t="str">
        <f>IF('Maintenance Schedule'!Z162="","",'Maintenance Schedule'!Z162)</f>
        <v/>
      </c>
      <c r="AA162" s="12">
        <f>'Description Sheet'!N129</f>
        <v>6500</v>
      </c>
      <c r="AB162" s="415"/>
    </row>
    <row r="163" spans="1:28" ht="18" hidden="1" customHeight="1">
      <c r="A163" s="14"/>
      <c r="B163" s="19">
        <v>12</v>
      </c>
      <c r="C163" s="19">
        <v>90</v>
      </c>
      <c r="D163" s="133">
        <f>'Description Sheet'!B130</f>
        <v>11.2</v>
      </c>
      <c r="E163" s="236" t="str">
        <f>'Description Sheet'!C130</f>
        <v>CCTV Installation</v>
      </c>
      <c r="F163" s="408"/>
      <c r="G163" s="404"/>
      <c r="H163" s="410"/>
      <c r="I163" s="405"/>
      <c r="J163" s="410"/>
      <c r="K163" s="405"/>
      <c r="L163" s="410"/>
      <c r="M163" s="405"/>
      <c r="N163" s="410"/>
      <c r="O163" s="405"/>
      <c r="P163" s="410"/>
      <c r="Q163" s="405"/>
      <c r="R163" s="410"/>
      <c r="S163" s="405"/>
      <c r="T163" s="410"/>
      <c r="U163" s="405"/>
      <c r="V163" s="410"/>
      <c r="W163" s="405"/>
      <c r="X163" s="410"/>
      <c r="Y163" s="207"/>
      <c r="Z163" s="432" t="str">
        <f>IF('Maintenance Schedule'!Z163="","",'Maintenance Schedule'!Z163)</f>
        <v/>
      </c>
      <c r="AA163" s="12">
        <f>'Description Sheet'!N130</f>
        <v>42000</v>
      </c>
      <c r="AB163" s="415"/>
    </row>
    <row r="164" spans="1:28" ht="18" hidden="1" customHeight="1">
      <c r="A164" s="14"/>
      <c r="B164" s="19">
        <v>12</v>
      </c>
      <c r="C164" s="19">
        <v>91</v>
      </c>
      <c r="D164" s="133">
        <f>'Description Sheet'!B131</f>
        <v>11.3</v>
      </c>
      <c r="E164" s="236" t="str">
        <f>'Description Sheet'!C131</f>
        <v>blank</v>
      </c>
      <c r="F164" s="408"/>
      <c r="G164" s="404"/>
      <c r="H164" s="410"/>
      <c r="I164" s="405"/>
      <c r="J164" s="410"/>
      <c r="K164" s="405"/>
      <c r="L164" s="410"/>
      <c r="M164" s="405"/>
      <c r="N164" s="410"/>
      <c r="O164" s="405"/>
      <c r="P164" s="410"/>
      <c r="Q164" s="405"/>
      <c r="R164" s="410"/>
      <c r="S164" s="405"/>
      <c r="T164" s="410"/>
      <c r="U164" s="405"/>
      <c r="V164" s="410"/>
      <c r="W164" s="405"/>
      <c r="X164" s="410"/>
      <c r="Y164" s="207"/>
      <c r="Z164" s="432" t="str">
        <f>IF('Maintenance Schedule'!Z164="","",'Maintenance Schedule'!Z164)</f>
        <v/>
      </c>
      <c r="AA164" s="12">
        <f>'Description Sheet'!N131</f>
        <v>0</v>
      </c>
      <c r="AB164" s="415"/>
    </row>
    <row r="165" spans="1:28" ht="18" hidden="1" customHeight="1">
      <c r="A165" s="14"/>
      <c r="B165" s="19">
        <v>12</v>
      </c>
      <c r="C165" s="19">
        <v>92</v>
      </c>
      <c r="D165" s="133">
        <f>'Description Sheet'!B132</f>
        <v>11.4</v>
      </c>
      <c r="E165" s="236" t="str">
        <f>'Description Sheet'!C132</f>
        <v>blank</v>
      </c>
      <c r="F165" s="408"/>
      <c r="G165" s="404"/>
      <c r="H165" s="410"/>
      <c r="I165" s="405"/>
      <c r="J165" s="410"/>
      <c r="K165" s="405"/>
      <c r="L165" s="410"/>
      <c r="M165" s="405"/>
      <c r="N165" s="410"/>
      <c r="O165" s="405"/>
      <c r="P165" s="410"/>
      <c r="Q165" s="405"/>
      <c r="R165" s="410"/>
      <c r="S165" s="405"/>
      <c r="T165" s="410"/>
      <c r="U165" s="405"/>
      <c r="V165" s="410"/>
      <c r="W165" s="405"/>
      <c r="X165" s="410"/>
      <c r="Y165" s="207"/>
      <c r="Z165" s="432" t="str">
        <f>IF('Maintenance Schedule'!Z165="","",'Maintenance Schedule'!Z165)</f>
        <v/>
      </c>
      <c r="AA165" s="12">
        <f>'Description Sheet'!N132</f>
        <v>0</v>
      </c>
      <c r="AB165" s="415"/>
    </row>
    <row r="166" spans="1:28" ht="18" customHeight="1" thickBot="1">
      <c r="A166" s="14"/>
      <c r="B166" s="19"/>
      <c r="C166" s="19"/>
      <c r="D166" s="133"/>
      <c r="E166" s="237"/>
      <c r="F166" s="223"/>
      <c r="G166" s="206"/>
      <c r="H166" s="225"/>
      <c r="I166" s="207"/>
      <c r="J166" s="225"/>
      <c r="K166" s="207"/>
      <c r="L166" s="225"/>
      <c r="M166" s="207"/>
      <c r="N166" s="225"/>
      <c r="O166" s="207"/>
      <c r="P166" s="225"/>
      <c r="Q166" s="207"/>
      <c r="R166" s="225"/>
      <c r="S166" s="207"/>
      <c r="T166" s="225"/>
      <c r="U166" s="207"/>
      <c r="V166" s="225"/>
      <c r="W166" s="207"/>
      <c r="X166" s="223"/>
      <c r="Y166" s="207"/>
      <c r="Z166" s="431"/>
      <c r="AA166" s="12"/>
      <c r="AB166" s="415"/>
    </row>
    <row r="167" spans="1:28" ht="20" thickBot="1">
      <c r="A167" s="14" t="s">
        <v>64</v>
      </c>
      <c r="B167" s="19"/>
      <c r="C167" s="19"/>
      <c r="D167" s="124"/>
      <c r="E167" s="125" t="s">
        <v>31</v>
      </c>
      <c r="F167" s="126">
        <v>0</v>
      </c>
      <c r="G167" s="206"/>
      <c r="H167" s="127"/>
      <c r="I167" s="426"/>
      <c r="J167" s="127"/>
      <c r="K167" s="426"/>
      <c r="L167" s="127"/>
      <c r="M167" s="426"/>
      <c r="N167" s="127"/>
      <c r="O167" s="426"/>
      <c r="P167" s="127"/>
      <c r="Q167" s="426"/>
      <c r="R167" s="127"/>
      <c r="S167" s="426"/>
      <c r="T167" s="127"/>
      <c r="U167" s="426"/>
      <c r="V167" s="127"/>
      <c r="W167" s="426"/>
      <c r="X167" s="127"/>
      <c r="Y167" s="425"/>
      <c r="Z167" s="431"/>
      <c r="AA167" s="12"/>
      <c r="AB167" s="415"/>
    </row>
    <row r="168" spans="1:28" ht="19" thickBot="1">
      <c r="A168" s="14" t="s">
        <v>65</v>
      </c>
      <c r="B168" s="19"/>
      <c r="C168" s="19"/>
      <c r="D168" s="122"/>
      <c r="E168" s="128" t="s">
        <v>43</v>
      </c>
      <c r="F168" s="129">
        <f>'Year (2021-2022)'!H135</f>
        <v>6500</v>
      </c>
      <c r="G168" s="206"/>
      <c r="H168" s="129">
        <f>'Year (2022-2023)'!H135</f>
        <v>7020.0000000000009</v>
      </c>
      <c r="I168" s="206"/>
      <c r="J168" s="129">
        <f>'Year (2023-2024)'!H135</f>
        <v>7581.6000000000013</v>
      </c>
      <c r="K168" s="206"/>
      <c r="L168" s="129">
        <f>'Year (2024-2025)'!H135</f>
        <v>8188.1280000000015</v>
      </c>
      <c r="M168" s="206"/>
      <c r="N168" s="129">
        <f>'Year (2025-2026)'!H135</f>
        <v>8843.1782400000029</v>
      </c>
      <c r="O168" s="206"/>
      <c r="P168" s="129">
        <f>'Year (2026-2027)'!H135</f>
        <v>9550.6324992000045</v>
      </c>
      <c r="Q168" s="206"/>
      <c r="R168" s="129">
        <f>'Year (2027-2028)'!H135</f>
        <v>10314.683099136006</v>
      </c>
      <c r="S168" s="206"/>
      <c r="T168" s="129">
        <f>'Year (2028-2029)'!H135</f>
        <v>11139.857747066886</v>
      </c>
      <c r="U168" s="206"/>
      <c r="V168" s="129">
        <f>'Year (2029-2030)'!H135</f>
        <v>12031.046366832237</v>
      </c>
      <c r="W168" s="206"/>
      <c r="X168" s="129">
        <f>'Year (2030-2031)'!H135</f>
        <v>12993.530076178817</v>
      </c>
      <c r="Y168" s="207"/>
      <c r="Z168" s="431"/>
      <c r="AA168" s="12"/>
      <c r="AB168" s="416">
        <f>F168+H168+J168+L168+N168+P168+R168+T168+V168+X168</f>
        <v>94162.656028413941</v>
      </c>
    </row>
    <row r="169" spans="1:28">
      <c r="A169" s="14" t="s">
        <v>66</v>
      </c>
      <c r="B169" s="19"/>
      <c r="C169" s="19"/>
      <c r="D169" s="122"/>
      <c r="E169" s="130" t="s">
        <v>48</v>
      </c>
      <c r="F169" s="447">
        <v>6500</v>
      </c>
      <c r="G169" s="206"/>
      <c r="H169" s="447">
        <v>7020.0000000000009</v>
      </c>
      <c r="I169" s="206"/>
      <c r="J169" s="447">
        <v>7581.6</v>
      </c>
      <c r="K169" s="206"/>
      <c r="L169" s="447">
        <v>8188.1280000000015</v>
      </c>
      <c r="M169" s="206"/>
      <c r="N169" s="447">
        <v>8843.1782400000011</v>
      </c>
      <c r="O169" s="206"/>
      <c r="P169" s="447">
        <v>9550.6324992000027</v>
      </c>
      <c r="Q169" s="206"/>
      <c r="R169" s="447">
        <v>10314.683099136004</v>
      </c>
      <c r="S169" s="206"/>
      <c r="T169" s="447">
        <v>11139.857747066886</v>
      </c>
      <c r="U169" s="206"/>
      <c r="V169" s="447">
        <v>12031.046366832237</v>
      </c>
      <c r="W169" s="206"/>
      <c r="X169" s="447">
        <v>12993.530076178817</v>
      </c>
      <c r="Y169" s="207"/>
      <c r="Z169" s="431"/>
      <c r="AA169" s="12"/>
      <c r="AB169" s="415"/>
    </row>
    <row r="170" spans="1:28" ht="20" thickBot="1">
      <c r="A170" s="14"/>
      <c r="B170" s="19"/>
      <c r="C170" s="19"/>
      <c r="D170" s="122"/>
      <c r="E170" s="236"/>
      <c r="F170" s="221"/>
      <c r="G170" s="206"/>
      <c r="H170" s="222"/>
      <c r="I170" s="206"/>
      <c r="J170" s="221"/>
      <c r="K170" s="206"/>
      <c r="L170" s="222"/>
      <c r="M170" s="206"/>
      <c r="N170" s="222"/>
      <c r="O170" s="206"/>
      <c r="P170" s="222"/>
      <c r="Q170" s="206"/>
      <c r="R170" s="221"/>
      <c r="S170" s="206"/>
      <c r="T170" s="222"/>
      <c r="U170" s="206"/>
      <c r="V170" s="222"/>
      <c r="W170" s="206"/>
      <c r="X170" s="217"/>
      <c r="Y170" s="207"/>
      <c r="Z170" s="431"/>
      <c r="AA170" s="12"/>
      <c r="AB170" s="415"/>
    </row>
    <row r="171" spans="1:28" ht="22" thickBot="1">
      <c r="A171" s="14"/>
      <c r="B171" s="19">
        <v>13</v>
      </c>
      <c r="C171" s="19"/>
      <c r="D171" s="120">
        <f>'Description Sheet'!B135</f>
        <v>12</v>
      </c>
      <c r="E171" s="178" t="str">
        <f>'Description Sheet'!C135</f>
        <v>Community and Recreational Facilities</v>
      </c>
      <c r="F171" s="241"/>
      <c r="G171" s="206"/>
      <c r="H171" s="235"/>
      <c r="I171" s="206"/>
      <c r="J171" s="241"/>
      <c r="K171" s="206"/>
      <c r="L171" s="235"/>
      <c r="M171" s="206"/>
      <c r="N171" s="235"/>
      <c r="O171" s="206"/>
      <c r="P171" s="235"/>
      <c r="Q171" s="206"/>
      <c r="R171" s="241"/>
      <c r="S171" s="206"/>
      <c r="T171" s="235"/>
      <c r="U171" s="206"/>
      <c r="V171" s="235"/>
      <c r="W171" s="206"/>
      <c r="X171" s="227"/>
      <c r="Y171" s="207"/>
      <c r="Z171" s="431"/>
      <c r="AA171" s="12"/>
      <c r="AB171" s="415"/>
    </row>
    <row r="172" spans="1:28">
      <c r="A172" s="14"/>
      <c r="B172" s="19">
        <v>13</v>
      </c>
      <c r="C172" s="19">
        <v>93</v>
      </c>
      <c r="D172" s="122">
        <f>'Description Sheet'!B136</f>
        <v>12.1</v>
      </c>
      <c r="E172" s="128" t="str">
        <f>'Description Sheet'!C136</f>
        <v>Fire Equipment and Signage (Replace)</v>
      </c>
      <c r="F172" s="403">
        <v>3000</v>
      </c>
      <c r="G172" s="404"/>
      <c r="H172" s="403">
        <v>3240</v>
      </c>
      <c r="I172" s="404"/>
      <c r="J172" s="403">
        <v>3499.2000000000003</v>
      </c>
      <c r="K172" s="404"/>
      <c r="L172" s="403">
        <v>3779.1360000000004</v>
      </c>
      <c r="M172" s="404"/>
      <c r="N172" s="403">
        <v>4081.4668800000009</v>
      </c>
      <c r="O172" s="404"/>
      <c r="P172" s="403">
        <v>4407.9842304000013</v>
      </c>
      <c r="Q172" s="404"/>
      <c r="R172" s="403">
        <v>4760.6229688320018</v>
      </c>
      <c r="S172" s="404"/>
      <c r="T172" s="403">
        <v>5141.4728063385628</v>
      </c>
      <c r="U172" s="404"/>
      <c r="V172" s="403">
        <v>5552.7906308456477</v>
      </c>
      <c r="W172" s="404"/>
      <c r="X172" s="403">
        <v>5997.0138813132999</v>
      </c>
      <c r="Y172" s="207"/>
      <c r="Z172" s="432" t="str">
        <f>IF('Maintenance Schedule'!Z172="","",'Maintenance Schedule'!Z172)</f>
        <v/>
      </c>
      <c r="AA172" s="12">
        <f>'Description Sheet'!N136</f>
        <v>3000</v>
      </c>
      <c r="AB172" s="415"/>
    </row>
    <row r="173" spans="1:28" ht="37.5" hidden="1" customHeight="1">
      <c r="A173" s="14"/>
      <c r="B173" s="19">
        <v>13</v>
      </c>
      <c r="C173" s="19">
        <v>94</v>
      </c>
      <c r="D173" s="122">
        <f>'Description Sheet'!B137</f>
        <v>12.2</v>
      </c>
      <c r="E173" s="236" t="str">
        <f>'Description Sheet'!C137</f>
        <v>Communal Areas (Pool, Gym Areas, ablutions etc Upgrade/Replacment of Fixtures &amp; Equipment)</v>
      </c>
      <c r="F173" s="408"/>
      <c r="G173" s="404"/>
      <c r="H173" s="408"/>
      <c r="I173" s="404"/>
      <c r="J173" s="408"/>
      <c r="K173" s="404"/>
      <c r="L173" s="408"/>
      <c r="M173" s="404"/>
      <c r="N173" s="408"/>
      <c r="O173" s="404"/>
      <c r="P173" s="408"/>
      <c r="Q173" s="404"/>
      <c r="R173" s="408"/>
      <c r="S173" s="404"/>
      <c r="T173" s="408"/>
      <c r="U173" s="404"/>
      <c r="V173" s="408"/>
      <c r="W173" s="404"/>
      <c r="X173" s="410"/>
      <c r="Y173" s="207"/>
      <c r="Z173" s="432" t="str">
        <f>IF('Maintenance Schedule'!Z173="","",'Maintenance Schedule'!Z173)</f>
        <v/>
      </c>
      <c r="AA173" s="12">
        <f>'Description Sheet'!N137</f>
        <v>0</v>
      </c>
      <c r="AB173" s="415"/>
    </row>
    <row r="174" spans="1:28" hidden="1">
      <c r="A174" s="14"/>
      <c r="B174" s="19">
        <v>13</v>
      </c>
      <c r="C174" s="19">
        <v>95</v>
      </c>
      <c r="D174" s="122">
        <f>'Description Sheet'!B138</f>
        <v>12.3</v>
      </c>
      <c r="E174" s="128" t="str">
        <f>'Description Sheet'!C138</f>
        <v>Laundry Room (Maintain/Replace)</v>
      </c>
      <c r="F174" s="403"/>
      <c r="G174" s="404"/>
      <c r="H174" s="403"/>
      <c r="I174" s="404"/>
      <c r="J174" s="403"/>
      <c r="K174" s="404"/>
      <c r="L174" s="403"/>
      <c r="M174" s="404"/>
      <c r="N174" s="403"/>
      <c r="O174" s="404"/>
      <c r="P174" s="403"/>
      <c r="Q174" s="404"/>
      <c r="R174" s="403"/>
      <c r="S174" s="404"/>
      <c r="T174" s="403"/>
      <c r="U174" s="404"/>
      <c r="V174" s="403"/>
      <c r="W174" s="404"/>
      <c r="X174" s="403"/>
      <c r="Y174" s="207"/>
      <c r="Z174" s="432" t="str">
        <f>IF('Maintenance Schedule'!Z174="","",'Maintenance Schedule'!Z174)</f>
        <v/>
      </c>
      <c r="AA174" s="12">
        <f>'Description Sheet'!N138</f>
        <v>0</v>
      </c>
      <c r="AB174" s="415"/>
    </row>
    <row r="175" spans="1:28" hidden="1">
      <c r="A175" s="14"/>
      <c r="B175" s="19">
        <v>13</v>
      </c>
      <c r="C175" s="19">
        <v>96</v>
      </c>
      <c r="D175" s="122">
        <f>'Description Sheet'!B139</f>
        <v>12.4</v>
      </c>
      <c r="E175" s="128" t="str">
        <f>'Description Sheet'!C139</f>
        <v>Bin Room</v>
      </c>
      <c r="F175" s="408"/>
      <c r="G175" s="404"/>
      <c r="H175" s="408"/>
      <c r="I175" s="404"/>
      <c r="J175" s="408"/>
      <c r="K175" s="404"/>
      <c r="L175" s="408"/>
      <c r="M175" s="404"/>
      <c r="N175" s="408"/>
      <c r="O175" s="404"/>
      <c r="P175" s="408"/>
      <c r="Q175" s="404"/>
      <c r="R175" s="408"/>
      <c r="S175" s="404"/>
      <c r="T175" s="408"/>
      <c r="U175" s="404"/>
      <c r="V175" s="408"/>
      <c r="W175" s="404"/>
      <c r="X175" s="410"/>
      <c r="Y175" s="207"/>
      <c r="Z175" s="432" t="str">
        <f>IF('Maintenance Schedule'!Z175="","",'Maintenance Schedule'!Z175)</f>
        <v/>
      </c>
      <c r="AA175" s="12">
        <f>'Description Sheet'!N139</f>
        <v>0</v>
      </c>
      <c r="AB175" s="415"/>
    </row>
    <row r="176" spans="1:28" hidden="1">
      <c r="A176" s="14"/>
      <c r="B176" s="19">
        <v>13</v>
      </c>
      <c r="C176" s="19">
        <v>97</v>
      </c>
      <c r="D176" s="122">
        <f>'Description Sheet'!B140</f>
        <v>12.5</v>
      </c>
      <c r="E176" s="128" t="str">
        <f>'Description Sheet'!C140</f>
        <v>Pool Area (Re-Surfacing)</v>
      </c>
      <c r="F176" s="408"/>
      <c r="G176" s="404"/>
      <c r="H176" s="408"/>
      <c r="I176" s="404"/>
      <c r="J176" s="408"/>
      <c r="K176" s="404"/>
      <c r="L176" s="408"/>
      <c r="M176" s="404"/>
      <c r="N176" s="408"/>
      <c r="O176" s="404"/>
      <c r="P176" s="408"/>
      <c r="Q176" s="404"/>
      <c r="R176" s="408"/>
      <c r="S176" s="404"/>
      <c r="T176" s="408"/>
      <c r="U176" s="404"/>
      <c r="V176" s="408"/>
      <c r="W176" s="404"/>
      <c r="X176" s="410"/>
      <c r="Y176" s="207"/>
      <c r="Z176" s="432" t="str">
        <f>IF('Maintenance Schedule'!Z176="","",'Maintenance Schedule'!Z176)</f>
        <v/>
      </c>
      <c r="AA176" s="12">
        <f>'Description Sheet'!N140</f>
        <v>0</v>
      </c>
      <c r="AB176" s="415"/>
    </row>
    <row r="177" spans="1:28" hidden="1">
      <c r="A177" s="14"/>
      <c r="B177" s="19">
        <v>13</v>
      </c>
      <c r="C177" s="19">
        <v>98</v>
      </c>
      <c r="D177" s="122">
        <f>'Description Sheet'!B141</f>
        <v>12.6</v>
      </c>
      <c r="E177" s="128" t="str">
        <f>'Description Sheet'!C141</f>
        <v>Pool Area (Maintenance/Repairs Savings)</v>
      </c>
      <c r="F177" s="408"/>
      <c r="G177" s="404"/>
      <c r="H177" s="410"/>
      <c r="I177" s="405"/>
      <c r="J177" s="410"/>
      <c r="K177" s="405"/>
      <c r="L177" s="410"/>
      <c r="M177" s="405"/>
      <c r="N177" s="410"/>
      <c r="O177" s="405"/>
      <c r="P177" s="410"/>
      <c r="Q177" s="405"/>
      <c r="R177" s="410"/>
      <c r="S177" s="405"/>
      <c r="T177" s="410"/>
      <c r="U177" s="405"/>
      <c r="V177" s="410"/>
      <c r="W177" s="405"/>
      <c r="X177" s="410"/>
      <c r="Y177" s="207"/>
      <c r="Z177" s="432" t="str">
        <f>IF('Maintenance Schedule'!Z177="","",'Maintenance Schedule'!Z177)</f>
        <v/>
      </c>
      <c r="AA177" s="12">
        <f>'Description Sheet'!N141</f>
        <v>0</v>
      </c>
      <c r="AB177" s="415"/>
    </row>
    <row r="178" spans="1:28" hidden="1">
      <c r="A178" s="14"/>
      <c r="B178" s="19">
        <v>13</v>
      </c>
      <c r="C178" s="19">
        <v>99</v>
      </c>
      <c r="D178" s="122">
        <f>'Description Sheet'!B142</f>
        <v>12.7</v>
      </c>
      <c r="E178" s="128" t="str">
        <f>'Description Sheet'!C142</f>
        <v>blank</v>
      </c>
      <c r="F178" s="408"/>
      <c r="G178" s="404"/>
      <c r="H178" s="410"/>
      <c r="I178" s="405"/>
      <c r="J178" s="410"/>
      <c r="K178" s="405"/>
      <c r="L178" s="410"/>
      <c r="M178" s="405"/>
      <c r="N178" s="410"/>
      <c r="O178" s="405"/>
      <c r="P178" s="410"/>
      <c r="Q178" s="405"/>
      <c r="R178" s="410"/>
      <c r="S178" s="405"/>
      <c r="T178" s="410"/>
      <c r="U178" s="405"/>
      <c r="V178" s="410"/>
      <c r="W178" s="405"/>
      <c r="X178" s="410"/>
      <c r="Y178" s="207"/>
      <c r="Z178" s="432" t="str">
        <f>IF('Maintenance Schedule'!Z178="","",'Maintenance Schedule'!Z178)</f>
        <v/>
      </c>
      <c r="AA178" s="12">
        <f>'Description Sheet'!N142</f>
        <v>0</v>
      </c>
      <c r="AB178" s="415"/>
    </row>
    <row r="179" spans="1:28" hidden="1">
      <c r="A179" s="14"/>
      <c r="B179" s="19">
        <v>13</v>
      </c>
      <c r="C179" s="19">
        <v>100</v>
      </c>
      <c r="D179" s="122">
        <f>'Description Sheet'!B143</f>
        <v>12.8</v>
      </c>
      <c r="E179" s="128" t="str">
        <f>'Description Sheet'!C143</f>
        <v>blank</v>
      </c>
      <c r="F179" s="408"/>
      <c r="G179" s="404"/>
      <c r="H179" s="410"/>
      <c r="I179" s="405"/>
      <c r="J179" s="410"/>
      <c r="K179" s="405"/>
      <c r="L179" s="410"/>
      <c r="M179" s="405"/>
      <c r="N179" s="410"/>
      <c r="O179" s="405"/>
      <c r="P179" s="410"/>
      <c r="Q179" s="405"/>
      <c r="R179" s="410"/>
      <c r="S179" s="405"/>
      <c r="T179" s="410"/>
      <c r="U179" s="405"/>
      <c r="V179" s="410"/>
      <c r="W179" s="405"/>
      <c r="X179" s="410"/>
      <c r="Y179" s="207"/>
      <c r="Z179" s="432" t="str">
        <f>IF('Maintenance Schedule'!Z179="","",'Maintenance Schedule'!Z179)</f>
        <v/>
      </c>
      <c r="AA179" s="12">
        <f>'Description Sheet'!N143</f>
        <v>0</v>
      </c>
      <c r="AB179" s="415"/>
    </row>
    <row r="180" spans="1:28" ht="19" thickBot="1">
      <c r="A180" s="14"/>
      <c r="B180" s="19"/>
      <c r="C180" s="19"/>
      <c r="D180" s="122"/>
      <c r="E180" s="214"/>
      <c r="F180" s="223"/>
      <c r="G180" s="206"/>
      <c r="H180" s="225"/>
      <c r="I180" s="207"/>
      <c r="J180" s="225"/>
      <c r="K180" s="207"/>
      <c r="L180" s="225"/>
      <c r="M180" s="207"/>
      <c r="N180" s="225"/>
      <c r="O180" s="207"/>
      <c r="P180" s="225"/>
      <c r="Q180" s="207"/>
      <c r="R180" s="225"/>
      <c r="S180" s="207"/>
      <c r="T180" s="225"/>
      <c r="U180" s="207"/>
      <c r="V180" s="225"/>
      <c r="W180" s="207"/>
      <c r="X180" s="223"/>
      <c r="Y180" s="207"/>
      <c r="Z180" s="431"/>
      <c r="AA180" s="12"/>
      <c r="AB180" s="415"/>
    </row>
    <row r="181" spans="1:28" ht="20" thickBot="1">
      <c r="A181" s="14" t="s">
        <v>64</v>
      </c>
      <c r="B181" s="19"/>
      <c r="C181" s="19"/>
      <c r="D181" s="124"/>
      <c r="E181" s="125" t="s">
        <v>31</v>
      </c>
      <c r="F181" s="126">
        <v>0</v>
      </c>
      <c r="G181" s="206"/>
      <c r="H181" s="127"/>
      <c r="I181" s="426"/>
      <c r="J181" s="127"/>
      <c r="K181" s="426"/>
      <c r="L181" s="127"/>
      <c r="M181" s="426"/>
      <c r="N181" s="127"/>
      <c r="O181" s="426"/>
      <c r="P181" s="127"/>
      <c r="Q181" s="426"/>
      <c r="R181" s="127"/>
      <c r="S181" s="426"/>
      <c r="T181" s="127"/>
      <c r="U181" s="426"/>
      <c r="V181" s="127"/>
      <c r="W181" s="426"/>
      <c r="X181" s="127"/>
      <c r="Y181" s="425"/>
      <c r="Z181" s="431"/>
      <c r="AA181" s="12"/>
      <c r="AB181" s="415"/>
    </row>
    <row r="182" spans="1:28" ht="19" thickBot="1">
      <c r="A182" s="14" t="s">
        <v>65</v>
      </c>
      <c r="B182" s="19"/>
      <c r="C182" s="19"/>
      <c r="D182" s="122"/>
      <c r="E182" s="128" t="s">
        <v>43</v>
      </c>
      <c r="F182" s="129">
        <f>'Year (2021-2022)'!H146</f>
        <v>3000</v>
      </c>
      <c r="G182" s="206"/>
      <c r="H182" s="129">
        <f>'Year (2022-2023)'!H146</f>
        <v>3240</v>
      </c>
      <c r="I182" s="206"/>
      <c r="J182" s="129">
        <f>'Year (2023-2024)'!H146</f>
        <v>3499.2000000000003</v>
      </c>
      <c r="K182" s="206"/>
      <c r="L182" s="129">
        <f>'Year (2024-2025)'!H146</f>
        <v>3779.1360000000004</v>
      </c>
      <c r="M182" s="206"/>
      <c r="N182" s="129">
        <f>'Year (2025-2026)'!H146</f>
        <v>4081.4668800000009</v>
      </c>
      <c r="O182" s="206"/>
      <c r="P182" s="129">
        <f>'Year (2026-2027)'!H146</f>
        <v>4407.9842304000013</v>
      </c>
      <c r="Q182" s="206"/>
      <c r="R182" s="129">
        <f>'Year (2027-2028)'!H146</f>
        <v>4760.6229688320018</v>
      </c>
      <c r="S182" s="206"/>
      <c r="T182" s="129">
        <f>'Year (2028-2029)'!H146</f>
        <v>5141.4728063385619</v>
      </c>
      <c r="U182" s="206"/>
      <c r="V182" s="129">
        <f>'Year (2029-2030)'!H146</f>
        <v>5552.7906308456468</v>
      </c>
      <c r="W182" s="206"/>
      <c r="X182" s="129">
        <f>'Year (2030-2031)'!H146</f>
        <v>5997.013881313299</v>
      </c>
      <c r="Y182" s="207"/>
      <c r="Z182" s="431"/>
      <c r="AA182" s="12"/>
      <c r="AB182" s="416">
        <f>F182+H182+J182+L182+N182+P182+R182+T182+V182+X182</f>
        <v>43459.687397729518</v>
      </c>
    </row>
    <row r="183" spans="1:28">
      <c r="A183" s="14" t="s">
        <v>66</v>
      </c>
      <c r="B183" s="19"/>
      <c r="C183" s="19"/>
      <c r="D183" s="122"/>
      <c r="E183" s="130" t="s">
        <v>48</v>
      </c>
      <c r="F183" s="447">
        <v>3000</v>
      </c>
      <c r="G183" s="206"/>
      <c r="H183" s="447">
        <v>3240</v>
      </c>
      <c r="I183" s="206"/>
      <c r="J183" s="447">
        <v>3499.2000000000003</v>
      </c>
      <c r="K183" s="206"/>
      <c r="L183" s="447">
        <v>3779.1360000000004</v>
      </c>
      <c r="M183" s="206"/>
      <c r="N183" s="447">
        <v>4081.4668800000009</v>
      </c>
      <c r="O183" s="206"/>
      <c r="P183" s="447">
        <v>4407.9842304000013</v>
      </c>
      <c r="Q183" s="206"/>
      <c r="R183" s="447">
        <v>4760.6229688320018</v>
      </c>
      <c r="S183" s="206"/>
      <c r="T183" s="447">
        <v>5141.4728063385628</v>
      </c>
      <c r="U183" s="206"/>
      <c r="V183" s="447">
        <v>5552.7906308456477</v>
      </c>
      <c r="W183" s="206"/>
      <c r="X183" s="447">
        <v>5997.0138813132999</v>
      </c>
      <c r="Y183" s="207"/>
      <c r="Z183" s="431"/>
      <c r="AA183" s="12"/>
      <c r="AB183" s="415"/>
    </row>
    <row r="184" spans="1:28" ht="20" thickBot="1">
      <c r="A184" s="14"/>
      <c r="B184" s="15"/>
      <c r="C184" s="15"/>
      <c r="D184" s="134"/>
      <c r="E184" s="242"/>
      <c r="F184" s="243"/>
      <c r="G184" s="206"/>
      <c r="H184" s="244"/>
      <c r="I184" s="206"/>
      <c r="J184" s="244"/>
      <c r="K184" s="206"/>
      <c r="L184" s="244"/>
      <c r="M184" s="206"/>
      <c r="N184" s="244"/>
      <c r="O184" s="206"/>
      <c r="P184" s="244"/>
      <c r="Q184" s="206"/>
      <c r="R184" s="244"/>
      <c r="S184" s="206"/>
      <c r="T184" s="244"/>
      <c r="U184" s="206"/>
      <c r="V184" s="244"/>
      <c r="W184" s="206"/>
      <c r="X184" s="245"/>
      <c r="Y184" s="207"/>
      <c r="Z184" s="431"/>
      <c r="AA184" s="12"/>
      <c r="AB184" s="415"/>
    </row>
    <row r="185" spans="1:28" ht="5.25" customHeight="1" thickBot="1">
      <c r="A185" s="14" t="s">
        <v>57</v>
      </c>
      <c r="B185" s="15"/>
      <c r="C185" s="15"/>
      <c r="D185" s="135"/>
      <c r="E185" s="246"/>
      <c r="F185" s="247"/>
      <c r="G185" s="206"/>
      <c r="H185" s="248"/>
      <c r="I185" s="206"/>
      <c r="J185" s="248"/>
      <c r="K185" s="206"/>
      <c r="L185" s="248"/>
      <c r="M185" s="206"/>
      <c r="N185" s="248"/>
      <c r="O185" s="206"/>
      <c r="P185" s="248"/>
      <c r="Q185" s="206"/>
      <c r="R185" s="248"/>
      <c r="S185" s="206"/>
      <c r="T185" s="248"/>
      <c r="U185" s="206"/>
      <c r="V185" s="248"/>
      <c r="W185" s="206"/>
      <c r="X185" s="248"/>
      <c r="Y185" s="207"/>
      <c r="Z185" s="431"/>
      <c r="AA185" s="12"/>
      <c r="AB185" s="415"/>
    </row>
    <row r="186" spans="1:28" ht="20" thickBot="1">
      <c r="A186" s="14"/>
      <c r="B186" s="15"/>
      <c r="C186" s="15"/>
      <c r="D186" s="183"/>
      <c r="E186" s="175" t="s">
        <v>44</v>
      </c>
      <c r="F186" s="187">
        <f>'Year (2021-2022)'!H148</f>
        <v>2213142.5</v>
      </c>
      <c r="G186" s="249"/>
      <c r="H186" s="429">
        <f>'Year (2022-2023)'!H148</f>
        <v>56968.92</v>
      </c>
      <c r="I186" s="249"/>
      <c r="J186" s="429">
        <f>'Year (2023-2024)'!H148</f>
        <v>129381.75360000001</v>
      </c>
      <c r="K186" s="249"/>
      <c r="L186" s="429">
        <f>'Year (2024-2025)'!H148</f>
        <v>66448.54828800002</v>
      </c>
      <c r="M186" s="249"/>
      <c r="N186" s="429">
        <f>'Year (2025-2026)'!H148</f>
        <v>137693.72715264003</v>
      </c>
      <c r="O186" s="249"/>
      <c r="P186" s="429">
        <f>'Year (2026-2027)'!H148</f>
        <v>162983.74759096323</v>
      </c>
      <c r="Q186" s="249"/>
      <c r="R186" s="429">
        <f>'Year (2027-2028)'!H148</f>
        <v>83706.033660973088</v>
      </c>
      <c r="S186" s="249"/>
      <c r="T186" s="429">
        <f>'Year (2028-2029)'!H148</f>
        <v>90402.516353850922</v>
      </c>
      <c r="U186" s="249"/>
      <c r="V186" s="429">
        <f>'Year (2029-2030)'!H148</f>
        <v>295008.66063556756</v>
      </c>
      <c r="W186" s="249"/>
      <c r="X186" s="188">
        <f>'Year (2030-2031)'!H148</f>
        <v>3790108.3751798254</v>
      </c>
      <c r="Y186" s="207"/>
      <c r="Z186" s="431"/>
      <c r="AA186" s="12"/>
      <c r="AB186" s="416">
        <f>F186+H186+J186+L186+N186+P186+R186+T186+V186+X186</f>
        <v>7025844.7824618202</v>
      </c>
    </row>
    <row r="187" spans="1:28" ht="20" thickBot="1">
      <c r="A187" s="14"/>
      <c r="B187" s="31"/>
      <c r="C187" s="31"/>
      <c r="D187" s="184"/>
      <c r="E187" s="175" t="s">
        <v>59</v>
      </c>
      <c r="F187" s="176">
        <f t="shared" ref="F187:X187" si="0">SUM(F17,F30,F41,F51,F61,F84,F112,F126,F136,F146,F159,F169,F183)</f>
        <v>2248946.79900032</v>
      </c>
      <c r="G187" s="206"/>
      <c r="H187" s="187">
        <f t="shared" si="0"/>
        <v>502180.20567861933</v>
      </c>
      <c r="I187" s="234"/>
      <c r="J187" s="187">
        <f t="shared" si="0"/>
        <v>506737.71927861933</v>
      </c>
      <c r="K187" s="234"/>
      <c r="L187" s="187">
        <f t="shared" si="0"/>
        <v>517534.11425589939</v>
      </c>
      <c r="M187" s="234"/>
      <c r="N187" s="187">
        <f t="shared" si="0"/>
        <v>522849.99811893934</v>
      </c>
      <c r="O187" s="234"/>
      <c r="P187" s="187">
        <f t="shared" si="0"/>
        <v>537829.31318826752</v>
      </c>
      <c r="Q187" s="234"/>
      <c r="R187" s="187">
        <f t="shared" si="0"/>
        <v>551429.66149788699</v>
      </c>
      <c r="S187" s="234"/>
      <c r="T187" s="187">
        <f t="shared" si="0"/>
        <v>558126.14419076475</v>
      </c>
      <c r="U187" s="234"/>
      <c r="V187" s="187">
        <f t="shared" si="0"/>
        <v>565358.34549907292</v>
      </c>
      <c r="W187" s="206"/>
      <c r="X187" s="176">
        <f t="shared" si="0"/>
        <v>608157.84357686527</v>
      </c>
      <c r="Y187" s="207"/>
      <c r="Z187" s="436"/>
      <c r="AA187" s="104"/>
      <c r="AB187" s="415"/>
    </row>
    <row r="188" spans="1:28" ht="20" hidden="1" thickBot="1">
      <c r="A188" s="14"/>
      <c r="B188" s="31"/>
      <c r="C188" s="31"/>
      <c r="D188" s="119"/>
      <c r="E188" s="175" t="s">
        <v>60</v>
      </c>
      <c r="F188" s="182">
        <f>F189+F187-F186</f>
        <v>35804.299000320025</v>
      </c>
      <c r="G188" s="233"/>
      <c r="H188" s="182">
        <f>F188+H187-H186</f>
        <v>481015.58467893937</v>
      </c>
      <c r="I188" s="233"/>
      <c r="J188" s="182">
        <f>H188+J187-J186</f>
        <v>858371.55035755865</v>
      </c>
      <c r="K188" s="233"/>
      <c r="L188" s="182">
        <f>J188+L187-L186</f>
        <v>1309457.116325458</v>
      </c>
      <c r="M188" s="233"/>
      <c r="N188" s="182">
        <f>L188+N187-N186</f>
        <v>1694613.3872917574</v>
      </c>
      <c r="O188" s="233"/>
      <c r="P188" s="182">
        <f>N188+P187-P186</f>
        <v>2069458.9528890615</v>
      </c>
      <c r="Q188" s="233"/>
      <c r="R188" s="182">
        <f>P188+R187-R186</f>
        <v>2537182.5807259758</v>
      </c>
      <c r="S188" s="233"/>
      <c r="T188" s="182">
        <f>R188+T187-T186</f>
        <v>3004906.2085628896</v>
      </c>
      <c r="U188" s="233"/>
      <c r="V188" s="182">
        <f>T188+V187-V186</f>
        <v>3275255.8934263946</v>
      </c>
      <c r="W188" s="233"/>
      <c r="X188" s="182">
        <f>V188+X187-X186</f>
        <v>93305.361823434476</v>
      </c>
      <c r="Y188" s="250"/>
      <c r="Z188" s="436"/>
      <c r="AA188" s="46"/>
      <c r="AB188" s="415"/>
    </row>
    <row r="189" spans="1:28" ht="20" thickBot="1">
      <c r="A189" s="14"/>
      <c r="B189" s="31"/>
      <c r="C189" s="31"/>
      <c r="D189" s="119"/>
      <c r="E189" s="185" t="s">
        <v>58</v>
      </c>
      <c r="F189" s="186">
        <f>SUM(F15,F28,F39,F49,F59,F82,F110,F124,F134,F144,F157,F167,F181)</f>
        <v>0</v>
      </c>
      <c r="G189" s="233"/>
      <c r="H189" s="205"/>
      <c r="I189" s="204"/>
      <c r="J189" s="205"/>
      <c r="K189" s="204"/>
      <c r="L189" s="205"/>
      <c r="M189" s="204"/>
      <c r="N189" s="205"/>
      <c r="O189" s="204"/>
      <c r="P189" s="205"/>
      <c r="Q189" s="204"/>
      <c r="R189" s="205"/>
      <c r="S189" s="204"/>
      <c r="T189" s="205"/>
      <c r="U189" s="204"/>
      <c r="V189" s="205"/>
      <c r="W189" s="204"/>
      <c r="X189" s="428"/>
      <c r="Y189" s="430"/>
      <c r="Z189" s="436"/>
      <c r="AA189" s="46"/>
      <c r="AB189" s="415"/>
    </row>
    <row r="190" spans="1:28" ht="20" thickBot="1">
      <c r="A190" s="14"/>
      <c r="B190" s="31"/>
      <c r="C190" s="31"/>
      <c r="D190" s="119"/>
      <c r="E190" s="251"/>
      <c r="F190" s="205"/>
      <c r="G190" s="204"/>
      <c r="H190" s="205"/>
      <c r="I190" s="204"/>
      <c r="J190" s="205"/>
      <c r="K190" s="204"/>
      <c r="L190" s="205"/>
      <c r="M190" s="204"/>
      <c r="N190" s="205"/>
      <c r="O190" s="204"/>
      <c r="P190" s="205"/>
      <c r="Q190" s="204"/>
      <c r="R190" s="205"/>
      <c r="S190" s="204"/>
      <c r="T190" s="205"/>
      <c r="U190" s="204"/>
      <c r="V190" s="205"/>
      <c r="W190" s="204"/>
      <c r="X190" s="252"/>
      <c r="Y190" s="250"/>
      <c r="Z190" s="436"/>
      <c r="AA190" s="46"/>
      <c r="AB190" s="415"/>
    </row>
    <row r="191" spans="1:28" ht="20" thickBot="1">
      <c r="A191" s="14"/>
      <c r="B191" s="31"/>
      <c r="C191" s="31"/>
      <c r="D191" s="119"/>
      <c r="E191" s="136" t="s">
        <v>61</v>
      </c>
      <c r="F191" s="137">
        <f>F187/F194</f>
        <v>66145.494088244712</v>
      </c>
      <c r="G191" s="138"/>
      <c r="H191" s="137">
        <f>H187/F194</f>
        <v>14770.006049371157</v>
      </c>
      <c r="I191" s="138"/>
      <c r="J191" s="137">
        <f>J187/F194</f>
        <v>14904.050567018216</v>
      </c>
      <c r="K191" s="138"/>
      <c r="L191" s="137">
        <f>L187/F194</f>
        <v>15221.591595761747</v>
      </c>
      <c r="M191" s="138"/>
      <c r="N191" s="137">
        <f>N187/F194</f>
        <v>15377.941121145275</v>
      </c>
      <c r="O191" s="138"/>
      <c r="P191" s="137">
        <f>P187/F194</f>
        <v>15818.509211419632</v>
      </c>
      <c r="Q191" s="138"/>
      <c r="R191" s="137">
        <f>R187/F194</f>
        <v>16218.519455820206</v>
      </c>
      <c r="S191" s="138"/>
      <c r="T191" s="137">
        <f>T187/F194</f>
        <v>16415.474829140141</v>
      </c>
      <c r="U191" s="138"/>
      <c r="V191" s="137">
        <f>V187/F194</f>
        <v>16628.186632325673</v>
      </c>
      <c r="W191" s="138"/>
      <c r="X191" s="137">
        <f>X187/F194</f>
        <v>17886.995399319567</v>
      </c>
      <c r="Y191" s="207"/>
      <c r="Z191" s="436"/>
      <c r="AA191" s="46"/>
      <c r="AB191" s="415"/>
    </row>
    <row r="192" spans="1:28" ht="20" thickBot="1">
      <c r="A192" s="14"/>
      <c r="B192" s="31"/>
      <c r="C192" s="31"/>
      <c r="D192" s="119"/>
      <c r="E192" s="136" t="s">
        <v>62</v>
      </c>
      <c r="F192" s="137">
        <f>F191/12</f>
        <v>5512.1245073537257</v>
      </c>
      <c r="G192" s="138"/>
      <c r="H192" s="137">
        <f>H191/12</f>
        <v>1230.8338374475964</v>
      </c>
      <c r="I192" s="138"/>
      <c r="J192" s="137">
        <f>J191/12</f>
        <v>1242.0042139181846</v>
      </c>
      <c r="K192" s="138"/>
      <c r="L192" s="137">
        <f>L191/12</f>
        <v>1268.4659663134789</v>
      </c>
      <c r="M192" s="138"/>
      <c r="N192" s="137">
        <f>N191/12</f>
        <v>1281.4950934287729</v>
      </c>
      <c r="O192" s="138"/>
      <c r="P192" s="137">
        <f>P191/12</f>
        <v>1318.2091009516359</v>
      </c>
      <c r="Q192" s="138"/>
      <c r="R192" s="137">
        <f>R191/12</f>
        <v>1351.5432879850171</v>
      </c>
      <c r="S192" s="138"/>
      <c r="T192" s="137">
        <f>T191/12</f>
        <v>1367.9562357616785</v>
      </c>
      <c r="U192" s="138"/>
      <c r="V192" s="137">
        <f>V191/12</f>
        <v>1385.6822193604728</v>
      </c>
      <c r="W192" s="138"/>
      <c r="X192" s="137">
        <f>X191/12</f>
        <v>1490.5829499432973</v>
      </c>
      <c r="Y192" s="207"/>
      <c r="Z192" s="437"/>
      <c r="AA192" s="103"/>
      <c r="AB192" s="419"/>
    </row>
    <row r="193" spans="1:66" ht="20" thickBot="1">
      <c r="A193" s="14"/>
      <c r="B193" s="31"/>
      <c r="C193" s="31"/>
      <c r="D193" s="119"/>
      <c r="E193" s="251"/>
      <c r="F193" s="251"/>
      <c r="G193" s="204"/>
      <c r="H193" s="251"/>
      <c r="I193" s="206"/>
      <c r="J193" s="251"/>
      <c r="K193" s="251"/>
      <c r="L193" s="251"/>
      <c r="M193" s="251"/>
      <c r="N193" s="251"/>
      <c r="O193" s="251"/>
      <c r="P193" s="251"/>
      <c r="Q193" s="251"/>
      <c r="R193" s="253"/>
      <c r="S193" s="253"/>
      <c r="T193" s="253"/>
      <c r="U193" s="253"/>
      <c r="V193" s="253"/>
      <c r="W193" s="251"/>
      <c r="X193" s="251"/>
      <c r="Y193" s="251"/>
      <c r="Z193" s="440"/>
      <c r="AA193" s="46"/>
      <c r="AB193" s="415"/>
    </row>
    <row r="194" spans="1:66" ht="20" thickBot="1">
      <c r="A194" s="14"/>
      <c r="B194" s="31"/>
      <c r="C194" s="31"/>
      <c r="D194" s="119"/>
      <c r="E194" s="136" t="s">
        <v>54</v>
      </c>
      <c r="F194" s="525">
        <v>34</v>
      </c>
      <c r="G194" s="526"/>
      <c r="H194" s="527"/>
      <c r="I194" s="206"/>
      <c r="J194" s="251"/>
      <c r="K194" s="251"/>
      <c r="L194" s="251"/>
      <c r="M194" s="251"/>
      <c r="N194" s="251"/>
      <c r="O194" s="251"/>
      <c r="P194" s="251"/>
      <c r="Q194" s="251"/>
      <c r="R194" s="253"/>
      <c r="S194" s="253"/>
      <c r="T194" s="253"/>
      <c r="U194" s="253"/>
      <c r="V194" s="253"/>
      <c r="W194" s="251"/>
      <c r="X194" s="251"/>
      <c r="Y194" s="251"/>
      <c r="Z194" s="440"/>
      <c r="AA194" s="46"/>
      <c r="AB194" s="415"/>
    </row>
    <row r="195" spans="1:66" ht="20" thickBot="1">
      <c r="A195" s="14"/>
      <c r="B195" s="31"/>
      <c r="C195" s="31"/>
      <c r="D195" s="119"/>
      <c r="E195" s="251"/>
      <c r="F195" s="251"/>
      <c r="G195" s="251"/>
      <c r="H195" s="251"/>
      <c r="I195" s="206"/>
      <c r="J195" s="251"/>
      <c r="K195" s="251"/>
      <c r="L195" s="251"/>
      <c r="M195" s="251"/>
      <c r="N195" s="251"/>
      <c r="O195" s="251"/>
      <c r="P195" s="251"/>
      <c r="Q195" s="251"/>
      <c r="R195" s="433"/>
      <c r="S195" s="253"/>
      <c r="T195" s="253"/>
      <c r="U195" s="253"/>
      <c r="V195" s="253"/>
      <c r="W195" s="251"/>
      <c r="X195" s="251"/>
      <c r="Y195" s="251"/>
      <c r="Z195" s="440"/>
      <c r="AA195" s="46"/>
      <c r="AB195" s="415"/>
    </row>
    <row r="196" spans="1:66" ht="20" thickBot="1">
      <c r="A196" s="102" t="s">
        <v>63</v>
      </c>
      <c r="B196" s="31"/>
      <c r="C196" s="31"/>
      <c r="D196" s="119"/>
      <c r="E196" s="136" t="s">
        <v>52</v>
      </c>
      <c r="F196" s="514">
        <v>0.08</v>
      </c>
      <c r="G196" s="515"/>
      <c r="H196" s="516"/>
      <c r="I196" s="206"/>
      <c r="J196" s="251"/>
      <c r="K196" s="251"/>
      <c r="L196" s="251"/>
      <c r="M196" s="251"/>
      <c r="N196" s="251"/>
      <c r="O196" s="253"/>
      <c r="P196" s="253"/>
      <c r="Q196" s="253"/>
      <c r="R196" s="253"/>
      <c r="S196" s="253"/>
      <c r="T196" s="251"/>
      <c r="U196" s="251"/>
      <c r="V196" s="251"/>
      <c r="W196" s="254"/>
      <c r="X196" s="255"/>
      <c r="Y196" s="256"/>
      <c r="Z196" s="441"/>
      <c r="AA196" s="31"/>
      <c r="AB196" s="415"/>
      <c r="BL196" s="7"/>
      <c r="BM196" s="7"/>
      <c r="BN196" s="7"/>
    </row>
    <row r="197" spans="1:66" ht="19" thickBot="1">
      <c r="A197" s="14"/>
      <c r="B197" s="31"/>
      <c r="C197" s="31"/>
      <c r="D197" s="16"/>
      <c r="E197" s="47"/>
      <c r="F197" s="48"/>
      <c r="G197" s="48"/>
      <c r="H197" s="48"/>
      <c r="I197" s="257"/>
      <c r="J197" s="258"/>
      <c r="K197" s="258"/>
      <c r="L197" s="258"/>
      <c r="M197" s="258"/>
      <c r="N197" s="258"/>
      <c r="O197" s="258"/>
      <c r="P197" s="258"/>
      <c r="Q197" s="258"/>
      <c r="R197" s="258"/>
      <c r="S197" s="258"/>
      <c r="T197" s="258"/>
      <c r="U197" s="258"/>
      <c r="V197" s="258"/>
      <c r="W197" s="258"/>
      <c r="X197" s="258"/>
      <c r="Y197" s="259"/>
      <c r="Z197" s="440"/>
      <c r="AA197" s="31"/>
      <c r="AB197" s="415"/>
      <c r="BN197" s="7"/>
    </row>
    <row r="198" spans="1:66" ht="16.5" customHeight="1">
      <c r="A198" s="14"/>
      <c r="B198" s="31"/>
      <c r="C198" s="31"/>
      <c r="D198" s="450" t="str">
        <f>'Description Sheet'!B148</f>
        <v>Please Note: The above figures are estimates only based on our experience, measures taken and current rates.  An 8% escalation has been allowed for per anum .  This pricing includes 15% VAT.  Some rates have furthermore been adjusted to try and accommodate P&amp;G's.  An allowance for THC to undertake an annual inspection in order to update the maintenance plan and budget should be allowed for.</v>
      </c>
      <c r="E198" s="451"/>
      <c r="F198" s="451"/>
      <c r="G198" s="451"/>
      <c r="H198" s="452"/>
      <c r="I198" s="260"/>
      <c r="J198" s="258"/>
      <c r="K198" s="258"/>
      <c r="L198" s="258"/>
      <c r="M198" s="258"/>
      <c r="N198" s="258"/>
      <c r="O198" s="258"/>
      <c r="P198" s="258"/>
      <c r="Q198" s="258"/>
      <c r="R198" s="258"/>
      <c r="S198" s="258"/>
      <c r="T198" s="258"/>
      <c r="U198" s="258"/>
      <c r="V198" s="258"/>
      <c r="W198" s="258"/>
      <c r="X198" s="258"/>
      <c r="Y198" s="259"/>
      <c r="Z198" s="440"/>
      <c r="AA198" s="31"/>
      <c r="AB198" s="415"/>
      <c r="BN198" s="7"/>
    </row>
    <row r="199" spans="1:66" ht="16.5" customHeight="1">
      <c r="A199" s="14"/>
      <c r="B199" s="31"/>
      <c r="C199" s="31"/>
      <c r="D199" s="453"/>
      <c r="E199" s="454"/>
      <c r="F199" s="454"/>
      <c r="G199" s="454"/>
      <c r="H199" s="455"/>
      <c r="I199" s="260"/>
      <c r="J199" s="258"/>
      <c r="K199" s="258"/>
      <c r="L199" s="258"/>
      <c r="M199" s="258"/>
      <c r="N199" s="258"/>
      <c r="O199" s="258"/>
      <c r="P199" s="258"/>
      <c r="Q199" s="258"/>
      <c r="R199" s="258"/>
      <c r="S199" s="258"/>
      <c r="T199" s="258"/>
      <c r="U199" s="258"/>
      <c r="V199" s="258"/>
      <c r="W199" s="258"/>
      <c r="X199" s="258"/>
      <c r="Y199" s="259"/>
      <c r="Z199" s="440"/>
      <c r="AA199" s="31"/>
      <c r="AB199" s="415"/>
      <c r="BN199" s="7"/>
    </row>
    <row r="200" spans="1:66" ht="16.5" customHeight="1">
      <c r="A200" s="14"/>
      <c r="B200" s="31"/>
      <c r="C200" s="31"/>
      <c r="D200" s="453"/>
      <c r="E200" s="454"/>
      <c r="F200" s="454"/>
      <c r="G200" s="454"/>
      <c r="H200" s="455"/>
      <c r="I200" s="260"/>
      <c r="J200" s="258"/>
      <c r="K200" s="258"/>
      <c r="L200" s="258"/>
      <c r="M200" s="258"/>
      <c r="N200" s="258"/>
      <c r="O200" s="258"/>
      <c r="P200" s="258"/>
      <c r="Q200" s="258"/>
      <c r="R200" s="258"/>
      <c r="S200" s="258"/>
      <c r="T200" s="258"/>
      <c r="U200" s="258"/>
      <c r="V200" s="258"/>
      <c r="W200" s="258"/>
      <c r="X200" s="258"/>
      <c r="Y200" s="259"/>
      <c r="Z200" s="440"/>
      <c r="AA200" s="31"/>
      <c r="AB200" s="415"/>
      <c r="BN200" s="7"/>
    </row>
    <row r="201" spans="1:66" ht="15" customHeight="1">
      <c r="A201" s="14"/>
      <c r="B201" s="31"/>
      <c r="C201" s="31"/>
      <c r="D201" s="453"/>
      <c r="E201" s="454"/>
      <c r="F201" s="454"/>
      <c r="G201" s="454"/>
      <c r="H201" s="455"/>
      <c r="I201" s="260"/>
      <c r="J201" s="258"/>
      <c r="K201" s="258"/>
      <c r="L201" s="258"/>
      <c r="M201" s="258"/>
      <c r="N201" s="258"/>
      <c r="O201" s="258"/>
      <c r="P201" s="258"/>
      <c r="Q201" s="258"/>
      <c r="R201" s="258"/>
      <c r="S201" s="258"/>
      <c r="T201" s="258"/>
      <c r="U201" s="258"/>
      <c r="V201" s="258"/>
      <c r="W201" s="258"/>
      <c r="X201" s="258"/>
      <c r="Y201" s="259"/>
      <c r="Z201" s="440"/>
      <c r="AA201" s="31"/>
      <c r="AB201" s="415"/>
      <c r="BN201" s="7"/>
    </row>
    <row r="202" spans="1:66" ht="15" customHeight="1">
      <c r="A202" s="14"/>
      <c r="B202" s="31"/>
      <c r="C202" s="31"/>
      <c r="D202" s="453"/>
      <c r="E202" s="454"/>
      <c r="F202" s="454"/>
      <c r="G202" s="454"/>
      <c r="H202" s="455"/>
      <c r="I202" s="260"/>
      <c r="J202" s="258"/>
      <c r="K202" s="258"/>
      <c r="L202" s="258"/>
      <c r="M202" s="258"/>
      <c r="N202" s="258"/>
      <c r="O202" s="258"/>
      <c r="P202" s="258"/>
      <c r="Q202" s="258"/>
      <c r="R202" s="258"/>
      <c r="S202" s="258"/>
      <c r="T202" s="258"/>
      <c r="U202" s="258"/>
      <c r="V202" s="258"/>
      <c r="W202" s="258"/>
      <c r="X202" s="258"/>
      <c r="Y202" s="258"/>
      <c r="Z202" s="440"/>
      <c r="AA202" s="46"/>
      <c r="AB202" s="415"/>
    </row>
    <row r="203" spans="1:66" ht="19" thickBot="1">
      <c r="A203" s="14"/>
      <c r="B203" s="31"/>
      <c r="C203" s="31"/>
      <c r="D203" s="456"/>
      <c r="E203" s="457"/>
      <c r="F203" s="457"/>
      <c r="G203" s="457"/>
      <c r="H203" s="458"/>
      <c r="I203" s="260"/>
      <c r="J203" s="258"/>
      <c r="K203" s="258"/>
      <c r="L203" s="258"/>
      <c r="M203" s="258"/>
      <c r="N203" s="258"/>
      <c r="O203" s="258"/>
      <c r="P203" s="258"/>
      <c r="Q203" s="258"/>
      <c r="R203" s="258"/>
      <c r="S203" s="258"/>
      <c r="T203" s="258"/>
      <c r="U203" s="258"/>
      <c r="V203" s="258"/>
      <c r="W203" s="258"/>
      <c r="X203" s="258"/>
      <c r="Y203" s="258"/>
      <c r="Z203" s="440"/>
      <c r="AA203" s="46"/>
      <c r="AB203" s="415"/>
    </row>
    <row r="204" spans="1:66" s="98" customFormat="1">
      <c r="A204" s="101"/>
      <c r="B204" s="31"/>
      <c r="C204" s="31"/>
      <c r="D204" s="449" t="s">
        <v>56</v>
      </c>
      <c r="E204" s="449"/>
      <c r="F204" s="261" t="str">
        <f>A1</f>
        <v>v18.2</v>
      </c>
      <c r="G204" s="258"/>
      <c r="H204" s="258"/>
      <c r="I204" s="258"/>
      <c r="J204" s="258"/>
      <c r="K204" s="258"/>
      <c r="L204" s="258"/>
      <c r="M204" s="258"/>
      <c r="N204" s="258"/>
      <c r="O204" s="258"/>
      <c r="P204" s="258"/>
      <c r="Q204" s="258"/>
      <c r="R204" s="258"/>
      <c r="S204" s="258"/>
      <c r="T204" s="258"/>
      <c r="U204" s="258"/>
      <c r="V204" s="258"/>
      <c r="W204" s="258"/>
      <c r="X204" s="258"/>
      <c r="Y204" s="258"/>
      <c r="Z204" s="440"/>
      <c r="AA204" s="46"/>
      <c r="AB204" s="415"/>
      <c r="AC204" s="402"/>
      <c r="AD204" s="99"/>
      <c r="AE204" s="99"/>
      <c r="AF204" s="99"/>
      <c r="AG204" s="99"/>
      <c r="AH204" s="99"/>
      <c r="AI204" s="99"/>
      <c r="AJ204" s="99"/>
      <c r="AK204" s="99"/>
      <c r="AL204" s="99"/>
      <c r="AM204" s="99"/>
      <c r="AN204" s="99"/>
      <c r="AO204" s="99"/>
      <c r="AP204" s="99"/>
      <c r="AQ204" s="99"/>
      <c r="AR204" s="99"/>
      <c r="AS204" s="99"/>
      <c r="AT204" s="99"/>
      <c r="AU204" s="99"/>
      <c r="AV204" s="99"/>
      <c r="AW204" s="99"/>
      <c r="AX204" s="99"/>
      <c r="AY204" s="99"/>
      <c r="AZ204" s="99"/>
      <c r="BA204" s="99"/>
      <c r="BB204" s="99"/>
      <c r="BC204" s="99"/>
      <c r="BD204" s="99"/>
      <c r="BE204" s="99"/>
      <c r="BF204" s="99"/>
      <c r="BG204" s="99"/>
      <c r="BH204" s="99"/>
      <c r="BI204" s="99"/>
      <c r="BJ204" s="99"/>
      <c r="BK204" s="99"/>
      <c r="BL204" s="99"/>
      <c r="BM204" s="99"/>
      <c r="BN204" s="99"/>
    </row>
    <row r="205" spans="1:66">
      <c r="A205" s="101"/>
      <c r="B205" s="31"/>
      <c r="C205" s="31"/>
      <c r="D205" s="90"/>
      <c r="E205" s="258"/>
      <c r="F205" s="258"/>
      <c r="G205" s="258"/>
      <c r="H205" s="258"/>
      <c r="I205" s="258"/>
      <c r="J205" s="258"/>
      <c r="K205" s="258"/>
      <c r="L205" s="258"/>
      <c r="M205" s="258"/>
      <c r="N205" s="258"/>
      <c r="O205" s="258"/>
      <c r="P205" s="258"/>
      <c r="Q205" s="258"/>
      <c r="R205" s="258"/>
      <c r="S205" s="258"/>
      <c r="T205" s="258"/>
      <c r="U205" s="258"/>
      <c r="V205" s="258"/>
      <c r="W205" s="258"/>
      <c r="X205" s="258"/>
      <c r="Y205" s="258"/>
      <c r="Z205" s="440"/>
      <c r="AA205" s="46"/>
      <c r="AB205" s="415"/>
    </row>
  </sheetData>
  <sheetProtection algorithmName="SHA-512" hashValue="TNAvgeuoBSXMepAOyqrWiVbBtHAUbvNUdiK2exq34PB/D/4T1X1r3MBDRYFT+az+TujRSKQBrcU8bWtpz6RnPw==" saltValue="foEOyPW5YUySU2lYPurtag==" spinCount="100000" sheet="1" objects="1" scenarios="1"/>
  <mergeCells count="9">
    <mergeCell ref="F196:H196"/>
    <mergeCell ref="D198:H203"/>
    <mergeCell ref="D204:E204"/>
    <mergeCell ref="D1:J2"/>
    <mergeCell ref="K1:AB2"/>
    <mergeCell ref="Z3:Z5"/>
    <mergeCell ref="AA3:AA5"/>
    <mergeCell ref="F5:X5"/>
    <mergeCell ref="F194:H194"/>
  </mergeCells>
  <pageMargins left="0.70866141732283472" right="0.70866141732283472" top="0.74803149606299213" bottom="0.74803149606299213" header="0.31496062992125984" footer="0.31496062992125984"/>
  <pageSetup scale="28" orientation="landscape" r:id="rId1"/>
  <rowBreaks count="2" manualBreakCount="2">
    <brk id="62" max="29" man="1"/>
    <brk id="127" max="29" man="1"/>
  </rowBreaks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BT152"/>
  <sheetViews>
    <sheetView view="pageBreakPreview" zoomScale="70" zoomScaleNormal="70" zoomScaleSheetLayoutView="70" workbookViewId="0">
      <pane xSplit="16" ySplit="6" topLeftCell="Q112" activePane="bottomRight" state="frozen"/>
      <selection pane="topRight"/>
      <selection pane="bottomLeft"/>
      <selection pane="bottomRight" activeCell="I117" sqref="I117"/>
    </sheetView>
  </sheetViews>
  <sheetFormatPr baseColWidth="10" defaultColWidth="8.83203125" defaultRowHeight="16"/>
  <cols>
    <col min="1" max="1" width="2.33203125" customWidth="1"/>
    <col min="2" max="2" width="6.5" style="173" hidden="1" customWidth="1"/>
    <col min="3" max="3" width="62.5" style="169" customWidth="1"/>
    <col min="4" max="4" width="1.5" style="169" customWidth="1"/>
    <col min="5" max="5" width="12.83203125" style="170" hidden="1" customWidth="1"/>
    <col min="6" max="6" width="6.5" style="169" customWidth="1"/>
    <col min="7" max="7" width="11.33203125" style="169" customWidth="1"/>
    <col min="8" max="8" width="17.5" style="169" bestFit="1" customWidth="1"/>
    <col min="9" max="9" width="17.5" style="169" customWidth="1"/>
    <col min="10" max="10" width="2.1640625" customWidth="1"/>
    <col min="11" max="11" width="5.83203125" style="4" hidden="1" customWidth="1"/>
    <col min="12" max="12" width="6.1640625" hidden="1" customWidth="1"/>
    <col min="13" max="13" width="7.5" hidden="1" customWidth="1"/>
    <col min="14" max="14" width="20.5" hidden="1" customWidth="1"/>
    <col min="15" max="15" width="27.33203125" hidden="1" customWidth="1"/>
    <col min="16" max="16" width="59" hidden="1" customWidth="1"/>
    <col min="17" max="17" width="68.5" hidden="1" customWidth="1"/>
    <col min="18" max="18" width="9.1640625" hidden="1" customWidth="1"/>
    <col min="19" max="19" width="13.5" bestFit="1" customWidth="1"/>
  </cols>
  <sheetData>
    <row r="1" spans="1:18" ht="17" thickBot="1">
      <c r="A1" s="30"/>
      <c r="B1" s="171"/>
      <c r="C1" s="117"/>
      <c r="D1" s="118"/>
      <c r="E1" s="139"/>
      <c r="F1" s="117"/>
      <c r="G1" s="117"/>
      <c r="H1" s="117"/>
      <c r="I1" s="117"/>
      <c r="J1" s="30"/>
      <c r="K1" s="41"/>
      <c r="L1" s="30"/>
      <c r="M1" s="30"/>
      <c r="N1" s="44"/>
      <c r="O1" s="44"/>
      <c r="P1" s="44"/>
      <c r="Q1" s="30"/>
      <c r="R1" s="44"/>
    </row>
    <row r="2" spans="1:18" ht="15" customHeight="1">
      <c r="A2" s="34"/>
      <c r="B2" s="543" t="str">
        <f>'Maintenance Schedule'!D1</f>
        <v>KNIGHTSBRIDGE - DESK REVIEW MAINTENANCE SCHEDULE (2021)</v>
      </c>
      <c r="C2" s="544"/>
      <c r="D2" s="544"/>
      <c r="E2" s="544"/>
      <c r="F2" s="545"/>
      <c r="G2" s="140"/>
      <c r="H2" s="140"/>
      <c r="I2" s="140"/>
      <c r="J2" s="14"/>
      <c r="K2" s="15"/>
      <c r="L2" s="33"/>
      <c r="M2" s="537" t="s">
        <v>22</v>
      </c>
      <c r="N2" s="538"/>
      <c r="O2" s="538"/>
      <c r="P2" s="539"/>
      <c r="Q2" s="34"/>
      <c r="R2" s="44"/>
    </row>
    <row r="3" spans="1:18" ht="37.5" customHeight="1" thickBot="1">
      <c r="A3" s="38"/>
      <c r="B3" s="546"/>
      <c r="C3" s="547"/>
      <c r="D3" s="547"/>
      <c r="E3" s="547"/>
      <c r="F3" s="548"/>
      <c r="G3" s="141"/>
      <c r="H3" s="141"/>
      <c r="I3" s="141"/>
      <c r="J3" s="14"/>
      <c r="K3" s="15"/>
      <c r="L3" s="33"/>
      <c r="M3" s="540"/>
      <c r="N3" s="541"/>
      <c r="O3" s="541"/>
      <c r="P3" s="542"/>
      <c r="Q3" s="14"/>
      <c r="R3" s="44"/>
    </row>
    <row r="4" spans="1:18" ht="32.25" customHeight="1" thickBot="1">
      <c r="A4" s="14"/>
      <c r="B4" s="460" t="s">
        <v>1</v>
      </c>
      <c r="C4" s="461"/>
      <c r="D4" s="461"/>
      <c r="E4" s="461"/>
      <c r="F4" s="461"/>
      <c r="G4" s="461"/>
      <c r="H4" s="461"/>
      <c r="I4" s="549"/>
      <c r="J4" s="14"/>
      <c r="K4" s="40"/>
      <c r="L4" s="33"/>
      <c r="M4" s="51" t="s">
        <v>26</v>
      </c>
      <c r="N4" s="51"/>
      <c r="O4" s="51"/>
      <c r="P4" s="52"/>
      <c r="Q4" s="14"/>
      <c r="R4" s="44"/>
    </row>
    <row r="5" spans="1:18" ht="19" thickBot="1">
      <c r="A5" s="14"/>
      <c r="B5" s="105"/>
      <c r="C5" s="106" t="str">
        <f>'Maintenance Schedule'!E4</f>
        <v>WORK DUE IN FINANCIAL YEAR</v>
      </c>
      <c r="D5" s="107"/>
      <c r="E5" s="550" t="str">
        <f>'Maintenance Schedule'!F4</f>
        <v>2021/2022</v>
      </c>
      <c r="F5" s="551"/>
      <c r="G5" s="551"/>
      <c r="H5" s="551"/>
      <c r="I5" s="552"/>
      <c r="J5" s="14"/>
      <c r="K5" s="40"/>
      <c r="L5" s="33"/>
      <c r="M5" s="53"/>
      <c r="N5" s="53"/>
      <c r="O5" s="53"/>
      <c r="P5" s="54"/>
      <c r="Q5" s="14"/>
      <c r="R5" s="44"/>
    </row>
    <row r="6" spans="1:18" ht="18" thickBot="1">
      <c r="A6" s="14"/>
      <c r="B6" s="108" t="s">
        <v>19</v>
      </c>
      <c r="C6" s="142" t="s">
        <v>0</v>
      </c>
      <c r="D6" s="107"/>
      <c r="E6" s="143" t="s">
        <v>23</v>
      </c>
      <c r="F6" s="144" t="s">
        <v>2</v>
      </c>
      <c r="G6" s="145" t="s">
        <v>3</v>
      </c>
      <c r="H6" s="144" t="s">
        <v>4</v>
      </c>
      <c r="I6" s="144" t="s">
        <v>5</v>
      </c>
      <c r="J6" s="32"/>
      <c r="K6" s="40"/>
      <c r="L6" s="33"/>
      <c r="M6" s="59" t="s">
        <v>2</v>
      </c>
      <c r="N6" s="59" t="s">
        <v>3</v>
      </c>
      <c r="O6" s="59" t="s">
        <v>4</v>
      </c>
      <c r="P6" s="59" t="s">
        <v>5</v>
      </c>
      <c r="Q6" s="14"/>
      <c r="R6" s="44"/>
    </row>
    <row r="7" spans="1:18" ht="8.25" hidden="1" customHeight="1" thickBot="1">
      <c r="A7" s="14"/>
      <c r="B7" s="109"/>
      <c r="C7" s="146"/>
      <c r="D7" s="147"/>
      <c r="E7" s="148"/>
      <c r="F7" s="148"/>
      <c r="G7" s="148"/>
      <c r="H7" s="148"/>
      <c r="I7" s="149"/>
      <c r="J7" s="60"/>
      <c r="K7" s="84"/>
      <c r="L7" s="60"/>
      <c r="M7" s="505"/>
      <c r="N7" s="506"/>
      <c r="O7" s="506"/>
      <c r="P7" s="507"/>
      <c r="Q7" s="14"/>
      <c r="R7" s="44"/>
    </row>
    <row r="8" spans="1:18" ht="17" thickBot="1">
      <c r="A8" s="14"/>
      <c r="B8" s="108">
        <f>'Description Sheet'!B7</f>
        <v>1</v>
      </c>
      <c r="C8" s="150" t="str">
        <f>'Description Sheet'!C7</f>
        <v>Electrical Areas</v>
      </c>
      <c r="D8" s="107"/>
      <c r="E8" s="110"/>
      <c r="F8" s="110"/>
      <c r="G8" s="110"/>
      <c r="H8" s="110"/>
      <c r="I8" s="151"/>
      <c r="J8" s="32"/>
      <c r="K8" s="40"/>
      <c r="L8" s="33"/>
      <c r="M8" s="24"/>
      <c r="N8" s="25"/>
      <c r="O8" s="25"/>
      <c r="P8" s="63"/>
      <c r="Q8" s="14"/>
      <c r="R8" s="44"/>
    </row>
    <row r="9" spans="1:18">
      <c r="A9" s="14"/>
      <c r="B9" s="109">
        <f>'Description Sheet'!B8</f>
        <v>1.1000000000000001</v>
      </c>
      <c r="C9" s="152" t="str">
        <f>'Description Sheet'!C8</f>
        <v>General Electrics and Lighting (Replacement/Repairs)</v>
      </c>
      <c r="D9" s="107"/>
      <c r="E9" s="153" t="str">
        <f>IF('Maintenance Schedule'!F8="x","x","")</f>
        <v>x</v>
      </c>
      <c r="F9" s="153" t="str">
        <f>IF(E9="x","No","")</f>
        <v>No</v>
      </c>
      <c r="G9" s="154">
        <f>IF(E9="x",1,0)</f>
        <v>1</v>
      </c>
      <c r="H9" s="155">
        <f>IF(E9="x",P9,0)</f>
        <v>4500</v>
      </c>
      <c r="I9" s="156">
        <f>IF(E9="x",G9*H9,0)</f>
        <v>4500</v>
      </c>
      <c r="J9" s="14"/>
      <c r="K9" s="85"/>
      <c r="L9" s="32"/>
      <c r="M9" s="66" t="str">
        <f>'Description Sheet'!K8</f>
        <v>No</v>
      </c>
      <c r="N9" s="67">
        <f>'Description Sheet'!L8</f>
        <v>1</v>
      </c>
      <c r="O9" s="68">
        <f>'Description Sheet'!M8</f>
        <v>4500</v>
      </c>
      <c r="P9" s="69">
        <f>N9*O9</f>
        <v>4500</v>
      </c>
      <c r="Q9" s="14"/>
      <c r="R9" s="44"/>
    </row>
    <row r="10" spans="1:18" hidden="1">
      <c r="A10" s="14"/>
      <c r="B10" s="109">
        <f>'Description Sheet'!B9</f>
        <v>1.2</v>
      </c>
      <c r="C10" s="152" t="str">
        <f>'Description Sheet'!C9</f>
        <v>Generators (Maintenance Savings)</v>
      </c>
      <c r="D10" s="107"/>
      <c r="E10" s="153" t="str">
        <f>IF('Maintenance Schedule'!F9="x","x","")</f>
        <v/>
      </c>
      <c r="F10" s="153" t="str">
        <f t="shared" ref="F10:F14" si="0">IF(E10="x","No","")</f>
        <v/>
      </c>
      <c r="G10" s="154">
        <f t="shared" ref="G10:G14" si="1">IF(E10="x",1,0)</f>
        <v>0</v>
      </c>
      <c r="H10" s="155">
        <f>IF(E10="x",P10,0)</f>
        <v>0</v>
      </c>
      <c r="I10" s="156">
        <f>IF(E10="x",G10*H10,0)</f>
        <v>0</v>
      </c>
      <c r="J10" s="14"/>
      <c r="K10" s="85"/>
      <c r="L10" s="32"/>
      <c r="M10" s="66" t="str">
        <f>'Description Sheet'!K9</f>
        <v>No</v>
      </c>
      <c r="N10" s="67">
        <f>'Description Sheet'!L9</f>
        <v>0</v>
      </c>
      <c r="O10" s="68">
        <f>'Description Sheet'!M9</f>
        <v>4706</v>
      </c>
      <c r="P10" s="69">
        <f>N10*O10</f>
        <v>0</v>
      </c>
      <c r="Q10" s="14"/>
      <c r="R10" s="44"/>
    </row>
    <row r="11" spans="1:18">
      <c r="A11" s="14"/>
      <c r="B11" s="109">
        <f>'Description Sheet'!B10</f>
        <v>1.3</v>
      </c>
      <c r="C11" s="152" t="str">
        <f>'Description Sheet'!C10</f>
        <v>Main Gate &amp; Motor (Replacement Savings)</v>
      </c>
      <c r="D11" s="107"/>
      <c r="E11" s="153" t="str">
        <f>IF('Maintenance Schedule'!F10="x","x","")</f>
        <v>x</v>
      </c>
      <c r="F11" s="153" t="str">
        <f t="shared" si="0"/>
        <v>No</v>
      </c>
      <c r="G11" s="154">
        <f t="shared" si="1"/>
        <v>1</v>
      </c>
      <c r="H11" s="155">
        <f>IF(E11="x",P11,0)</f>
        <v>2941</v>
      </c>
      <c r="I11" s="156">
        <f>IF(E11="x",G11*H11,0)</f>
        <v>2941</v>
      </c>
      <c r="J11" s="14"/>
      <c r="K11" s="85"/>
      <c r="L11" s="32"/>
      <c r="M11" s="66" t="str">
        <f>'Description Sheet'!K10</f>
        <v>No</v>
      </c>
      <c r="N11" s="67">
        <f>'Description Sheet'!L10</f>
        <v>1</v>
      </c>
      <c r="O11" s="68">
        <f>'Description Sheet'!M10</f>
        <v>2941</v>
      </c>
      <c r="P11" s="69">
        <f>N11*O11</f>
        <v>2941</v>
      </c>
      <c r="Q11" s="14"/>
      <c r="R11" s="44"/>
    </row>
    <row r="12" spans="1:18" hidden="1">
      <c r="A12" s="14"/>
      <c r="B12" s="109">
        <f>'Description Sheet'!B11</f>
        <v>1.4</v>
      </c>
      <c r="C12" s="152" t="str">
        <f>'Description Sheet'!C11</f>
        <v>Tranformers (Service Interval 3 Years)</v>
      </c>
      <c r="D12" s="107"/>
      <c r="E12" s="153" t="str">
        <f>IF('Maintenance Schedule'!F11="x","x","")</f>
        <v/>
      </c>
      <c r="F12" s="153" t="str">
        <f t="shared" si="0"/>
        <v/>
      </c>
      <c r="G12" s="154">
        <f t="shared" si="1"/>
        <v>0</v>
      </c>
      <c r="H12" s="155">
        <f t="shared" ref="H12:H14" si="2">IF(E12="x",P12,0)</f>
        <v>0</v>
      </c>
      <c r="I12" s="156">
        <f t="shared" ref="I12:I14" si="3">IF(E12="x",G12*H12,0)</f>
        <v>0</v>
      </c>
      <c r="J12" s="14"/>
      <c r="K12" s="85"/>
      <c r="L12" s="32"/>
      <c r="M12" s="66" t="str">
        <f>'Description Sheet'!K11</f>
        <v>No</v>
      </c>
      <c r="N12" s="67">
        <f>'Description Sheet'!L11</f>
        <v>0</v>
      </c>
      <c r="O12" s="68">
        <f>'Description Sheet'!M11</f>
        <v>28296</v>
      </c>
      <c r="P12" s="69">
        <f t="shared" ref="P12:P14" si="4">N12*O12</f>
        <v>0</v>
      </c>
      <c r="Q12" s="14"/>
      <c r="R12" s="44"/>
    </row>
    <row r="13" spans="1:18" hidden="1">
      <c r="A13" s="14"/>
      <c r="B13" s="109">
        <f>'Description Sheet'!B12</f>
        <v>1.5</v>
      </c>
      <c r="C13" s="152" t="str">
        <f>'Description Sheet'!C12</f>
        <v>blank</v>
      </c>
      <c r="D13" s="107"/>
      <c r="E13" s="153" t="str">
        <f>IF('Maintenance Schedule'!F12="x","x","")</f>
        <v/>
      </c>
      <c r="F13" s="153" t="str">
        <f t="shared" si="0"/>
        <v/>
      </c>
      <c r="G13" s="154">
        <f t="shared" si="1"/>
        <v>0</v>
      </c>
      <c r="H13" s="155">
        <f t="shared" si="2"/>
        <v>0</v>
      </c>
      <c r="I13" s="156">
        <f t="shared" si="3"/>
        <v>0</v>
      </c>
      <c r="J13" s="14"/>
      <c r="K13" s="85"/>
      <c r="L13" s="32"/>
      <c r="M13" s="66" t="str">
        <f>'Description Sheet'!K12</f>
        <v>No</v>
      </c>
      <c r="N13" s="67">
        <f>'Description Sheet'!L12</f>
        <v>0</v>
      </c>
      <c r="O13" s="68">
        <f>'Description Sheet'!M12</f>
        <v>0</v>
      </c>
      <c r="P13" s="69">
        <f t="shared" si="4"/>
        <v>0</v>
      </c>
      <c r="Q13" s="14"/>
      <c r="R13" s="44"/>
    </row>
    <row r="14" spans="1:18" hidden="1">
      <c r="A14" s="14"/>
      <c r="B14" s="109">
        <f>'Description Sheet'!B13</f>
        <v>1.6</v>
      </c>
      <c r="C14" s="152" t="str">
        <f>'Description Sheet'!C13</f>
        <v>blank</v>
      </c>
      <c r="D14" s="107"/>
      <c r="E14" s="153" t="str">
        <f>IF('Maintenance Schedule'!F13="x","x","")</f>
        <v/>
      </c>
      <c r="F14" s="153" t="str">
        <f t="shared" si="0"/>
        <v/>
      </c>
      <c r="G14" s="154">
        <f t="shared" si="1"/>
        <v>0</v>
      </c>
      <c r="H14" s="155">
        <f t="shared" si="2"/>
        <v>0</v>
      </c>
      <c r="I14" s="156">
        <f t="shared" si="3"/>
        <v>0</v>
      </c>
      <c r="J14" s="14"/>
      <c r="K14" s="85"/>
      <c r="L14" s="32"/>
      <c r="M14" s="66" t="str">
        <f>'Description Sheet'!K13</f>
        <v>No</v>
      </c>
      <c r="N14" s="67">
        <f>'Description Sheet'!L13</f>
        <v>0</v>
      </c>
      <c r="O14" s="68">
        <f>'Description Sheet'!M13</f>
        <v>0</v>
      </c>
      <c r="P14" s="69">
        <f t="shared" si="4"/>
        <v>0</v>
      </c>
      <c r="Q14" s="14"/>
      <c r="R14" s="44"/>
    </row>
    <row r="15" spans="1:18" ht="17" thickBot="1">
      <c r="A15" s="14"/>
      <c r="B15" s="109"/>
      <c r="C15" s="152"/>
      <c r="D15" s="107"/>
      <c r="E15" s="153"/>
      <c r="F15" s="153"/>
      <c r="G15" s="154"/>
      <c r="H15" s="155"/>
      <c r="I15" s="157"/>
      <c r="J15" s="14"/>
      <c r="K15" s="85"/>
      <c r="L15" s="32"/>
      <c r="M15" s="70"/>
      <c r="N15" s="67"/>
      <c r="O15" s="68"/>
      <c r="P15" s="73"/>
      <c r="Q15" s="14"/>
      <c r="R15" s="44"/>
    </row>
    <row r="16" spans="1:18" s="4" customFormat="1" ht="15.75" customHeight="1" thickBot="1">
      <c r="A16" s="14"/>
      <c r="B16" s="109"/>
      <c r="C16" s="158"/>
      <c r="D16" s="107"/>
      <c r="E16" s="159"/>
      <c r="F16" s="528" t="s">
        <v>7</v>
      </c>
      <c r="G16" s="529"/>
      <c r="H16" s="530">
        <f>SUM(I9:I14)</f>
        <v>7441</v>
      </c>
      <c r="I16" s="531"/>
      <c r="J16" s="14"/>
      <c r="K16" s="15"/>
      <c r="L16" s="33"/>
      <c r="M16" s="508" t="s">
        <v>7</v>
      </c>
      <c r="N16" s="509"/>
      <c r="O16" s="421">
        <f>SUM(P9:P14)</f>
        <v>7441</v>
      </c>
      <c r="P16" s="422"/>
      <c r="Q16" s="14"/>
      <c r="R16" s="31"/>
    </row>
    <row r="17" spans="1:18" ht="17" thickBot="1">
      <c r="A17" s="14"/>
      <c r="B17" s="109">
        <f>'Description Sheet'!B16</f>
        <v>2</v>
      </c>
      <c r="C17" s="113" t="str">
        <f>'Description Sheet'!C16</f>
        <v>External Plumbing Areas</v>
      </c>
      <c r="D17" s="107"/>
      <c r="E17" s="110"/>
      <c r="F17" s="110"/>
      <c r="G17" s="110"/>
      <c r="H17" s="110"/>
      <c r="I17" s="151"/>
      <c r="J17" s="32"/>
      <c r="K17" s="40"/>
      <c r="L17" s="33"/>
      <c r="M17" s="24"/>
      <c r="N17" s="25"/>
      <c r="O17" s="25"/>
      <c r="P17" s="63"/>
      <c r="Q17" s="14"/>
      <c r="R17" s="44"/>
    </row>
    <row r="18" spans="1:18">
      <c r="A18" s="14"/>
      <c r="B18" s="109">
        <f>'Description Sheet'!B17</f>
        <v>2.1</v>
      </c>
      <c r="C18" s="152" t="str">
        <f>'Description Sheet'!C17</f>
        <v>General Plumbing Repairs/Upgrade (Stacks, Valves etc.)</v>
      </c>
      <c r="D18" s="107"/>
      <c r="E18" s="153" t="str">
        <f>IF('Maintenance Schedule'!F20="x","x","")</f>
        <v>x</v>
      </c>
      <c r="F18" s="153" t="str">
        <f>IF(E18="x","No","")</f>
        <v>No</v>
      </c>
      <c r="G18" s="154">
        <f>IF(E18="x",1,0)</f>
        <v>1</v>
      </c>
      <c r="H18" s="155">
        <f t="shared" ref="H18:H24" si="5">IF(E18="x",P18,0)</f>
        <v>25000</v>
      </c>
      <c r="I18" s="156">
        <f>IF(E18="x",G18*H18,0)</f>
        <v>25000</v>
      </c>
      <c r="J18" s="14"/>
      <c r="K18" s="15"/>
      <c r="L18" s="32"/>
      <c r="M18" s="70" t="str">
        <f>'Description Sheet'!K17</f>
        <v>No</v>
      </c>
      <c r="N18" s="67">
        <f>'Description Sheet'!L17</f>
        <v>1</v>
      </c>
      <c r="O18" s="73">
        <f>'Description Sheet'!M17</f>
        <v>25000</v>
      </c>
      <c r="P18" s="68">
        <f>N18*O18</f>
        <v>25000</v>
      </c>
      <c r="Q18" s="14"/>
      <c r="R18" s="44"/>
    </row>
    <row r="19" spans="1:18" hidden="1">
      <c r="A19" s="14"/>
      <c r="B19" s="109">
        <f>'Description Sheet'!B18</f>
        <v>2.2000000000000002</v>
      </c>
      <c r="C19" s="152" t="str">
        <f>'Description Sheet'!C18</f>
        <v>Rectify Reticalation Connections at Fire Hydrants</v>
      </c>
      <c r="D19" s="107"/>
      <c r="E19" s="153" t="str">
        <f>IF('Maintenance Schedule'!F21="x","x","")</f>
        <v/>
      </c>
      <c r="F19" s="153" t="str">
        <f t="shared" ref="F19:F24" si="6">IF(E19="x","No","")</f>
        <v/>
      </c>
      <c r="G19" s="154">
        <f t="shared" ref="G19:G24" si="7">IF(E19="x",1,0)</f>
        <v>0</v>
      </c>
      <c r="H19" s="155">
        <f t="shared" si="5"/>
        <v>0</v>
      </c>
      <c r="I19" s="156">
        <f>IF(E19="x",G19*H19,0)</f>
        <v>0</v>
      </c>
      <c r="J19" s="14"/>
      <c r="K19" s="15"/>
      <c r="L19" s="32"/>
      <c r="M19" s="70" t="str">
        <f>'Description Sheet'!K18</f>
        <v>No</v>
      </c>
      <c r="N19" s="67">
        <f>'Description Sheet'!L18</f>
        <v>0</v>
      </c>
      <c r="O19" s="73">
        <f>'Description Sheet'!M18</f>
        <v>54000</v>
      </c>
      <c r="P19" s="68">
        <f>N19*O19</f>
        <v>0</v>
      </c>
      <c r="Q19" s="14"/>
      <c r="R19" s="44"/>
    </row>
    <row r="20" spans="1:18" hidden="1">
      <c r="A20" s="14"/>
      <c r="B20" s="109">
        <f>'Description Sheet'!B19</f>
        <v>2.2999999999999998</v>
      </c>
      <c r="C20" s="152" t="str">
        <f>'Description Sheet'!C19</f>
        <v>Repairs to Storm Water Gullies</v>
      </c>
      <c r="D20" s="107"/>
      <c r="E20" s="153" t="str">
        <f>IF('Maintenance Schedule'!F22="x","x","")</f>
        <v/>
      </c>
      <c r="F20" s="153" t="str">
        <f t="shared" si="6"/>
        <v/>
      </c>
      <c r="G20" s="154">
        <f t="shared" si="7"/>
        <v>0</v>
      </c>
      <c r="H20" s="155">
        <f t="shared" si="5"/>
        <v>0</v>
      </c>
      <c r="I20" s="156">
        <f>IF(E20="x",G20*H20,0)</f>
        <v>0</v>
      </c>
      <c r="J20" s="14"/>
      <c r="K20" s="15"/>
      <c r="L20" s="32"/>
      <c r="M20" s="70" t="str">
        <f>'Description Sheet'!K19</f>
        <v>No</v>
      </c>
      <c r="N20" s="67">
        <f>'Description Sheet'!L19</f>
        <v>0</v>
      </c>
      <c r="O20" s="73">
        <f>'Description Sheet'!M19</f>
        <v>4860</v>
      </c>
      <c r="P20" s="68">
        <f>N20*O20</f>
        <v>0</v>
      </c>
      <c r="Q20" s="14"/>
      <c r="R20" s="44"/>
    </row>
    <row r="21" spans="1:18" hidden="1">
      <c r="A21" s="14"/>
      <c r="B21" s="109">
        <f>'Description Sheet'!B20</f>
        <v>2.4</v>
      </c>
      <c r="C21" s="152" t="str">
        <f>'Description Sheet'!C20</f>
        <v>Servicing of Full-Bore Piping</v>
      </c>
      <c r="D21" s="107"/>
      <c r="E21" s="153" t="str">
        <f>IF('Maintenance Schedule'!F23="x","x","")</f>
        <v/>
      </c>
      <c r="F21" s="153" t="str">
        <f t="shared" si="6"/>
        <v/>
      </c>
      <c r="G21" s="154">
        <f t="shared" si="7"/>
        <v>0</v>
      </c>
      <c r="H21" s="155">
        <f t="shared" si="5"/>
        <v>0</v>
      </c>
      <c r="I21" s="156">
        <f>IF(E21="x",G21*H21,0)</f>
        <v>0</v>
      </c>
      <c r="J21" s="14"/>
      <c r="K21" s="15"/>
      <c r="L21" s="32"/>
      <c r="M21" s="70" t="str">
        <f>'Description Sheet'!K20</f>
        <v>No</v>
      </c>
      <c r="N21" s="67">
        <f>'Description Sheet'!L20</f>
        <v>1</v>
      </c>
      <c r="O21" s="73">
        <f>'Description Sheet'!M20</f>
        <v>4706</v>
      </c>
      <c r="P21" s="68">
        <f>O21*N21</f>
        <v>4706</v>
      </c>
      <c r="Q21" s="14"/>
      <c r="R21" s="44"/>
    </row>
    <row r="22" spans="1:18" hidden="1">
      <c r="A22" s="14"/>
      <c r="B22" s="109">
        <f>'Description Sheet'!B21</f>
        <v>2.5</v>
      </c>
      <c r="C22" s="152" t="str">
        <f>'Description Sheet'!C21</f>
        <v>Replacing of Cast Iron Stack Pipes with PVC</v>
      </c>
      <c r="D22" s="107"/>
      <c r="E22" s="153" t="str">
        <f>IF('Maintenance Schedule'!F24="x","x","")</f>
        <v/>
      </c>
      <c r="F22" s="153" t="str">
        <f t="shared" si="6"/>
        <v/>
      </c>
      <c r="G22" s="154">
        <f t="shared" si="7"/>
        <v>0</v>
      </c>
      <c r="H22" s="155">
        <f t="shared" si="5"/>
        <v>0</v>
      </c>
      <c r="I22" s="156">
        <f t="shared" ref="I22:I24" si="8">IF(E22="x",G22*H22,0)</f>
        <v>0</v>
      </c>
      <c r="J22" s="14"/>
      <c r="K22" s="15"/>
      <c r="L22" s="33"/>
      <c r="M22" s="70" t="str">
        <f>'Description Sheet'!K21</f>
        <v>lm</v>
      </c>
      <c r="N22" s="67">
        <f>'Description Sheet'!L21</f>
        <v>1</v>
      </c>
      <c r="O22" s="73">
        <f>'Description Sheet'!M21</f>
        <v>111780</v>
      </c>
      <c r="P22" s="68">
        <f t="shared" ref="P22:P24" si="9">O22*N22</f>
        <v>111780</v>
      </c>
      <c r="Q22" s="14"/>
      <c r="R22" s="44"/>
    </row>
    <row r="23" spans="1:18" hidden="1">
      <c r="A23" s="14"/>
      <c r="B23" s="109">
        <f>'Description Sheet'!B22</f>
        <v>2.6</v>
      </c>
      <c r="C23" s="152" t="str">
        <f>'Description Sheet'!C22</f>
        <v>Water Tanks and Pumps (Maintenance/Repairs Savings)</v>
      </c>
      <c r="D23" s="107"/>
      <c r="E23" s="153" t="str">
        <f>IF('Maintenance Schedule'!F25="x","x","")</f>
        <v/>
      </c>
      <c r="F23" s="153" t="str">
        <f t="shared" si="6"/>
        <v/>
      </c>
      <c r="G23" s="154">
        <f t="shared" si="7"/>
        <v>0</v>
      </c>
      <c r="H23" s="155">
        <f t="shared" si="5"/>
        <v>0</v>
      </c>
      <c r="I23" s="156">
        <f t="shared" si="8"/>
        <v>0</v>
      </c>
      <c r="J23" s="14"/>
      <c r="K23" s="15"/>
      <c r="L23" s="33"/>
      <c r="M23" s="70" t="str">
        <f>'Description Sheet'!K22</f>
        <v>No</v>
      </c>
      <c r="N23" s="67">
        <f>'Description Sheet'!L22</f>
        <v>0</v>
      </c>
      <c r="O23" s="73">
        <f>'Description Sheet'!M22</f>
        <v>10800</v>
      </c>
      <c r="P23" s="68">
        <f t="shared" si="9"/>
        <v>0</v>
      </c>
      <c r="Q23" s="14"/>
      <c r="R23" s="44"/>
    </row>
    <row r="24" spans="1:18" hidden="1">
      <c r="A24" s="14"/>
      <c r="B24" s="109">
        <f>'Description Sheet'!B23</f>
        <v>2.7</v>
      </c>
      <c r="C24" s="152" t="str">
        <f>'Description Sheet'!C23</f>
        <v>Asbestos Water Tanks (Replace)</v>
      </c>
      <c r="D24" s="107"/>
      <c r="E24" s="153" t="str">
        <f>IF('Maintenance Schedule'!F26="x","x","")</f>
        <v/>
      </c>
      <c r="F24" s="153" t="str">
        <f t="shared" si="6"/>
        <v/>
      </c>
      <c r="G24" s="154">
        <f t="shared" si="7"/>
        <v>0</v>
      </c>
      <c r="H24" s="155">
        <f t="shared" si="5"/>
        <v>0</v>
      </c>
      <c r="I24" s="156">
        <f t="shared" si="8"/>
        <v>0</v>
      </c>
      <c r="J24" s="14"/>
      <c r="K24" s="15"/>
      <c r="L24" s="33"/>
      <c r="M24" s="70" t="str">
        <f>'Description Sheet'!K23</f>
        <v>No</v>
      </c>
      <c r="N24" s="67">
        <f>'Description Sheet'!L23</f>
        <v>0</v>
      </c>
      <c r="O24" s="73">
        <f>'Description Sheet'!M23</f>
        <v>31028</v>
      </c>
      <c r="P24" s="68">
        <f t="shared" si="9"/>
        <v>0</v>
      </c>
      <c r="Q24" s="14"/>
      <c r="R24" s="44"/>
    </row>
    <row r="25" spans="1:18" ht="17" thickBot="1">
      <c r="A25" s="14"/>
      <c r="B25" s="109"/>
      <c r="C25" s="152"/>
      <c r="D25" s="107"/>
      <c r="E25" s="160"/>
      <c r="F25" s="161"/>
      <c r="G25" s="161"/>
      <c r="H25" s="155"/>
      <c r="I25" s="155"/>
      <c r="J25" s="14"/>
      <c r="K25" s="15"/>
      <c r="L25" s="33"/>
      <c r="M25" s="76"/>
      <c r="N25" s="76"/>
      <c r="O25" s="77"/>
      <c r="P25" s="77"/>
      <c r="Q25" s="14"/>
      <c r="R25" s="44"/>
    </row>
    <row r="26" spans="1:18" s="4" customFormat="1" ht="15.75" customHeight="1" thickBot="1">
      <c r="A26" s="14"/>
      <c r="B26" s="109"/>
      <c r="C26" s="152"/>
      <c r="D26" s="107"/>
      <c r="E26" s="159"/>
      <c r="F26" s="532" t="s">
        <v>7</v>
      </c>
      <c r="G26" s="533"/>
      <c r="H26" s="530">
        <f>SUM(I18:I24)</f>
        <v>25000</v>
      </c>
      <c r="I26" s="531"/>
      <c r="J26" s="14"/>
      <c r="K26" s="15"/>
      <c r="L26" s="33"/>
      <c r="M26" s="508" t="s">
        <v>7</v>
      </c>
      <c r="N26" s="509"/>
      <c r="O26" s="510">
        <f>SUM(P18:P24)</f>
        <v>141486</v>
      </c>
      <c r="P26" s="511"/>
      <c r="Q26" s="14"/>
      <c r="R26" s="31"/>
    </row>
    <row r="27" spans="1:18" ht="17" hidden="1" thickBot="1">
      <c r="A27" s="14"/>
      <c r="B27" s="109">
        <f>'Description Sheet'!B26</f>
        <v>3</v>
      </c>
      <c r="C27" s="113" t="str">
        <f>'Description Sheet'!C26</f>
        <v>Heating and Cooling Systems</v>
      </c>
      <c r="D27" s="107"/>
      <c r="E27" s="110"/>
      <c r="F27" s="110"/>
      <c r="G27" s="110"/>
      <c r="H27" s="110"/>
      <c r="I27" s="151"/>
      <c r="J27" s="32"/>
      <c r="K27" s="40"/>
      <c r="L27" s="33"/>
      <c r="M27" s="24"/>
      <c r="N27" s="25"/>
      <c r="O27" s="25"/>
      <c r="P27" s="63"/>
      <c r="Q27" s="14"/>
      <c r="R27" s="44"/>
    </row>
    <row r="28" spans="1:18" hidden="1">
      <c r="A28" s="14"/>
      <c r="B28" s="109">
        <f>'Description Sheet'!B27</f>
        <v>3.1</v>
      </c>
      <c r="C28" s="152" t="str">
        <f>'Description Sheet'!C27</f>
        <v>Ventilation Shafts (Maintenance &amp; Upgrade Savings)</v>
      </c>
      <c r="D28" s="107"/>
      <c r="E28" s="153" t="str">
        <f>IF('Maintenance Schedule'!F33="x","x","")</f>
        <v/>
      </c>
      <c r="F28" s="153" t="str">
        <f>IF(E28="x","No","")</f>
        <v/>
      </c>
      <c r="G28" s="154">
        <f>IF(E28="x",1,0)</f>
        <v>0</v>
      </c>
      <c r="H28" s="155">
        <f t="shared" ref="H28:H32" si="10">IF(E28="x",P28,0)</f>
        <v>0</v>
      </c>
      <c r="I28" s="156">
        <f>IF(E28="x",G28*H28,0)</f>
        <v>0</v>
      </c>
      <c r="J28" s="14"/>
      <c r="K28" s="15"/>
      <c r="L28" s="32"/>
      <c r="M28" s="70" t="str">
        <f>'Description Sheet'!K27</f>
        <v>No</v>
      </c>
      <c r="N28" s="67">
        <f>'Description Sheet'!L27</f>
        <v>0</v>
      </c>
      <c r="O28" s="73">
        <f>'Description Sheet'!M27</f>
        <v>5883</v>
      </c>
      <c r="P28" s="68">
        <f>N28*O28</f>
        <v>0</v>
      </c>
      <c r="Q28" s="14"/>
      <c r="R28" s="44"/>
    </row>
    <row r="29" spans="1:18" hidden="1">
      <c r="A29" s="14"/>
      <c r="B29" s="109">
        <f>'Description Sheet'!B28</f>
        <v>3.2</v>
      </c>
      <c r="C29" s="152" t="str">
        <f>'Description Sheet'!C28</f>
        <v>Air Conditioning Units (Maintenance &amp; Upgrade Savings)</v>
      </c>
      <c r="D29" s="107"/>
      <c r="E29" s="153" t="str">
        <f>IF('Maintenance Schedule'!F34="x","x","")</f>
        <v/>
      </c>
      <c r="F29" s="153" t="str">
        <f>IF(E29="x","No","")</f>
        <v/>
      </c>
      <c r="G29" s="154">
        <f>IF(E29="x",1,0)</f>
        <v>0</v>
      </c>
      <c r="H29" s="155">
        <f t="shared" si="10"/>
        <v>0</v>
      </c>
      <c r="I29" s="156">
        <f>IF(E29="x",G29*H29,0)</f>
        <v>0</v>
      </c>
      <c r="J29" s="14"/>
      <c r="K29" s="15"/>
      <c r="L29" s="32"/>
      <c r="M29" s="70" t="str">
        <f>'Description Sheet'!K28</f>
        <v>No</v>
      </c>
      <c r="N29" s="67">
        <f>'Description Sheet'!L28</f>
        <v>0</v>
      </c>
      <c r="O29" s="73">
        <f>'Description Sheet'!M28</f>
        <v>11766</v>
      </c>
      <c r="P29" s="68">
        <f>N29*O29</f>
        <v>0</v>
      </c>
      <c r="Q29" s="14"/>
      <c r="R29" s="44"/>
    </row>
    <row r="30" spans="1:18" hidden="1">
      <c r="A30" s="14"/>
      <c r="B30" s="109">
        <f>'Description Sheet'!B29</f>
        <v>3.3</v>
      </c>
      <c r="C30" s="152" t="str">
        <f>'Description Sheet'!C29</f>
        <v>Solar Panels (Maintenance &amp; Upgrade Savings)</v>
      </c>
      <c r="D30" s="107"/>
      <c r="E30" s="153" t="str">
        <f>IF('Maintenance Schedule'!F35="x","x","")</f>
        <v/>
      </c>
      <c r="F30" s="153" t="str">
        <f t="shared" ref="F30:F32" si="11">IF(E30="x","No","")</f>
        <v/>
      </c>
      <c r="G30" s="154">
        <f t="shared" ref="G30:G32" si="12">IF(E30="x",1,0)</f>
        <v>0</v>
      </c>
      <c r="H30" s="155">
        <f t="shared" si="10"/>
        <v>0</v>
      </c>
      <c r="I30" s="156">
        <f t="shared" ref="I30:I32" si="13">IF(E30="x",G30*H30,0)</f>
        <v>0</v>
      </c>
      <c r="J30" s="14"/>
      <c r="K30" s="15"/>
      <c r="L30" s="32"/>
      <c r="M30" s="70" t="str">
        <f>'Description Sheet'!K29</f>
        <v>No</v>
      </c>
      <c r="N30" s="67">
        <f>'Description Sheet'!L29</f>
        <v>0</v>
      </c>
      <c r="O30" s="73">
        <f>'Description Sheet'!M29</f>
        <v>6500</v>
      </c>
      <c r="P30" s="68">
        <f t="shared" ref="P30:P32" si="14">N30*O30</f>
        <v>0</v>
      </c>
      <c r="Q30" s="14"/>
      <c r="R30" s="44"/>
    </row>
    <row r="31" spans="1:18" hidden="1">
      <c r="A31" s="14"/>
      <c r="B31" s="109">
        <f>'Description Sheet'!B30</f>
        <v>3.4</v>
      </c>
      <c r="C31" s="152" t="str">
        <f>'Description Sheet'!C30</f>
        <v>blank</v>
      </c>
      <c r="D31" s="107"/>
      <c r="E31" s="153" t="str">
        <f>IF('Maintenance Schedule'!F36="x","x","")</f>
        <v/>
      </c>
      <c r="F31" s="153" t="str">
        <f t="shared" si="11"/>
        <v/>
      </c>
      <c r="G31" s="154">
        <f t="shared" si="12"/>
        <v>0</v>
      </c>
      <c r="H31" s="155">
        <f t="shared" si="10"/>
        <v>0</v>
      </c>
      <c r="I31" s="156">
        <f t="shared" si="13"/>
        <v>0</v>
      </c>
      <c r="J31" s="14"/>
      <c r="K31" s="15"/>
      <c r="L31" s="32"/>
      <c r="M31" s="70" t="str">
        <f>'Description Sheet'!K30</f>
        <v>No</v>
      </c>
      <c r="N31" s="67">
        <f>'Description Sheet'!L30</f>
        <v>0</v>
      </c>
      <c r="O31" s="73">
        <f>'Description Sheet'!M30</f>
        <v>0</v>
      </c>
      <c r="P31" s="68">
        <f t="shared" si="14"/>
        <v>0</v>
      </c>
      <c r="Q31" s="14"/>
      <c r="R31" s="44"/>
    </row>
    <row r="32" spans="1:18" hidden="1">
      <c r="A32" s="14"/>
      <c r="B32" s="109">
        <f>'Description Sheet'!B31</f>
        <v>3.5</v>
      </c>
      <c r="C32" s="152" t="str">
        <f>'Description Sheet'!C31</f>
        <v>blank</v>
      </c>
      <c r="D32" s="107"/>
      <c r="E32" s="153" t="str">
        <f>IF('Maintenance Schedule'!F37="x","x","")</f>
        <v/>
      </c>
      <c r="F32" s="153" t="str">
        <f t="shared" si="11"/>
        <v/>
      </c>
      <c r="G32" s="154">
        <f t="shared" si="12"/>
        <v>0</v>
      </c>
      <c r="H32" s="155">
        <f t="shared" si="10"/>
        <v>0</v>
      </c>
      <c r="I32" s="156">
        <f t="shared" si="13"/>
        <v>0</v>
      </c>
      <c r="J32" s="14"/>
      <c r="K32" s="15"/>
      <c r="L32" s="32"/>
      <c r="M32" s="70" t="str">
        <f>'Description Sheet'!K31</f>
        <v>No</v>
      </c>
      <c r="N32" s="67">
        <f>'Description Sheet'!L31</f>
        <v>0</v>
      </c>
      <c r="O32" s="73">
        <f>'Description Sheet'!M31</f>
        <v>0</v>
      </c>
      <c r="P32" s="68">
        <f t="shared" si="14"/>
        <v>0</v>
      </c>
      <c r="Q32" s="14"/>
      <c r="R32" s="44"/>
    </row>
    <row r="33" spans="1:18" ht="17" hidden="1" thickBot="1">
      <c r="A33" s="14"/>
      <c r="B33" s="109"/>
      <c r="C33" s="152"/>
      <c r="D33" s="107"/>
      <c r="E33" s="162"/>
      <c r="F33" s="154"/>
      <c r="G33" s="154"/>
      <c r="H33" s="155"/>
      <c r="I33" s="155"/>
      <c r="J33" s="14"/>
      <c r="K33" s="15"/>
      <c r="L33" s="32"/>
      <c r="M33" s="67"/>
      <c r="N33" s="67"/>
      <c r="O33" s="73"/>
      <c r="P33" s="68"/>
      <c r="Q33" s="14"/>
      <c r="R33" s="44"/>
    </row>
    <row r="34" spans="1:18" s="4" customFormat="1" ht="15.75" hidden="1" customHeight="1" thickBot="1">
      <c r="A34" s="14"/>
      <c r="B34" s="109"/>
      <c r="C34" s="152"/>
      <c r="D34" s="107"/>
      <c r="E34" s="159"/>
      <c r="F34" s="528" t="s">
        <v>7</v>
      </c>
      <c r="G34" s="529"/>
      <c r="H34" s="530">
        <f>SUM(I28:I32)</f>
        <v>0</v>
      </c>
      <c r="I34" s="531"/>
      <c r="J34" s="14"/>
      <c r="K34" s="15"/>
      <c r="L34" s="33"/>
      <c r="M34" s="508" t="s">
        <v>7</v>
      </c>
      <c r="N34" s="509"/>
      <c r="O34" s="510">
        <f>SUM(P28:P33)</f>
        <v>0</v>
      </c>
      <c r="P34" s="511"/>
      <c r="Q34" s="14"/>
      <c r="R34" s="31"/>
    </row>
    <row r="35" spans="1:18" ht="17" hidden="1" thickBot="1">
      <c r="A35" s="14"/>
      <c r="B35" s="109">
        <f>'Description Sheet'!B34</f>
        <v>4</v>
      </c>
      <c r="C35" s="113" t="str">
        <f>'Description Sheet'!C34</f>
        <v>Lifts</v>
      </c>
      <c r="D35" s="107"/>
      <c r="E35" s="110"/>
      <c r="F35" s="110"/>
      <c r="G35" s="110"/>
      <c r="H35" s="110"/>
      <c r="I35" s="151"/>
      <c r="J35" s="32"/>
      <c r="K35" s="40"/>
      <c r="L35" s="33"/>
      <c r="M35" s="24"/>
      <c r="N35" s="25"/>
      <c r="O35" s="25"/>
      <c r="P35" s="63"/>
      <c r="Q35" s="14"/>
      <c r="R35" s="44"/>
    </row>
    <row r="36" spans="1:18" hidden="1">
      <c r="A36" s="14"/>
      <c r="B36" s="109">
        <f>'Description Sheet'!B35</f>
        <v>4.0999999999999996</v>
      </c>
      <c r="C36" s="152" t="str">
        <f>'Description Sheet'!C35</f>
        <v>Lift Upgrade Savings</v>
      </c>
      <c r="D36" s="107"/>
      <c r="E36" s="153" t="str">
        <f>IF('Maintenance Schedule'!F44="x","x","")</f>
        <v/>
      </c>
      <c r="F36" s="153" t="str">
        <f>IF(E36="x","No","")</f>
        <v/>
      </c>
      <c r="G36" s="154">
        <f>IF(E36="x",1,0)</f>
        <v>0</v>
      </c>
      <c r="H36" s="155">
        <f t="shared" ref="H36:H39" si="15">IF(E36="x",P36,0)</f>
        <v>0</v>
      </c>
      <c r="I36" s="156">
        <f>IF(E36="x",G36*H36,0)</f>
        <v>0</v>
      </c>
      <c r="J36" s="14"/>
      <c r="K36" s="15"/>
      <c r="L36" s="32"/>
      <c r="M36" s="70" t="str">
        <f>'Description Sheet'!K35</f>
        <v>No</v>
      </c>
      <c r="N36" s="67">
        <f>'Description Sheet'!L35</f>
        <v>1</v>
      </c>
      <c r="O36" s="73">
        <f>'Description Sheet'!M35</f>
        <v>88247</v>
      </c>
      <c r="P36" s="68">
        <f>N36*O36</f>
        <v>88247</v>
      </c>
      <c r="Q36" s="14"/>
      <c r="R36" s="44"/>
    </row>
    <row r="37" spans="1:18" hidden="1">
      <c r="A37" s="14"/>
      <c r="B37" s="109">
        <f>'Description Sheet'!B36</f>
        <v>4.2</v>
      </c>
      <c r="C37" s="152" t="str">
        <f>'Description Sheet'!C36</f>
        <v>Lift Replacement (Only in 12-15 years)</v>
      </c>
      <c r="D37" s="107"/>
      <c r="E37" s="153" t="str">
        <f>IF('Maintenance Schedule'!F45="x","x","")</f>
        <v/>
      </c>
      <c r="F37" s="153" t="str">
        <f t="shared" ref="F37:F39" si="16">IF(E37="x","No","")</f>
        <v/>
      </c>
      <c r="G37" s="154">
        <f t="shared" ref="G37:G39" si="17">IF(E37="x",1,0)</f>
        <v>0</v>
      </c>
      <c r="H37" s="155">
        <f t="shared" si="15"/>
        <v>0</v>
      </c>
      <c r="I37" s="156">
        <f t="shared" ref="I37:I39" si="18">IF(E37="x",G37*H37,0)</f>
        <v>0</v>
      </c>
      <c r="J37" s="14"/>
      <c r="K37" s="15"/>
      <c r="L37" s="32"/>
      <c r="M37" s="70" t="str">
        <f>'Description Sheet'!K36</f>
        <v>No</v>
      </c>
      <c r="N37" s="67">
        <f>'Description Sheet'!L36</f>
        <v>0</v>
      </c>
      <c r="O37" s="73">
        <f>'Description Sheet'!M36</f>
        <v>817322</v>
      </c>
      <c r="P37" s="68">
        <f t="shared" ref="P37:P39" si="19">N37*O37</f>
        <v>0</v>
      </c>
      <c r="Q37" s="14"/>
      <c r="R37" s="44"/>
    </row>
    <row r="38" spans="1:18" hidden="1">
      <c r="A38" s="14"/>
      <c r="B38" s="109">
        <f>'Description Sheet'!B37</f>
        <v>4.3</v>
      </c>
      <c r="C38" s="152" t="str">
        <f>'Description Sheet'!C37</f>
        <v>blank</v>
      </c>
      <c r="D38" s="107"/>
      <c r="E38" s="153" t="str">
        <f>IF('Maintenance Schedule'!F46="x","x","")</f>
        <v/>
      </c>
      <c r="F38" s="153" t="str">
        <f t="shared" si="16"/>
        <v/>
      </c>
      <c r="G38" s="154">
        <f t="shared" si="17"/>
        <v>0</v>
      </c>
      <c r="H38" s="155">
        <f t="shared" si="15"/>
        <v>0</v>
      </c>
      <c r="I38" s="156">
        <f t="shared" si="18"/>
        <v>0</v>
      </c>
      <c r="J38" s="14"/>
      <c r="K38" s="15"/>
      <c r="L38" s="32"/>
      <c r="M38" s="70" t="str">
        <f>'Description Sheet'!K37</f>
        <v>No</v>
      </c>
      <c r="N38" s="67">
        <f>'Description Sheet'!L37</f>
        <v>0</v>
      </c>
      <c r="O38" s="73">
        <f>'Description Sheet'!M37</f>
        <v>0</v>
      </c>
      <c r="P38" s="68">
        <f t="shared" si="19"/>
        <v>0</v>
      </c>
      <c r="Q38" s="14"/>
      <c r="R38" s="44"/>
    </row>
    <row r="39" spans="1:18" hidden="1">
      <c r="A39" s="14"/>
      <c r="B39" s="109">
        <f>'Description Sheet'!B38</f>
        <v>4.4000000000000004</v>
      </c>
      <c r="C39" s="152" t="str">
        <f>'Description Sheet'!C38</f>
        <v>blank</v>
      </c>
      <c r="D39" s="107"/>
      <c r="E39" s="153" t="str">
        <f>IF('Maintenance Schedule'!F47="x","x","")</f>
        <v/>
      </c>
      <c r="F39" s="153" t="str">
        <f t="shared" si="16"/>
        <v/>
      </c>
      <c r="G39" s="154">
        <f t="shared" si="17"/>
        <v>0</v>
      </c>
      <c r="H39" s="155">
        <f t="shared" si="15"/>
        <v>0</v>
      </c>
      <c r="I39" s="156">
        <f t="shared" si="18"/>
        <v>0</v>
      </c>
      <c r="J39" s="14"/>
      <c r="K39" s="15"/>
      <c r="L39" s="32"/>
      <c r="M39" s="70" t="str">
        <f>'Description Sheet'!K38</f>
        <v>No</v>
      </c>
      <c r="N39" s="67">
        <f>'Description Sheet'!L38</f>
        <v>0</v>
      </c>
      <c r="O39" s="73">
        <f>'Description Sheet'!M38</f>
        <v>0</v>
      </c>
      <c r="P39" s="68">
        <f t="shared" si="19"/>
        <v>0</v>
      </c>
      <c r="Q39" s="14"/>
      <c r="R39" s="44"/>
    </row>
    <row r="40" spans="1:18" ht="17" hidden="1" thickBot="1">
      <c r="A40" s="14"/>
      <c r="B40" s="109"/>
      <c r="C40" s="152"/>
      <c r="D40" s="107"/>
      <c r="E40" s="162"/>
      <c r="F40" s="154"/>
      <c r="G40" s="154"/>
      <c r="H40" s="155"/>
      <c r="I40" s="155"/>
      <c r="J40" s="14"/>
      <c r="K40" s="15"/>
      <c r="L40" s="32"/>
      <c r="M40" s="67"/>
      <c r="N40" s="67"/>
      <c r="O40" s="73"/>
      <c r="P40" s="68"/>
      <c r="Q40" s="14"/>
      <c r="R40" s="44"/>
    </row>
    <row r="41" spans="1:18" s="4" customFormat="1" ht="15.75" hidden="1" customHeight="1" thickBot="1">
      <c r="A41" s="14"/>
      <c r="B41" s="109"/>
      <c r="C41" s="152"/>
      <c r="D41" s="107"/>
      <c r="E41" s="159"/>
      <c r="F41" s="528" t="s">
        <v>7</v>
      </c>
      <c r="G41" s="529"/>
      <c r="H41" s="530">
        <f>SUM(I36:I40)</f>
        <v>0</v>
      </c>
      <c r="I41" s="531"/>
      <c r="J41" s="14"/>
      <c r="K41" s="15"/>
      <c r="L41" s="33"/>
      <c r="M41" s="508" t="s">
        <v>7</v>
      </c>
      <c r="N41" s="509"/>
      <c r="O41" s="510">
        <f>SUM(P36:P40)</f>
        <v>88247</v>
      </c>
      <c r="P41" s="511"/>
      <c r="Q41" s="14"/>
      <c r="R41" s="31"/>
    </row>
    <row r="42" spans="1:18" ht="17" thickBot="1">
      <c r="A42" s="14"/>
      <c r="B42" s="109">
        <f>'Description Sheet'!B41</f>
        <v>5</v>
      </c>
      <c r="C42" s="150" t="str">
        <f>'Description Sheet'!C41</f>
        <v>Carpeting and Furnishing</v>
      </c>
      <c r="D42" s="107"/>
      <c r="E42" s="110"/>
      <c r="F42" s="110"/>
      <c r="G42" s="110"/>
      <c r="H42" s="110"/>
      <c r="I42" s="151"/>
      <c r="J42" s="32"/>
      <c r="K42" s="40"/>
      <c r="L42" s="33"/>
      <c r="M42" s="24"/>
      <c r="N42" s="25"/>
      <c r="O42" s="25"/>
      <c r="P42" s="63"/>
      <c r="Q42" s="14"/>
      <c r="R42" s="44"/>
    </row>
    <row r="43" spans="1:18">
      <c r="A43" s="14"/>
      <c r="B43" s="109">
        <f>'Description Sheet'!B42</f>
        <v>5.0999999999999996</v>
      </c>
      <c r="C43" s="152" t="str">
        <f>'Description Sheet'!C42</f>
        <v>Common Area Equipment/Furnishings (Replacement/Maintenance)</v>
      </c>
      <c r="D43" s="107"/>
      <c r="E43" s="153" t="str">
        <f>IF('Maintenance Schedule'!F54="x","x","")</f>
        <v>x</v>
      </c>
      <c r="F43" s="153" t="str">
        <f>IF(E43="x","No","")</f>
        <v>No</v>
      </c>
      <c r="G43" s="154">
        <f>IF(E43="x",1,0)</f>
        <v>1</v>
      </c>
      <c r="H43" s="155">
        <f t="shared" ref="H43:H46" si="20">IF(E43="x",P43,0)</f>
        <v>3500</v>
      </c>
      <c r="I43" s="156">
        <f>IF(E43="x",G43*H43,0)</f>
        <v>3500</v>
      </c>
      <c r="J43" s="14"/>
      <c r="K43" s="15"/>
      <c r="L43" s="32"/>
      <c r="M43" s="70" t="str">
        <f>'Description Sheet'!K42</f>
        <v>No</v>
      </c>
      <c r="N43" s="67">
        <f>'Description Sheet'!L42</f>
        <v>1</v>
      </c>
      <c r="O43" s="73">
        <f>'Description Sheet'!M42</f>
        <v>3500</v>
      </c>
      <c r="P43" s="68">
        <f>N43*O43</f>
        <v>3500</v>
      </c>
      <c r="Q43" s="14"/>
      <c r="R43" s="44"/>
    </row>
    <row r="44" spans="1:18" hidden="1">
      <c r="A44" s="14"/>
      <c r="B44" s="109">
        <f>'Description Sheet'!B43</f>
        <v>5.2</v>
      </c>
      <c r="C44" s="152" t="str">
        <f>'Description Sheet'!C43</f>
        <v>blank</v>
      </c>
      <c r="D44" s="107"/>
      <c r="E44" s="153" t="str">
        <f>IF('Maintenance Schedule'!F55="x","x","")</f>
        <v/>
      </c>
      <c r="F44" s="153" t="str">
        <f t="shared" ref="F44:F46" si="21">IF(E44="x","No","")</f>
        <v/>
      </c>
      <c r="G44" s="154">
        <f t="shared" ref="G44:G46" si="22">IF(E44="x",1,0)</f>
        <v>0</v>
      </c>
      <c r="H44" s="155">
        <f t="shared" si="20"/>
        <v>0</v>
      </c>
      <c r="I44" s="156">
        <f t="shared" ref="I44:I46" si="23">IF(E44="x",G44*H44,0)</f>
        <v>0</v>
      </c>
      <c r="J44" s="14"/>
      <c r="K44" s="15"/>
      <c r="L44" s="32"/>
      <c r="M44" s="70" t="str">
        <f>'Description Sheet'!K43</f>
        <v>No</v>
      </c>
      <c r="N44" s="67">
        <f>'Description Sheet'!L43</f>
        <v>0</v>
      </c>
      <c r="O44" s="73">
        <f>'Description Sheet'!M43</f>
        <v>0</v>
      </c>
      <c r="P44" s="68">
        <f t="shared" ref="P44:P46" si="24">N44*O44</f>
        <v>0</v>
      </c>
      <c r="Q44" s="14"/>
      <c r="R44" s="44"/>
    </row>
    <row r="45" spans="1:18" hidden="1">
      <c r="A45" s="14"/>
      <c r="B45" s="109">
        <f>'Description Sheet'!B44</f>
        <v>5.3</v>
      </c>
      <c r="C45" s="152" t="str">
        <f>'Description Sheet'!C44</f>
        <v>blank</v>
      </c>
      <c r="D45" s="107"/>
      <c r="E45" s="153" t="str">
        <f>IF('Maintenance Schedule'!F56="x","x","")</f>
        <v/>
      </c>
      <c r="F45" s="153" t="str">
        <f t="shared" si="21"/>
        <v/>
      </c>
      <c r="G45" s="154">
        <f t="shared" si="22"/>
        <v>0</v>
      </c>
      <c r="H45" s="155">
        <f t="shared" si="20"/>
        <v>0</v>
      </c>
      <c r="I45" s="156">
        <f t="shared" si="23"/>
        <v>0</v>
      </c>
      <c r="J45" s="14"/>
      <c r="K45" s="15"/>
      <c r="L45" s="32"/>
      <c r="M45" s="70" t="str">
        <f>'Description Sheet'!K44</f>
        <v>No</v>
      </c>
      <c r="N45" s="67">
        <f>'Description Sheet'!L44</f>
        <v>0</v>
      </c>
      <c r="O45" s="73">
        <f>'Description Sheet'!M44</f>
        <v>0</v>
      </c>
      <c r="P45" s="68">
        <f t="shared" si="24"/>
        <v>0</v>
      </c>
      <c r="Q45" s="14"/>
      <c r="R45" s="44"/>
    </row>
    <row r="46" spans="1:18" hidden="1">
      <c r="A46" s="14"/>
      <c r="B46" s="109">
        <f>'Description Sheet'!B45</f>
        <v>5.4</v>
      </c>
      <c r="C46" s="152" t="str">
        <f>'Description Sheet'!C45</f>
        <v>blank</v>
      </c>
      <c r="D46" s="107"/>
      <c r="E46" s="153" t="str">
        <f>IF('Maintenance Schedule'!F57="x","x","")</f>
        <v/>
      </c>
      <c r="F46" s="153" t="str">
        <f t="shared" si="21"/>
        <v/>
      </c>
      <c r="G46" s="154">
        <f t="shared" si="22"/>
        <v>0</v>
      </c>
      <c r="H46" s="155">
        <f t="shared" si="20"/>
        <v>0</v>
      </c>
      <c r="I46" s="156">
        <f t="shared" si="23"/>
        <v>0</v>
      </c>
      <c r="J46" s="14"/>
      <c r="K46" s="15"/>
      <c r="L46" s="32"/>
      <c r="M46" s="70" t="str">
        <f>'Description Sheet'!K45</f>
        <v>No</v>
      </c>
      <c r="N46" s="67">
        <f>'Description Sheet'!L45</f>
        <v>0</v>
      </c>
      <c r="O46" s="73">
        <f>'Description Sheet'!M45</f>
        <v>0</v>
      </c>
      <c r="P46" s="68">
        <f t="shared" si="24"/>
        <v>0</v>
      </c>
      <c r="Q46" s="14"/>
      <c r="R46" s="44"/>
    </row>
    <row r="47" spans="1:18" ht="17" thickBot="1">
      <c r="A47" s="14"/>
      <c r="B47" s="109"/>
      <c r="C47" s="152"/>
      <c r="D47" s="107"/>
      <c r="E47" s="162"/>
      <c r="F47" s="154"/>
      <c r="G47" s="154"/>
      <c r="H47" s="155"/>
      <c r="I47" s="155"/>
      <c r="J47" s="14"/>
      <c r="K47" s="15"/>
      <c r="L47" s="32"/>
      <c r="M47" s="67"/>
      <c r="N47" s="67"/>
      <c r="O47" s="73"/>
      <c r="P47" s="68"/>
      <c r="Q47" s="14"/>
      <c r="R47" s="44"/>
    </row>
    <row r="48" spans="1:18" s="4" customFormat="1" ht="15.75" customHeight="1" thickBot="1">
      <c r="A48" s="14"/>
      <c r="B48" s="109"/>
      <c r="C48" s="115"/>
      <c r="D48" s="107"/>
      <c r="E48" s="159"/>
      <c r="F48" s="528" t="s">
        <v>7</v>
      </c>
      <c r="G48" s="529"/>
      <c r="H48" s="530">
        <f>SUM(I43:I47)</f>
        <v>3500</v>
      </c>
      <c r="I48" s="531"/>
      <c r="J48" s="14"/>
      <c r="K48" s="15"/>
      <c r="L48" s="33"/>
      <c r="M48" s="508" t="s">
        <v>7</v>
      </c>
      <c r="N48" s="509"/>
      <c r="O48" s="510">
        <f>SUM(P43:P47)</f>
        <v>3500</v>
      </c>
      <c r="P48" s="511"/>
      <c r="Q48" s="14"/>
      <c r="R48" s="31"/>
    </row>
    <row r="49" spans="1:18" ht="17" thickBot="1">
      <c r="A49" s="14"/>
      <c r="B49" s="109">
        <f>'Description Sheet'!B48</f>
        <v>6</v>
      </c>
      <c r="C49" s="113" t="str">
        <f>'Description Sheet'!C48</f>
        <v>Roof  Areas</v>
      </c>
      <c r="D49" s="107"/>
      <c r="E49" s="110"/>
      <c r="F49" s="110"/>
      <c r="G49" s="110"/>
      <c r="H49" s="110"/>
      <c r="I49" s="151"/>
      <c r="J49" s="32"/>
      <c r="K49" s="40"/>
      <c r="L49" s="33"/>
      <c r="M49" s="24"/>
      <c r="N49" s="25"/>
      <c r="O49" s="25"/>
      <c r="P49" s="63"/>
      <c r="Q49" s="14"/>
      <c r="R49" s="44"/>
    </row>
    <row r="50" spans="1:18" hidden="1">
      <c r="A50" s="14"/>
      <c r="B50" s="109">
        <f>'Description Sheet'!B49</f>
        <v>6.1</v>
      </c>
      <c r="C50" s="152" t="str">
        <f>'Description Sheet'!C49</f>
        <v xml:space="preserve">Flashings/Counter Flashings </v>
      </c>
      <c r="D50" s="107"/>
      <c r="E50" s="153" t="str">
        <f>IF('Maintenance Schedule'!F64="x","x","")</f>
        <v/>
      </c>
      <c r="F50" s="153" t="str">
        <f>IF(E50="x","No","")</f>
        <v/>
      </c>
      <c r="G50" s="154">
        <f>IF(E50="x",1,0)</f>
        <v>0</v>
      </c>
      <c r="H50" s="155">
        <f t="shared" ref="H50:H66" si="25">IF(E50="x",P50,0)</f>
        <v>0</v>
      </c>
      <c r="I50" s="156">
        <f t="shared" ref="I50:I66" si="26">IF(E50="x",G50*H50,0)</f>
        <v>0</v>
      </c>
      <c r="J50" s="14"/>
      <c r="K50" s="15"/>
      <c r="L50" s="32"/>
      <c r="M50" s="67" t="str">
        <f>'Description Sheet'!K49</f>
        <v>No</v>
      </c>
      <c r="N50" s="67">
        <f>'Description Sheet'!L49</f>
        <v>0</v>
      </c>
      <c r="O50" s="68">
        <f>'Description Sheet'!M49</f>
        <v>9720</v>
      </c>
      <c r="P50" s="69">
        <f t="shared" ref="P50:P66" si="27">N50*O50</f>
        <v>0</v>
      </c>
      <c r="Q50" s="14"/>
      <c r="R50" s="44"/>
    </row>
    <row r="51" spans="1:18" hidden="1">
      <c r="A51" s="14"/>
      <c r="B51" s="109">
        <f>'Description Sheet'!B50</f>
        <v>6.2</v>
      </c>
      <c r="C51" s="152" t="str">
        <f>'Description Sheet'!C50</f>
        <v>General Roof Repairs</v>
      </c>
      <c r="D51" s="107"/>
      <c r="E51" s="153" t="str">
        <f>IF('Maintenance Schedule'!F65="x","x","")</f>
        <v/>
      </c>
      <c r="F51" s="153" t="str">
        <f t="shared" ref="F51:F62" si="28">IF(E51="x","No","")</f>
        <v/>
      </c>
      <c r="G51" s="154">
        <f t="shared" ref="G51:G66" si="29">IF(E51="x",1,0)</f>
        <v>0</v>
      </c>
      <c r="H51" s="155">
        <f t="shared" si="25"/>
        <v>0</v>
      </c>
      <c r="I51" s="156">
        <f t="shared" si="26"/>
        <v>0</v>
      </c>
      <c r="J51" s="14"/>
      <c r="K51" s="15"/>
      <c r="L51" s="32"/>
      <c r="M51" s="67" t="str">
        <f>'Description Sheet'!K50</f>
        <v>No</v>
      </c>
      <c r="N51" s="67">
        <f>'Description Sheet'!L50</f>
        <v>0</v>
      </c>
      <c r="O51" s="68">
        <f>'Description Sheet'!M50</f>
        <v>10.8</v>
      </c>
      <c r="P51" s="69">
        <f t="shared" si="27"/>
        <v>0</v>
      </c>
      <c r="Q51" s="14"/>
      <c r="R51" s="44"/>
    </row>
    <row r="52" spans="1:18">
      <c r="A52" s="14"/>
      <c r="B52" s="109">
        <f>'Description Sheet'!B51</f>
        <v>6.3</v>
      </c>
      <c r="C52" s="152" t="str">
        <f>'Description Sheet'!C51</f>
        <v>Cleaning &amp; Maintenance &amp; Repairs of Gutters and Downpipes</v>
      </c>
      <c r="D52" s="107"/>
      <c r="E52" s="153" t="str">
        <f>IF('Maintenance Schedule'!F66="x","x","")</f>
        <v>x</v>
      </c>
      <c r="F52" s="153" t="str">
        <f t="shared" si="28"/>
        <v>No</v>
      </c>
      <c r="G52" s="154">
        <f t="shared" si="29"/>
        <v>1</v>
      </c>
      <c r="H52" s="155">
        <f t="shared" si="25"/>
        <v>3190</v>
      </c>
      <c r="I52" s="156">
        <f t="shared" si="26"/>
        <v>3190</v>
      </c>
      <c r="J52" s="14"/>
      <c r="K52" s="15"/>
      <c r="L52" s="32"/>
      <c r="M52" s="67" t="str">
        <f>'Description Sheet'!K51</f>
        <v>lm</v>
      </c>
      <c r="N52" s="67">
        <f>'Description Sheet'!L51</f>
        <v>110</v>
      </c>
      <c r="O52" s="68">
        <f>'Description Sheet'!M51</f>
        <v>29</v>
      </c>
      <c r="P52" s="69">
        <f t="shared" si="27"/>
        <v>3190</v>
      </c>
      <c r="Q52" s="14"/>
      <c r="R52" s="44"/>
    </row>
    <row r="53" spans="1:18" hidden="1">
      <c r="A53" s="14"/>
      <c r="B53" s="109">
        <f>'Description Sheet'!B52</f>
        <v>6.4</v>
      </c>
      <c r="C53" s="152" t="str">
        <f>'Description Sheet'!C52</f>
        <v xml:space="preserve">Painting &amp; Repair of Metal Roof Areas </v>
      </c>
      <c r="D53" s="107"/>
      <c r="E53" s="153" t="str">
        <f>IF('Maintenance Schedule'!F67="x","x","")</f>
        <v/>
      </c>
      <c r="F53" s="153" t="str">
        <f>IF(E53="x","item","")</f>
        <v/>
      </c>
      <c r="G53" s="154">
        <f t="shared" si="29"/>
        <v>0</v>
      </c>
      <c r="H53" s="155">
        <f t="shared" si="25"/>
        <v>0</v>
      </c>
      <c r="I53" s="156">
        <f t="shared" si="26"/>
        <v>0</v>
      </c>
      <c r="J53" s="14"/>
      <c r="K53" s="15"/>
      <c r="L53" s="32"/>
      <c r="M53" s="67" t="str">
        <f>'Description Sheet'!K52</f>
        <v>m2</v>
      </c>
      <c r="N53" s="67">
        <f>'Description Sheet'!L52</f>
        <v>0</v>
      </c>
      <c r="O53" s="68">
        <f>'Description Sheet'!M52</f>
        <v>167</v>
      </c>
      <c r="P53" s="69">
        <f t="shared" si="27"/>
        <v>0</v>
      </c>
      <c r="Q53" s="14"/>
      <c r="R53" s="44"/>
    </row>
    <row r="54" spans="1:18" hidden="1">
      <c r="A54" s="14"/>
      <c r="B54" s="109">
        <f>'Description Sheet'!B53</f>
        <v>6.5</v>
      </c>
      <c r="C54" s="152" t="str">
        <f>'Description Sheet'!C53</f>
        <v xml:space="preserve">Painting &amp; Repair of Tile Roof Areas </v>
      </c>
      <c r="D54" s="107"/>
      <c r="E54" s="153" t="str">
        <f>IF('Maintenance Schedule'!F68="x","x","")</f>
        <v/>
      </c>
      <c r="F54" s="153" t="str">
        <f>IF(E54="x","item","")</f>
        <v/>
      </c>
      <c r="G54" s="154">
        <f t="shared" si="29"/>
        <v>0</v>
      </c>
      <c r="H54" s="155">
        <f t="shared" si="25"/>
        <v>0</v>
      </c>
      <c r="I54" s="156">
        <f t="shared" si="26"/>
        <v>0</v>
      </c>
      <c r="J54" s="14"/>
      <c r="K54" s="15"/>
      <c r="L54" s="32"/>
      <c r="M54" s="67" t="str">
        <f>'Description Sheet'!K53</f>
        <v>m2</v>
      </c>
      <c r="N54" s="67">
        <f>'Description Sheet'!L53</f>
        <v>0</v>
      </c>
      <c r="O54" s="68">
        <f>'Description Sheet'!M53</f>
        <v>91</v>
      </c>
      <c r="P54" s="69">
        <f t="shared" si="27"/>
        <v>0</v>
      </c>
      <c r="Q54" s="14"/>
      <c r="R54" s="44"/>
    </row>
    <row r="55" spans="1:18" hidden="1">
      <c r="A55" s="14"/>
      <c r="B55" s="109">
        <f>'Description Sheet'!B54</f>
        <v>6.6</v>
      </c>
      <c r="C55" s="152" t="str">
        <f>'Description Sheet'!C54</f>
        <v xml:space="preserve">Painting &amp; Repairs of Asbestos Roof Areas </v>
      </c>
      <c r="D55" s="107"/>
      <c r="E55" s="153" t="str">
        <f>IF('Maintenance Schedule'!F69="x","x","")</f>
        <v/>
      </c>
      <c r="F55" s="153" t="str">
        <f t="shared" si="28"/>
        <v/>
      </c>
      <c r="G55" s="154">
        <f t="shared" si="29"/>
        <v>0</v>
      </c>
      <c r="H55" s="155">
        <f t="shared" si="25"/>
        <v>0</v>
      </c>
      <c r="I55" s="156">
        <f t="shared" si="26"/>
        <v>0</v>
      </c>
      <c r="J55" s="14"/>
      <c r="K55" s="15"/>
      <c r="L55" s="32"/>
      <c r="M55" s="67" t="str">
        <f>'Description Sheet'!K54</f>
        <v>m2</v>
      </c>
      <c r="N55" s="67">
        <f>'Description Sheet'!L54</f>
        <v>0</v>
      </c>
      <c r="O55" s="68">
        <f>'Description Sheet'!M54</f>
        <v>189</v>
      </c>
      <c r="P55" s="69">
        <f t="shared" si="27"/>
        <v>0</v>
      </c>
      <c r="Q55" s="14"/>
      <c r="R55" s="44"/>
    </row>
    <row r="56" spans="1:18" hidden="1">
      <c r="A56" s="14"/>
      <c r="B56" s="109">
        <f>'Description Sheet'!B55</f>
        <v>6.7</v>
      </c>
      <c r="C56" s="152" t="str">
        <f>'Description Sheet'!C55</f>
        <v xml:space="preserve">Painting &amp; Repairs of Fibre Cement Roof Areas </v>
      </c>
      <c r="D56" s="107"/>
      <c r="E56" s="153" t="str">
        <f>IF('Maintenance Schedule'!F70="x","x","")</f>
        <v/>
      </c>
      <c r="F56" s="153" t="str">
        <f>IF(E56="x","item","")</f>
        <v/>
      </c>
      <c r="G56" s="154">
        <f t="shared" si="29"/>
        <v>0</v>
      </c>
      <c r="H56" s="155">
        <f t="shared" si="25"/>
        <v>0</v>
      </c>
      <c r="I56" s="156">
        <f t="shared" si="26"/>
        <v>0</v>
      </c>
      <c r="J56" s="14"/>
      <c r="K56" s="15"/>
      <c r="L56" s="32"/>
      <c r="M56" s="67" t="str">
        <f>'Description Sheet'!K55</f>
        <v>m2</v>
      </c>
      <c r="N56" s="67">
        <f>'Description Sheet'!L55</f>
        <v>0</v>
      </c>
      <c r="O56" s="68">
        <f>'Description Sheet'!M55</f>
        <v>178</v>
      </c>
      <c r="P56" s="69">
        <f t="shared" si="27"/>
        <v>0</v>
      </c>
      <c r="Q56" s="14"/>
      <c r="R56" s="44"/>
    </row>
    <row r="57" spans="1:18" hidden="1">
      <c r="A57" s="14"/>
      <c r="B57" s="109">
        <f>'Description Sheet'!B56</f>
        <v>6.8</v>
      </c>
      <c r="C57" s="152" t="str">
        <f>'Description Sheet'!C56</f>
        <v>Servicing of Roof Screws</v>
      </c>
      <c r="D57" s="107"/>
      <c r="E57" s="153" t="str">
        <f>IF('Maintenance Schedule'!F71="x","x","")</f>
        <v/>
      </c>
      <c r="F57" s="153" t="str">
        <f t="shared" ref="F57:F59" si="30">IF(E57="x","item","")</f>
        <v/>
      </c>
      <c r="G57" s="154">
        <f t="shared" si="29"/>
        <v>0</v>
      </c>
      <c r="H57" s="155">
        <f t="shared" si="25"/>
        <v>0</v>
      </c>
      <c r="I57" s="156">
        <f t="shared" si="26"/>
        <v>0</v>
      </c>
      <c r="J57" s="14"/>
      <c r="K57" s="15"/>
      <c r="L57" s="32"/>
      <c r="M57" s="67" t="str">
        <f>'Description Sheet'!K56</f>
        <v>No</v>
      </c>
      <c r="N57" s="67">
        <f>'Description Sheet'!L56</f>
        <v>0</v>
      </c>
      <c r="O57" s="68">
        <f>'Description Sheet'!M56</f>
        <v>6480</v>
      </c>
      <c r="P57" s="69">
        <f t="shared" si="27"/>
        <v>0</v>
      </c>
      <c r="Q57" s="14"/>
      <c r="R57" s="44"/>
    </row>
    <row r="58" spans="1:18" hidden="1">
      <c r="A58" s="14"/>
      <c r="B58" s="109">
        <f>'Description Sheet'!B57</f>
        <v>6.9</v>
      </c>
      <c r="C58" s="152" t="str">
        <f>'Description Sheet'!C57</f>
        <v xml:space="preserve">Servicing and Re-lignment of Gutters </v>
      </c>
      <c r="D58" s="107"/>
      <c r="E58" s="153" t="str">
        <f>IF('Maintenance Schedule'!F72="x","x","")</f>
        <v/>
      </c>
      <c r="F58" s="153" t="str">
        <f t="shared" si="30"/>
        <v/>
      </c>
      <c r="G58" s="154">
        <f t="shared" si="29"/>
        <v>0</v>
      </c>
      <c r="H58" s="155">
        <f t="shared" si="25"/>
        <v>0</v>
      </c>
      <c r="I58" s="156">
        <f t="shared" si="26"/>
        <v>0</v>
      </c>
      <c r="J58" s="14"/>
      <c r="K58" s="15"/>
      <c r="L58" s="32"/>
      <c r="M58" s="67" t="str">
        <f>'Description Sheet'!K57</f>
        <v>item</v>
      </c>
      <c r="N58" s="67">
        <f>'Description Sheet'!L57</f>
        <v>0</v>
      </c>
      <c r="O58" s="68">
        <f>'Description Sheet'!M57</f>
        <v>3780</v>
      </c>
      <c r="P58" s="69">
        <f t="shared" si="27"/>
        <v>0</v>
      </c>
      <c r="Q58" s="14"/>
      <c r="R58" s="44"/>
    </row>
    <row r="59" spans="1:18" hidden="1">
      <c r="A59" s="14"/>
      <c r="B59" s="112">
        <f>'Description Sheet'!B58</f>
        <v>6.1</v>
      </c>
      <c r="C59" s="152" t="str">
        <f>'Description Sheet'!C58</f>
        <v>Replacement of Damaged Metal Roof Sheeting</v>
      </c>
      <c r="D59" s="107"/>
      <c r="E59" s="153" t="str">
        <f>IF('Maintenance Schedule'!F73="x","x","")</f>
        <v/>
      </c>
      <c r="F59" s="153" t="str">
        <f t="shared" si="30"/>
        <v/>
      </c>
      <c r="G59" s="154">
        <f t="shared" si="29"/>
        <v>0</v>
      </c>
      <c r="H59" s="155">
        <f t="shared" si="25"/>
        <v>0</v>
      </c>
      <c r="I59" s="156">
        <f t="shared" si="26"/>
        <v>0</v>
      </c>
      <c r="J59" s="14"/>
      <c r="K59" s="15"/>
      <c r="L59" s="32"/>
      <c r="M59" s="67" t="str">
        <f>'Description Sheet'!K58</f>
        <v>m2</v>
      </c>
      <c r="N59" s="67">
        <f>'Description Sheet'!L58</f>
        <v>0</v>
      </c>
      <c r="O59" s="68">
        <f>'Description Sheet'!M58</f>
        <v>486</v>
      </c>
      <c r="P59" s="69">
        <f t="shared" si="27"/>
        <v>0</v>
      </c>
      <c r="Q59" s="14"/>
      <c r="R59" s="44"/>
    </row>
    <row r="60" spans="1:18" hidden="1">
      <c r="A60" s="14"/>
      <c r="B60" s="112">
        <f>'Description Sheet'!B59</f>
        <v>6.11</v>
      </c>
      <c r="C60" s="152" t="str">
        <f>'Description Sheet'!C59</f>
        <v>Replacement of Polycarbonate Roof Sheeting</v>
      </c>
      <c r="D60" s="107"/>
      <c r="E60" s="153" t="str">
        <f>IF('Maintenance Schedule'!F74="x","x","")</f>
        <v/>
      </c>
      <c r="F60" s="153" t="str">
        <f t="shared" si="28"/>
        <v/>
      </c>
      <c r="G60" s="154">
        <f t="shared" si="29"/>
        <v>0</v>
      </c>
      <c r="H60" s="155">
        <f t="shared" si="25"/>
        <v>0</v>
      </c>
      <c r="I60" s="156">
        <f t="shared" si="26"/>
        <v>0</v>
      </c>
      <c r="J60" s="14"/>
      <c r="K60" s="15"/>
      <c r="L60" s="32"/>
      <c r="M60" s="67" t="str">
        <f>'Description Sheet'!K59</f>
        <v>m2</v>
      </c>
      <c r="N60" s="67">
        <f>'Description Sheet'!L59</f>
        <v>0</v>
      </c>
      <c r="O60" s="68">
        <f>'Description Sheet'!M59</f>
        <v>540</v>
      </c>
      <c r="P60" s="69">
        <f t="shared" si="27"/>
        <v>0</v>
      </c>
      <c r="Q60" s="14"/>
      <c r="R60" s="44"/>
    </row>
    <row r="61" spans="1:18" hidden="1">
      <c r="A61" s="14"/>
      <c r="B61" s="112">
        <f>'Description Sheet'!B60</f>
        <v>6.12</v>
      </c>
      <c r="C61" s="152" t="str">
        <f>'Description Sheet'!C60</f>
        <v>Replacement of Tile Roofs</v>
      </c>
      <c r="D61" s="107"/>
      <c r="E61" s="153" t="str">
        <f>IF('Maintenance Schedule'!F75="x","x","")</f>
        <v/>
      </c>
      <c r="F61" s="153" t="str">
        <f t="shared" si="28"/>
        <v/>
      </c>
      <c r="G61" s="154">
        <f t="shared" si="29"/>
        <v>0</v>
      </c>
      <c r="H61" s="155">
        <f t="shared" si="25"/>
        <v>0</v>
      </c>
      <c r="I61" s="156">
        <f t="shared" si="26"/>
        <v>0</v>
      </c>
      <c r="J61" s="14"/>
      <c r="K61" s="15"/>
      <c r="L61" s="32"/>
      <c r="M61" s="67" t="str">
        <f>'Description Sheet'!K60</f>
        <v>m2</v>
      </c>
      <c r="N61" s="67">
        <f>'Description Sheet'!L60</f>
        <v>0</v>
      </c>
      <c r="O61" s="68">
        <f>'Description Sheet'!M60</f>
        <v>734</v>
      </c>
      <c r="P61" s="69">
        <f t="shared" si="27"/>
        <v>0</v>
      </c>
      <c r="Q61" s="14"/>
      <c r="R61" s="44"/>
    </row>
    <row r="62" spans="1:18" hidden="1">
      <c r="A62" s="14"/>
      <c r="B62" s="112">
        <f>'Description Sheet'!B61</f>
        <v>6.13</v>
      </c>
      <c r="C62" s="152" t="str">
        <f>'Description Sheet'!C61</f>
        <v>Replacement of Tile Roof and Structure</v>
      </c>
      <c r="D62" s="107"/>
      <c r="E62" s="153" t="str">
        <f>IF('Maintenance Schedule'!F76="x","x","")</f>
        <v/>
      </c>
      <c r="F62" s="153" t="str">
        <f t="shared" si="28"/>
        <v/>
      </c>
      <c r="G62" s="154">
        <f t="shared" si="29"/>
        <v>0</v>
      </c>
      <c r="H62" s="155">
        <f t="shared" si="25"/>
        <v>0</v>
      </c>
      <c r="I62" s="156">
        <f t="shared" si="26"/>
        <v>0</v>
      </c>
      <c r="J62" s="14"/>
      <c r="K62" s="15"/>
      <c r="L62" s="32"/>
      <c r="M62" s="67" t="str">
        <f>'Description Sheet'!K61</f>
        <v>m2</v>
      </c>
      <c r="N62" s="67">
        <f>'Description Sheet'!L61</f>
        <v>0</v>
      </c>
      <c r="O62" s="68">
        <f>'Description Sheet'!M61</f>
        <v>908</v>
      </c>
      <c r="P62" s="69">
        <f t="shared" si="27"/>
        <v>0</v>
      </c>
      <c r="Q62" s="14"/>
      <c r="R62" s="44"/>
    </row>
    <row r="63" spans="1:18" hidden="1">
      <c r="A63" s="14"/>
      <c r="B63" s="112">
        <f>'Description Sheet'!B62</f>
        <v>6.14</v>
      </c>
      <c r="C63" s="152" t="str">
        <f>'Description Sheet'!C62</f>
        <v>Replacement of Fibre Cement Roof</v>
      </c>
      <c r="D63" s="107"/>
      <c r="E63" s="153" t="str">
        <f>IF('Maintenance Schedule'!F77="x","x","")</f>
        <v/>
      </c>
      <c r="F63" s="153" t="str">
        <f t="shared" ref="F63:F66" si="31">IF(E63="x","item","")</f>
        <v/>
      </c>
      <c r="G63" s="154">
        <f t="shared" si="29"/>
        <v>0</v>
      </c>
      <c r="H63" s="155">
        <f t="shared" si="25"/>
        <v>0</v>
      </c>
      <c r="I63" s="156">
        <f t="shared" si="26"/>
        <v>0</v>
      </c>
      <c r="J63" s="14"/>
      <c r="K63" s="15"/>
      <c r="L63" s="32"/>
      <c r="M63" s="67" t="str">
        <f>'Description Sheet'!K62</f>
        <v>m2</v>
      </c>
      <c r="N63" s="67">
        <f>'Description Sheet'!L62</f>
        <v>0</v>
      </c>
      <c r="O63" s="68">
        <f>'Description Sheet'!M62</f>
        <v>702</v>
      </c>
      <c r="P63" s="69">
        <f t="shared" si="27"/>
        <v>0</v>
      </c>
      <c r="Q63" s="14"/>
      <c r="R63" s="44"/>
    </row>
    <row r="64" spans="1:18" hidden="1">
      <c r="A64" s="14"/>
      <c r="B64" s="112">
        <f>'Description Sheet'!B63</f>
        <v>6.15</v>
      </c>
      <c r="C64" s="152" t="str">
        <f>'Description Sheet'!C63</f>
        <v>blank</v>
      </c>
      <c r="D64" s="107"/>
      <c r="E64" s="153" t="str">
        <f>IF('Maintenance Schedule'!F78="x","x","")</f>
        <v/>
      </c>
      <c r="F64" s="153" t="str">
        <f t="shared" si="31"/>
        <v/>
      </c>
      <c r="G64" s="154">
        <f t="shared" si="29"/>
        <v>0</v>
      </c>
      <c r="H64" s="155">
        <f t="shared" si="25"/>
        <v>0</v>
      </c>
      <c r="I64" s="156">
        <f t="shared" si="26"/>
        <v>0</v>
      </c>
      <c r="J64" s="14"/>
      <c r="K64" s="15"/>
      <c r="L64" s="32"/>
      <c r="M64" s="67" t="str">
        <f>'Description Sheet'!K63</f>
        <v>item</v>
      </c>
      <c r="N64" s="67">
        <f>'Description Sheet'!L63</f>
        <v>0</v>
      </c>
      <c r="O64" s="68">
        <f>'Description Sheet'!M63</f>
        <v>0</v>
      </c>
      <c r="P64" s="69">
        <f t="shared" si="27"/>
        <v>0</v>
      </c>
      <c r="Q64" s="14"/>
      <c r="R64" s="44"/>
    </row>
    <row r="65" spans="1:19" hidden="1">
      <c r="A65" s="14"/>
      <c r="B65" s="112">
        <f>'Description Sheet'!B64</f>
        <v>6.17</v>
      </c>
      <c r="C65" s="152" t="str">
        <f>'Description Sheet'!C64</f>
        <v>blank</v>
      </c>
      <c r="D65" s="107"/>
      <c r="E65" s="153" t="str">
        <f>IF('Maintenance Schedule'!F79="x","x","")</f>
        <v/>
      </c>
      <c r="F65" s="153" t="str">
        <f t="shared" si="31"/>
        <v/>
      </c>
      <c r="G65" s="154">
        <f t="shared" si="29"/>
        <v>0</v>
      </c>
      <c r="H65" s="155">
        <f t="shared" si="25"/>
        <v>0</v>
      </c>
      <c r="I65" s="156">
        <f t="shared" si="26"/>
        <v>0</v>
      </c>
      <c r="J65" s="14"/>
      <c r="K65" s="15"/>
      <c r="L65" s="32"/>
      <c r="M65" s="67" t="str">
        <f>'Description Sheet'!K64</f>
        <v>item</v>
      </c>
      <c r="N65" s="67">
        <f>'Description Sheet'!L64</f>
        <v>0</v>
      </c>
      <c r="O65" s="68">
        <f>'Description Sheet'!M64</f>
        <v>0</v>
      </c>
      <c r="P65" s="69">
        <f t="shared" si="27"/>
        <v>0</v>
      </c>
      <c r="Q65" s="14"/>
      <c r="R65" s="44"/>
    </row>
    <row r="66" spans="1:19" hidden="1">
      <c r="A66" s="14"/>
      <c r="B66" s="112">
        <f>'Description Sheet'!B65</f>
        <v>6.18</v>
      </c>
      <c r="C66" s="152" t="str">
        <f>'Description Sheet'!C65</f>
        <v>blank</v>
      </c>
      <c r="D66" s="107"/>
      <c r="E66" s="153" t="str">
        <f>IF('Maintenance Schedule'!F80="x","x","")</f>
        <v/>
      </c>
      <c r="F66" s="153" t="str">
        <f t="shared" si="31"/>
        <v/>
      </c>
      <c r="G66" s="154">
        <f t="shared" si="29"/>
        <v>0</v>
      </c>
      <c r="H66" s="155">
        <f t="shared" si="25"/>
        <v>0</v>
      </c>
      <c r="I66" s="156">
        <f t="shared" si="26"/>
        <v>0</v>
      </c>
      <c r="J66" s="14"/>
      <c r="K66" s="15"/>
      <c r="L66" s="32"/>
      <c r="M66" s="67" t="str">
        <f>'Description Sheet'!K65</f>
        <v>item</v>
      </c>
      <c r="N66" s="67">
        <f>'Description Sheet'!L65</f>
        <v>0</v>
      </c>
      <c r="O66" s="68">
        <f>'Description Sheet'!M65</f>
        <v>0</v>
      </c>
      <c r="P66" s="69">
        <f t="shared" si="27"/>
        <v>0</v>
      </c>
      <c r="Q66" s="14"/>
      <c r="R66" s="44"/>
    </row>
    <row r="67" spans="1:19" ht="17" thickBot="1">
      <c r="A67" s="14"/>
      <c r="B67" s="109"/>
      <c r="C67" s="152"/>
      <c r="D67" s="107"/>
      <c r="E67" s="153"/>
      <c r="F67" s="153"/>
      <c r="G67" s="154"/>
      <c r="H67" s="155"/>
      <c r="I67" s="155"/>
      <c r="J67" s="14"/>
      <c r="K67" s="15"/>
      <c r="L67" s="32"/>
      <c r="M67" s="70"/>
      <c r="N67" s="67"/>
      <c r="O67" s="73"/>
      <c r="P67" s="79"/>
      <c r="Q67" s="14"/>
      <c r="R67" s="44"/>
    </row>
    <row r="68" spans="1:19" s="4" customFormat="1" ht="15.75" customHeight="1" thickBot="1">
      <c r="A68" s="14"/>
      <c r="B68" s="109"/>
      <c r="C68" s="115"/>
      <c r="D68" s="107"/>
      <c r="E68" s="159"/>
      <c r="F68" s="528" t="s">
        <v>7</v>
      </c>
      <c r="G68" s="529"/>
      <c r="H68" s="530">
        <f>SUM(I50:I67)</f>
        <v>3190</v>
      </c>
      <c r="I68" s="531"/>
      <c r="J68" s="14"/>
      <c r="K68" s="15"/>
      <c r="L68" s="33"/>
      <c r="M68" s="508" t="s">
        <v>7</v>
      </c>
      <c r="N68" s="509"/>
      <c r="O68" s="510">
        <f>SUM(P50:P67)</f>
        <v>3190</v>
      </c>
      <c r="P68" s="511"/>
      <c r="Q68" s="14"/>
      <c r="R68" s="31"/>
    </row>
    <row r="69" spans="1:19" ht="17" thickBot="1">
      <c r="A69" s="14"/>
      <c r="B69" s="109">
        <f>'Description Sheet'!B68</f>
        <v>7</v>
      </c>
      <c r="C69" s="113" t="str">
        <f>'Description Sheet'!C68</f>
        <v>Painting and Repairs</v>
      </c>
      <c r="D69" s="107"/>
      <c r="E69" s="110"/>
      <c r="F69" s="110"/>
      <c r="G69" s="110"/>
      <c r="H69" s="110"/>
      <c r="I69" s="151"/>
      <c r="J69" s="32"/>
      <c r="K69" s="40"/>
      <c r="L69" s="33"/>
      <c r="M69" s="24"/>
      <c r="N69" s="25"/>
      <c r="O69" s="25"/>
      <c r="P69" s="63"/>
      <c r="Q69" s="14"/>
      <c r="R69" s="44"/>
    </row>
    <row r="70" spans="1:19">
      <c r="A70" s="14"/>
      <c r="B70" s="109">
        <f>'Description Sheet'!B69</f>
        <v>7.1</v>
      </c>
      <c r="C70" s="152" t="str">
        <f>'Description Sheet'!C69</f>
        <v>External  Painting and Remedial Repairs</v>
      </c>
      <c r="D70" s="107"/>
      <c r="E70" s="153" t="str">
        <f>IF('Maintenance Schedule'!F87="x","x","")</f>
        <v>x</v>
      </c>
      <c r="F70" s="153" t="str">
        <f t="shared" ref="F70:F91" si="32">IF(E70="x","No","")</f>
        <v>No</v>
      </c>
      <c r="G70" s="154">
        <f>IF(E70="x",1,0)</f>
        <v>1</v>
      </c>
      <c r="H70" s="155">
        <f t="shared" ref="H70:H91" si="33">IF(E70="x",P70,0)</f>
        <v>1843248.8</v>
      </c>
      <c r="I70" s="156">
        <f>IF(E70="x",G70*H70,0)</f>
        <v>1843248.8</v>
      </c>
      <c r="J70" s="14"/>
      <c r="K70" s="15"/>
      <c r="L70" s="32"/>
      <c r="M70" s="67" t="str">
        <f>'Description Sheet'!K69</f>
        <v>m2</v>
      </c>
      <c r="N70" s="67">
        <f>'Description Sheet'!L69</f>
        <v>1</v>
      </c>
      <c r="O70" s="73">
        <f>'Description Sheet'!M69</f>
        <v>1843248.8</v>
      </c>
      <c r="P70" s="68">
        <f t="shared" ref="P70:P78" si="34">N70*O70</f>
        <v>1843248.8</v>
      </c>
      <c r="Q70" s="14"/>
      <c r="R70" s="44"/>
    </row>
    <row r="71" spans="1:19">
      <c r="A71" s="14"/>
      <c r="B71" s="109">
        <f>'Description Sheet'!B70</f>
        <v>7.2</v>
      </c>
      <c r="C71" s="152" t="str">
        <f>'Description Sheet'!C70</f>
        <v>Internal Repairs to Apartments 505, 405, 305</v>
      </c>
      <c r="D71" s="107"/>
      <c r="E71" s="153" t="str">
        <f>IF('Maintenance Schedule'!F88="x","x","")</f>
        <v>x</v>
      </c>
      <c r="F71" s="153" t="str">
        <f t="shared" si="32"/>
        <v>No</v>
      </c>
      <c r="G71" s="154">
        <f t="shared" ref="G71:G91" si="35">IF(E71="x",1,0)</f>
        <v>1</v>
      </c>
      <c r="H71" s="155">
        <f t="shared" si="33"/>
        <v>155250</v>
      </c>
      <c r="I71" s="156">
        <f t="shared" ref="I71:I82" si="36">IF(E71="x",G71*H71,0)</f>
        <v>155250</v>
      </c>
      <c r="J71" s="14"/>
      <c r="K71" s="15"/>
      <c r="L71" s="32"/>
      <c r="M71" s="67" t="str">
        <f>'Description Sheet'!K70</f>
        <v>m2</v>
      </c>
      <c r="N71" s="67">
        <f>'Description Sheet'!L70</f>
        <v>1</v>
      </c>
      <c r="O71" s="73">
        <f>'Description Sheet'!M70</f>
        <v>155250</v>
      </c>
      <c r="P71" s="68">
        <f t="shared" si="34"/>
        <v>155250</v>
      </c>
      <c r="Q71" s="14"/>
      <c r="R71" s="44"/>
    </row>
    <row r="72" spans="1:19" hidden="1">
      <c r="A72" s="14"/>
      <c r="B72" s="109">
        <f>'Description Sheet'!B71</f>
        <v>7.3</v>
      </c>
      <c r="C72" s="152" t="str">
        <f>'Description Sheet'!C71</f>
        <v>Exposed Tops</v>
      </c>
      <c r="D72" s="107"/>
      <c r="E72" s="153" t="str">
        <f>IF('Maintenance Schedule'!F89="x","x","")</f>
        <v/>
      </c>
      <c r="F72" s="153" t="str">
        <f t="shared" si="32"/>
        <v/>
      </c>
      <c r="G72" s="154">
        <f t="shared" si="35"/>
        <v>0</v>
      </c>
      <c r="H72" s="155">
        <f t="shared" si="33"/>
        <v>0</v>
      </c>
      <c r="I72" s="156">
        <f t="shared" si="36"/>
        <v>0</v>
      </c>
      <c r="J72" s="14"/>
      <c r="K72" s="15"/>
      <c r="L72" s="32"/>
      <c r="M72" s="67" t="str">
        <f>'Description Sheet'!K71</f>
        <v>m2</v>
      </c>
      <c r="N72" s="67">
        <f>'Description Sheet'!L71</f>
        <v>0</v>
      </c>
      <c r="O72" s="73">
        <f>'Description Sheet'!M71</f>
        <v>124</v>
      </c>
      <c r="P72" s="68">
        <f t="shared" si="34"/>
        <v>0</v>
      </c>
      <c r="Q72" s="14"/>
      <c r="R72" s="44"/>
    </row>
    <row r="73" spans="1:19" hidden="1">
      <c r="A73" s="14"/>
      <c r="B73" s="109">
        <f>'Description Sheet'!B72</f>
        <v>7.4</v>
      </c>
      <c r="C73" s="152" t="str">
        <f>'Description Sheet'!C72</f>
        <v>Wall to Frame Sealant (Exposed)</v>
      </c>
      <c r="D73" s="107"/>
      <c r="E73" s="153" t="str">
        <f>IF('Maintenance Schedule'!F90="x","x","")</f>
        <v/>
      </c>
      <c r="F73" s="153" t="str">
        <f>IF(E73="x","All","")</f>
        <v/>
      </c>
      <c r="G73" s="154">
        <f t="shared" si="35"/>
        <v>0</v>
      </c>
      <c r="H73" s="155">
        <f t="shared" si="33"/>
        <v>0</v>
      </c>
      <c r="I73" s="156">
        <f t="shared" si="36"/>
        <v>0</v>
      </c>
      <c r="J73" s="14"/>
      <c r="K73" s="15"/>
      <c r="L73" s="32"/>
      <c r="M73" s="67" t="str">
        <f>'Description Sheet'!K72</f>
        <v>lm</v>
      </c>
      <c r="N73" s="67">
        <f>'Description Sheet'!L72</f>
        <v>0</v>
      </c>
      <c r="O73" s="73">
        <f>'Description Sheet'!M72</f>
        <v>70</v>
      </c>
      <c r="P73" s="68">
        <f t="shared" si="34"/>
        <v>0</v>
      </c>
      <c r="Q73" s="14"/>
      <c r="R73" s="44"/>
    </row>
    <row r="74" spans="1:19" hidden="1">
      <c r="A74" s="14"/>
      <c r="B74" s="109">
        <f>'Description Sheet'!B73</f>
        <v>7.5</v>
      </c>
      <c r="C74" s="152" t="str">
        <f>'Description Sheet'!C73</f>
        <v>Glass to Frame Sealant (Skylights)</v>
      </c>
      <c r="D74" s="107"/>
      <c r="E74" s="153" t="str">
        <f>IF('Maintenance Schedule'!F91="x","x","")</f>
        <v/>
      </c>
      <c r="F74" s="153" t="str">
        <f>IF(E74="x","All","")</f>
        <v/>
      </c>
      <c r="G74" s="154">
        <f t="shared" si="35"/>
        <v>0</v>
      </c>
      <c r="H74" s="155">
        <f t="shared" si="33"/>
        <v>0</v>
      </c>
      <c r="I74" s="156">
        <f t="shared" si="36"/>
        <v>0</v>
      </c>
      <c r="J74" s="14"/>
      <c r="K74" s="15"/>
      <c r="L74" s="32"/>
      <c r="M74" s="67" t="str">
        <f>'Description Sheet'!K73</f>
        <v>All</v>
      </c>
      <c r="N74" s="67">
        <f>'Description Sheet'!L73</f>
        <v>0</v>
      </c>
      <c r="O74" s="73">
        <f>'Description Sheet'!M73</f>
        <v>16200</v>
      </c>
      <c r="P74" s="68">
        <f>N74*O74</f>
        <v>0</v>
      </c>
      <c r="Q74" s="14"/>
      <c r="R74" s="44"/>
    </row>
    <row r="75" spans="1:19" hidden="1">
      <c r="A75" s="14"/>
      <c r="B75" s="109">
        <f>'Description Sheet'!B74</f>
        <v>7.6</v>
      </c>
      <c r="C75" s="152" t="str">
        <f>'Description Sheet'!C74</f>
        <v>Metal Windows and Putty Repairs</v>
      </c>
      <c r="D75" s="107"/>
      <c r="E75" s="153" t="str">
        <f>IF('Maintenance Schedule'!F92="x","x","")</f>
        <v/>
      </c>
      <c r="F75" s="153" t="str">
        <f t="shared" si="32"/>
        <v/>
      </c>
      <c r="G75" s="154">
        <f t="shared" si="35"/>
        <v>0</v>
      </c>
      <c r="H75" s="155">
        <f t="shared" si="33"/>
        <v>0</v>
      </c>
      <c r="I75" s="156">
        <f t="shared" si="36"/>
        <v>0</v>
      </c>
      <c r="J75" s="14"/>
      <c r="K75" s="15"/>
      <c r="L75" s="32"/>
      <c r="M75" s="67" t="str">
        <f>'Description Sheet'!K74</f>
        <v>m2</v>
      </c>
      <c r="N75" s="67">
        <f>'Description Sheet'!L74</f>
        <v>1</v>
      </c>
      <c r="O75" s="73">
        <f>'Description Sheet'!M74</f>
        <v>10000</v>
      </c>
      <c r="P75" s="68">
        <f t="shared" si="34"/>
        <v>10000</v>
      </c>
      <c r="Q75" s="14"/>
      <c r="R75" s="44"/>
      <c r="S75" s="2"/>
    </row>
    <row r="76" spans="1:19" hidden="1">
      <c r="A76" s="14"/>
      <c r="B76" s="109">
        <f>'Description Sheet'!B75</f>
        <v>7.7</v>
      </c>
      <c r="C76" s="152" t="str">
        <f>'Description Sheet'!C75</f>
        <v xml:space="preserve">External Woodwork </v>
      </c>
      <c r="D76" s="107"/>
      <c r="E76" s="153" t="str">
        <f>IF('Maintenance Schedule'!F93="x","x","")</f>
        <v/>
      </c>
      <c r="F76" s="153" t="str">
        <f t="shared" si="32"/>
        <v/>
      </c>
      <c r="G76" s="154">
        <f t="shared" si="35"/>
        <v>0</v>
      </c>
      <c r="H76" s="155">
        <f t="shared" si="33"/>
        <v>0</v>
      </c>
      <c r="I76" s="156">
        <f t="shared" si="36"/>
        <v>0</v>
      </c>
      <c r="J76" s="14"/>
      <c r="K76" s="15"/>
      <c r="L76" s="32"/>
      <c r="M76" s="67" t="str">
        <f>'Description Sheet'!K75</f>
        <v>m2</v>
      </c>
      <c r="N76" s="67">
        <f>'Description Sheet'!L75</f>
        <v>160</v>
      </c>
      <c r="O76" s="73">
        <f>'Description Sheet'!M75</f>
        <v>205</v>
      </c>
      <c r="P76" s="68">
        <f t="shared" si="34"/>
        <v>32800</v>
      </c>
      <c r="Q76" s="14"/>
      <c r="R76" s="44"/>
    </row>
    <row r="77" spans="1:19" hidden="1">
      <c r="A77" s="14"/>
      <c r="B77" s="109">
        <f>'Description Sheet'!B76</f>
        <v>7.8</v>
      </c>
      <c r="C77" s="152" t="str">
        <f>'Description Sheet'!C76</f>
        <v xml:space="preserve">External Steelwork </v>
      </c>
      <c r="D77" s="107"/>
      <c r="E77" s="153" t="str">
        <f>IF('Maintenance Schedule'!F94="x","x","")</f>
        <v/>
      </c>
      <c r="F77" s="153" t="str">
        <f t="shared" si="32"/>
        <v/>
      </c>
      <c r="G77" s="154">
        <f t="shared" si="35"/>
        <v>0</v>
      </c>
      <c r="H77" s="155">
        <f t="shared" si="33"/>
        <v>0</v>
      </c>
      <c r="I77" s="156">
        <f t="shared" si="36"/>
        <v>0</v>
      </c>
      <c r="J77" s="14"/>
      <c r="K77" s="15"/>
      <c r="L77" s="32"/>
      <c r="M77" s="67" t="str">
        <f>'Description Sheet'!K76</f>
        <v>m2</v>
      </c>
      <c r="N77" s="67">
        <f>'Description Sheet'!L76</f>
        <v>40</v>
      </c>
      <c r="O77" s="73">
        <f>'Description Sheet'!M76</f>
        <v>229</v>
      </c>
      <c r="P77" s="68">
        <f t="shared" si="34"/>
        <v>9160</v>
      </c>
      <c r="Q77" s="14"/>
      <c r="R77" s="44"/>
    </row>
    <row r="78" spans="1:19" hidden="1">
      <c r="A78" s="14"/>
      <c r="B78" s="109">
        <f>'Description Sheet'!B77</f>
        <v>7.9</v>
      </c>
      <c r="C78" s="152" t="str">
        <f>'Description Sheet'!C77</f>
        <v xml:space="preserve">Pointing &amp; Brickwork Repairs </v>
      </c>
      <c r="D78" s="107"/>
      <c r="E78" s="153" t="str">
        <f>IF('Maintenance Schedule'!F95="x","x","")</f>
        <v/>
      </c>
      <c r="F78" s="153" t="str">
        <f t="shared" si="32"/>
        <v/>
      </c>
      <c r="G78" s="154">
        <f t="shared" si="35"/>
        <v>0</v>
      </c>
      <c r="H78" s="155">
        <f t="shared" si="33"/>
        <v>0</v>
      </c>
      <c r="I78" s="156">
        <f t="shared" si="36"/>
        <v>0</v>
      </c>
      <c r="J78" s="14"/>
      <c r="K78" s="15"/>
      <c r="L78" s="32"/>
      <c r="M78" s="67" t="str">
        <f>'Description Sheet'!K77</f>
        <v>m2</v>
      </c>
      <c r="N78" s="67">
        <f>'Description Sheet'!L77</f>
        <v>0</v>
      </c>
      <c r="O78" s="73">
        <f>'Description Sheet'!M77</f>
        <v>48600</v>
      </c>
      <c r="P78" s="68">
        <f t="shared" si="34"/>
        <v>0</v>
      </c>
      <c r="Q78" s="14"/>
      <c r="R78" s="44"/>
    </row>
    <row r="79" spans="1:19" hidden="1">
      <c r="A79" s="14"/>
      <c r="B79" s="112">
        <f>'Description Sheet'!B78</f>
        <v>7.1</v>
      </c>
      <c r="C79" s="152" t="str">
        <f>'Description Sheet'!C78</f>
        <v>Brickwork Repairs</v>
      </c>
      <c r="D79" s="107"/>
      <c r="E79" s="153" t="str">
        <f>IF('Maintenance Schedule'!F96="x","x","")</f>
        <v/>
      </c>
      <c r="F79" s="153" t="str">
        <f t="shared" si="32"/>
        <v/>
      </c>
      <c r="G79" s="154">
        <f t="shared" si="35"/>
        <v>0</v>
      </c>
      <c r="H79" s="155">
        <f t="shared" si="33"/>
        <v>0</v>
      </c>
      <c r="I79" s="156">
        <f t="shared" si="36"/>
        <v>0</v>
      </c>
      <c r="J79" s="14"/>
      <c r="K79" s="15"/>
      <c r="L79" s="32"/>
      <c r="M79" s="67" t="str">
        <f>'Description Sheet'!K78</f>
        <v>m2</v>
      </c>
      <c r="N79" s="67">
        <f>'Description Sheet'!L78</f>
        <v>1</v>
      </c>
      <c r="O79" s="73">
        <f>'Description Sheet'!M78</f>
        <v>4118</v>
      </c>
      <c r="P79" s="68">
        <f>N79*O79</f>
        <v>4118</v>
      </c>
      <c r="Q79" s="14"/>
      <c r="R79" s="44"/>
    </row>
    <row r="80" spans="1:19" hidden="1">
      <c r="A80" s="14"/>
      <c r="B80" s="112">
        <f>'Description Sheet'!B79</f>
        <v>7.11</v>
      </c>
      <c r="C80" s="152" t="str">
        <f>'Description Sheet'!C79</f>
        <v>Painted Floors</v>
      </c>
      <c r="D80" s="107"/>
      <c r="E80" s="153" t="str">
        <f>IF('Maintenance Schedule'!F97="x","x","")</f>
        <v/>
      </c>
      <c r="F80" s="153" t="str">
        <f t="shared" si="32"/>
        <v/>
      </c>
      <c r="G80" s="154">
        <f t="shared" si="35"/>
        <v>0</v>
      </c>
      <c r="H80" s="155">
        <f t="shared" si="33"/>
        <v>0</v>
      </c>
      <c r="I80" s="156">
        <f t="shared" si="36"/>
        <v>0</v>
      </c>
      <c r="J80" s="14"/>
      <c r="K80" s="15"/>
      <c r="L80" s="32"/>
      <c r="M80" s="67" t="str">
        <f>'Description Sheet'!K79</f>
        <v>m2</v>
      </c>
      <c r="N80" s="67">
        <f>'Description Sheet'!L79</f>
        <v>680</v>
      </c>
      <c r="O80" s="73">
        <f>'Description Sheet'!M79</f>
        <v>152</v>
      </c>
      <c r="P80" s="68">
        <f>N80*O80</f>
        <v>103360</v>
      </c>
      <c r="Q80" s="14"/>
      <c r="R80" s="44"/>
    </row>
    <row r="81" spans="1:18" hidden="1">
      <c r="A81" s="14"/>
      <c r="B81" s="112">
        <f>'Description Sheet'!B80</f>
        <v>7.12</v>
      </c>
      <c r="C81" s="152" t="str">
        <f>'Description Sheet'!C80</f>
        <v>Nutec Walls</v>
      </c>
      <c r="D81" s="107"/>
      <c r="E81" s="153" t="str">
        <f>IF('Maintenance Schedule'!F98="x","x","")</f>
        <v/>
      </c>
      <c r="F81" s="153" t="str">
        <f t="shared" si="32"/>
        <v/>
      </c>
      <c r="G81" s="154">
        <f t="shared" si="35"/>
        <v>0</v>
      </c>
      <c r="H81" s="155">
        <f t="shared" si="33"/>
        <v>0</v>
      </c>
      <c r="I81" s="156">
        <f t="shared" si="36"/>
        <v>0</v>
      </c>
      <c r="J81" s="14"/>
      <c r="K81" s="15"/>
      <c r="L81" s="32"/>
      <c r="M81" s="67" t="str">
        <f>'Description Sheet'!K80</f>
        <v>m2</v>
      </c>
      <c r="N81" s="67">
        <f>'Description Sheet'!L80</f>
        <v>390</v>
      </c>
      <c r="O81" s="73">
        <f>'Description Sheet'!M80</f>
        <v>111</v>
      </c>
      <c r="P81" s="68">
        <f>N81*O81</f>
        <v>43290</v>
      </c>
      <c r="Q81" s="14"/>
      <c r="R81" s="44"/>
    </row>
    <row r="82" spans="1:18" hidden="1">
      <c r="A82" s="14"/>
      <c r="B82" s="112">
        <f>'Description Sheet'!B81</f>
        <v>7.13</v>
      </c>
      <c r="C82" s="152" t="str">
        <f>'Description Sheet'!C81</f>
        <v xml:space="preserve">Basement Parking Walls and Soffits Areas </v>
      </c>
      <c r="D82" s="107"/>
      <c r="E82" s="153" t="str">
        <f>IF('Maintenance Schedule'!F99="x","x","")</f>
        <v/>
      </c>
      <c r="F82" s="153" t="str">
        <f t="shared" si="32"/>
        <v/>
      </c>
      <c r="G82" s="154">
        <f t="shared" si="35"/>
        <v>0</v>
      </c>
      <c r="H82" s="155">
        <f t="shared" si="33"/>
        <v>0</v>
      </c>
      <c r="I82" s="156">
        <f t="shared" si="36"/>
        <v>0</v>
      </c>
      <c r="J82" s="14"/>
      <c r="K82" s="15"/>
      <c r="L82" s="32"/>
      <c r="M82" s="67" t="str">
        <f>'Description Sheet'!K81</f>
        <v>m2</v>
      </c>
      <c r="N82" s="67">
        <f>'Description Sheet'!L81</f>
        <v>0</v>
      </c>
      <c r="O82" s="73">
        <f>'Description Sheet'!M81</f>
        <v>147</v>
      </c>
      <c r="P82" s="68">
        <f>N82*O82</f>
        <v>0</v>
      </c>
      <c r="Q82" s="14"/>
      <c r="R82" s="44"/>
    </row>
    <row r="83" spans="1:18" hidden="1">
      <c r="A83" s="14"/>
      <c r="B83" s="112">
        <f>'Description Sheet'!B82</f>
        <v>7.14</v>
      </c>
      <c r="C83" s="152" t="str">
        <f>'Description Sheet'!C82</f>
        <v>Internal Common Walls and Soffit Areas</v>
      </c>
      <c r="D83" s="107"/>
      <c r="E83" s="153" t="str">
        <f>IF('Maintenance Schedule'!F100="x","x","")</f>
        <v/>
      </c>
      <c r="F83" s="153" t="str">
        <f t="shared" si="32"/>
        <v/>
      </c>
      <c r="G83" s="154">
        <f t="shared" si="35"/>
        <v>0</v>
      </c>
      <c r="H83" s="155">
        <f t="shared" si="33"/>
        <v>0</v>
      </c>
      <c r="I83" s="156">
        <f t="shared" ref="I83:I91" si="37">IF(E83="x",G83*H83,0)</f>
        <v>0</v>
      </c>
      <c r="J83" s="14"/>
      <c r="K83" s="15"/>
      <c r="L83" s="32"/>
      <c r="M83" s="67" t="str">
        <f>'Description Sheet'!K82</f>
        <v>m2</v>
      </c>
      <c r="N83" s="67">
        <f>'Description Sheet'!L82</f>
        <v>0</v>
      </c>
      <c r="O83" s="73">
        <f>'Description Sheet'!M82</f>
        <v>152</v>
      </c>
      <c r="P83" s="68">
        <f t="shared" ref="P83:P91" si="38">N83*O83</f>
        <v>0</v>
      </c>
      <c r="Q83" s="14"/>
      <c r="R83" s="44"/>
    </row>
    <row r="84" spans="1:18" hidden="1">
      <c r="A84" s="14"/>
      <c r="B84" s="112">
        <f>'Description Sheet'!B83</f>
        <v>7.15</v>
      </c>
      <c r="C84" s="152" t="str">
        <f>'Description Sheet'!C83</f>
        <v xml:space="preserve">Basement Parking Walls and Soffits Areas </v>
      </c>
      <c r="D84" s="107"/>
      <c r="E84" s="153" t="str">
        <f>IF('Maintenance Schedule'!F101="x","x","")</f>
        <v/>
      </c>
      <c r="F84" s="153" t="str">
        <f t="shared" si="32"/>
        <v/>
      </c>
      <c r="G84" s="154">
        <f t="shared" si="35"/>
        <v>0</v>
      </c>
      <c r="H84" s="155">
        <f t="shared" si="33"/>
        <v>0</v>
      </c>
      <c r="I84" s="156">
        <f t="shared" si="37"/>
        <v>0</v>
      </c>
      <c r="J84" s="14"/>
      <c r="K84" s="15"/>
      <c r="L84" s="32"/>
      <c r="M84" s="67" t="str">
        <f>'Description Sheet'!K83</f>
        <v>m2</v>
      </c>
      <c r="N84" s="67">
        <f>'Description Sheet'!L83</f>
        <v>0</v>
      </c>
      <c r="O84" s="73">
        <f>'Description Sheet'!M83</f>
        <v>147</v>
      </c>
      <c r="P84" s="68">
        <f t="shared" si="38"/>
        <v>0</v>
      </c>
      <c r="Q84" s="14"/>
      <c r="R84" s="44"/>
    </row>
    <row r="85" spans="1:18" hidden="1">
      <c r="A85" s="14"/>
      <c r="B85" s="112">
        <f>'Description Sheet'!B84</f>
        <v>7.16</v>
      </c>
      <c r="C85" s="152" t="str">
        <f>'Description Sheet'!C84</f>
        <v>Cleaning of Cladding Panels</v>
      </c>
      <c r="D85" s="107"/>
      <c r="E85" s="153" t="str">
        <f>IF('Maintenance Schedule'!F102="x","x","")</f>
        <v/>
      </c>
      <c r="F85" s="153" t="str">
        <f t="shared" si="32"/>
        <v/>
      </c>
      <c r="G85" s="154">
        <f t="shared" si="35"/>
        <v>0</v>
      </c>
      <c r="H85" s="155">
        <f t="shared" si="33"/>
        <v>0</v>
      </c>
      <c r="I85" s="156">
        <f t="shared" si="37"/>
        <v>0</v>
      </c>
      <c r="J85" s="14"/>
      <c r="K85" s="15"/>
      <c r="L85" s="32"/>
      <c r="M85" s="67" t="str">
        <f>'Description Sheet'!K84</f>
        <v>m2</v>
      </c>
      <c r="N85" s="67">
        <f>'Description Sheet'!L84</f>
        <v>0</v>
      </c>
      <c r="O85" s="73">
        <f>'Description Sheet'!M84</f>
        <v>102</v>
      </c>
      <c r="P85" s="68">
        <f t="shared" si="38"/>
        <v>0</v>
      </c>
      <c r="Q85" s="14"/>
      <c r="R85" s="44"/>
    </row>
    <row r="86" spans="1:18" hidden="1">
      <c r="A86" s="14"/>
      <c r="B86" s="112">
        <f>'Description Sheet'!B85</f>
        <v>7.17</v>
      </c>
      <c r="C86" s="152" t="str">
        <f>'Description Sheet'!C85</f>
        <v>Painting of Facais and Barge Boarding</v>
      </c>
      <c r="D86" s="107"/>
      <c r="E86" s="153" t="str">
        <f>IF('Maintenance Schedule'!F103="x","x","")</f>
        <v/>
      </c>
      <c r="F86" s="153" t="str">
        <f t="shared" si="32"/>
        <v/>
      </c>
      <c r="G86" s="154">
        <f t="shared" si="35"/>
        <v>0</v>
      </c>
      <c r="H86" s="155">
        <f t="shared" si="33"/>
        <v>0</v>
      </c>
      <c r="I86" s="156">
        <f t="shared" si="37"/>
        <v>0</v>
      </c>
      <c r="J86" s="14"/>
      <c r="K86" s="15"/>
      <c r="L86" s="32"/>
      <c r="M86" s="67" t="str">
        <f>'Description Sheet'!K85</f>
        <v>m2</v>
      </c>
      <c r="N86" s="67">
        <f>'Description Sheet'!L85</f>
        <v>0</v>
      </c>
      <c r="O86" s="73">
        <f>'Description Sheet'!M85</f>
        <v>135</v>
      </c>
      <c r="P86" s="68">
        <f t="shared" si="38"/>
        <v>0</v>
      </c>
      <c r="Q86" s="14"/>
      <c r="R86" s="44"/>
    </row>
    <row r="87" spans="1:18" hidden="1">
      <c r="A87" s="14"/>
      <c r="B87" s="112">
        <f>'Description Sheet'!B86</f>
        <v>7.18</v>
      </c>
      <c r="C87" s="152" t="str">
        <f>'Description Sheet'!C86</f>
        <v>Painting External Wooden Soffits</v>
      </c>
      <c r="D87" s="107"/>
      <c r="E87" s="153" t="str">
        <f>IF('Maintenance Schedule'!F104="x","x","")</f>
        <v/>
      </c>
      <c r="F87" s="153" t="str">
        <f t="shared" si="32"/>
        <v/>
      </c>
      <c r="G87" s="154">
        <f t="shared" si="35"/>
        <v>0</v>
      </c>
      <c r="H87" s="155">
        <f t="shared" si="33"/>
        <v>0</v>
      </c>
      <c r="I87" s="156">
        <f t="shared" si="37"/>
        <v>0</v>
      </c>
      <c r="J87" s="14"/>
      <c r="K87" s="15"/>
      <c r="L87" s="32"/>
      <c r="M87" s="67" t="str">
        <f>'Description Sheet'!K86</f>
        <v>m2</v>
      </c>
      <c r="N87" s="67">
        <f>'Description Sheet'!L86</f>
        <v>0</v>
      </c>
      <c r="O87" s="73">
        <f>'Description Sheet'!M86</f>
        <v>70</v>
      </c>
      <c r="P87" s="68">
        <f t="shared" si="38"/>
        <v>0</v>
      </c>
      <c r="Q87" s="14"/>
      <c r="R87" s="44"/>
    </row>
    <row r="88" spans="1:18" hidden="1">
      <c r="A88" s="14"/>
      <c r="B88" s="112">
        <f>'Description Sheet'!B87</f>
        <v>7.19</v>
      </c>
      <c r="C88" s="152" t="str">
        <f>'Description Sheet'!C87</f>
        <v>Painting of Palisade Fencing</v>
      </c>
      <c r="D88" s="107"/>
      <c r="E88" s="153" t="str">
        <f>IF('Maintenance Schedule'!F105="x","x","")</f>
        <v/>
      </c>
      <c r="F88" s="153" t="str">
        <f t="shared" si="32"/>
        <v/>
      </c>
      <c r="G88" s="154">
        <f t="shared" si="35"/>
        <v>0</v>
      </c>
      <c r="H88" s="155">
        <f t="shared" si="33"/>
        <v>0</v>
      </c>
      <c r="I88" s="156">
        <f t="shared" si="37"/>
        <v>0</v>
      </c>
      <c r="J88" s="14"/>
      <c r="K88" s="15"/>
      <c r="L88" s="32"/>
      <c r="M88" s="67" t="str">
        <f>'Description Sheet'!K87</f>
        <v>m2</v>
      </c>
      <c r="N88" s="67">
        <f>'Description Sheet'!L87</f>
        <v>0</v>
      </c>
      <c r="O88" s="73">
        <f>'Description Sheet'!M87</f>
        <v>70</v>
      </c>
      <c r="P88" s="68">
        <f t="shared" si="38"/>
        <v>0</v>
      </c>
      <c r="Q88" s="14"/>
      <c r="R88" s="44"/>
    </row>
    <row r="89" spans="1:18" hidden="1">
      <c r="A89" s="14"/>
      <c r="B89" s="112">
        <f>'Description Sheet'!B88</f>
        <v>7.2</v>
      </c>
      <c r="C89" s="152" t="str">
        <f>'Description Sheet'!C88</f>
        <v>blank</v>
      </c>
      <c r="D89" s="107"/>
      <c r="E89" s="153" t="str">
        <f>IF('Maintenance Schedule'!F106="x","x","")</f>
        <v/>
      </c>
      <c r="F89" s="153" t="str">
        <f t="shared" si="32"/>
        <v/>
      </c>
      <c r="G89" s="154">
        <f t="shared" si="35"/>
        <v>0</v>
      </c>
      <c r="H89" s="155">
        <f t="shared" si="33"/>
        <v>0</v>
      </c>
      <c r="I89" s="156">
        <f t="shared" si="37"/>
        <v>0</v>
      </c>
      <c r="J89" s="14"/>
      <c r="K89" s="15"/>
      <c r="L89" s="32"/>
      <c r="M89" s="67" t="str">
        <f>'Description Sheet'!K88</f>
        <v>m3</v>
      </c>
      <c r="N89" s="67">
        <f>'Description Sheet'!L88</f>
        <v>0</v>
      </c>
      <c r="O89" s="73">
        <f>'Description Sheet'!M88</f>
        <v>178</v>
      </c>
      <c r="P89" s="68">
        <f t="shared" si="38"/>
        <v>0</v>
      </c>
      <c r="Q89" s="14"/>
      <c r="R89" s="44"/>
    </row>
    <row r="90" spans="1:18" hidden="1">
      <c r="A90" s="14"/>
      <c r="B90" s="112">
        <f>'Description Sheet'!B89</f>
        <v>7.21</v>
      </c>
      <c r="C90" s="152" t="str">
        <f>'Description Sheet'!C89</f>
        <v>blank</v>
      </c>
      <c r="D90" s="107"/>
      <c r="E90" s="153" t="str">
        <f>IF('Maintenance Schedule'!F107="x","x","")</f>
        <v/>
      </c>
      <c r="F90" s="153" t="str">
        <f t="shared" si="32"/>
        <v/>
      </c>
      <c r="G90" s="154">
        <f t="shared" si="35"/>
        <v>0</v>
      </c>
      <c r="H90" s="155">
        <f t="shared" si="33"/>
        <v>0</v>
      </c>
      <c r="I90" s="156">
        <f t="shared" si="37"/>
        <v>0</v>
      </c>
      <c r="J90" s="14"/>
      <c r="K90" s="15"/>
      <c r="L90" s="32"/>
      <c r="M90" s="67" t="str">
        <f>'Description Sheet'!K89</f>
        <v>m3</v>
      </c>
      <c r="N90" s="67">
        <f>'Description Sheet'!L89</f>
        <v>0</v>
      </c>
      <c r="O90" s="73">
        <f>'Description Sheet'!M89</f>
        <v>10260</v>
      </c>
      <c r="P90" s="68">
        <f t="shared" si="38"/>
        <v>0</v>
      </c>
      <c r="Q90" s="14"/>
      <c r="R90" s="44"/>
    </row>
    <row r="91" spans="1:18" hidden="1">
      <c r="A91" s="14"/>
      <c r="B91" s="112">
        <f>'Description Sheet'!B90</f>
        <v>7.22</v>
      </c>
      <c r="C91" s="152" t="str">
        <f>'Description Sheet'!C90</f>
        <v>blank</v>
      </c>
      <c r="D91" s="107"/>
      <c r="E91" s="153" t="str">
        <f>IF('Maintenance Schedule'!F108="x","x","")</f>
        <v/>
      </c>
      <c r="F91" s="153" t="str">
        <f t="shared" si="32"/>
        <v/>
      </c>
      <c r="G91" s="154">
        <f t="shared" si="35"/>
        <v>0</v>
      </c>
      <c r="H91" s="155">
        <f t="shared" si="33"/>
        <v>0</v>
      </c>
      <c r="I91" s="156">
        <f t="shared" si="37"/>
        <v>0</v>
      </c>
      <c r="J91" s="14"/>
      <c r="K91" s="15"/>
      <c r="L91" s="32"/>
      <c r="M91" s="67" t="str">
        <f>'Description Sheet'!K90</f>
        <v>m3</v>
      </c>
      <c r="N91" s="67">
        <f>'Description Sheet'!L90</f>
        <v>0</v>
      </c>
      <c r="O91" s="73">
        <f>'Description Sheet'!M90</f>
        <v>0</v>
      </c>
      <c r="P91" s="68">
        <f t="shared" si="38"/>
        <v>0</v>
      </c>
      <c r="Q91" s="14"/>
      <c r="R91" s="44"/>
    </row>
    <row r="92" spans="1:18" ht="17" thickBot="1">
      <c r="A92" s="14"/>
      <c r="B92" s="109"/>
      <c r="C92" s="152"/>
      <c r="D92" s="107"/>
      <c r="E92" s="153"/>
      <c r="F92" s="153" t="str">
        <f>IF(E92="x",M92,"")</f>
        <v/>
      </c>
      <c r="G92" s="154"/>
      <c r="H92" s="155"/>
      <c r="I92" s="156"/>
      <c r="J92" s="14"/>
      <c r="K92" s="15"/>
      <c r="L92" s="32"/>
      <c r="M92" s="70"/>
      <c r="N92" s="67"/>
      <c r="O92" s="73"/>
      <c r="P92" s="68"/>
      <c r="Q92" s="14"/>
      <c r="R92" s="44"/>
    </row>
    <row r="93" spans="1:18" s="4" customFormat="1" ht="15.75" customHeight="1" thickBot="1">
      <c r="A93" s="14"/>
      <c r="B93" s="109"/>
      <c r="C93" s="115"/>
      <c r="D93" s="107"/>
      <c r="E93" s="163"/>
      <c r="F93" s="528" t="s">
        <v>7</v>
      </c>
      <c r="G93" s="529"/>
      <c r="H93" s="530">
        <f>SUM(I70:I92)</f>
        <v>1998498.8</v>
      </c>
      <c r="I93" s="531"/>
      <c r="J93" s="14"/>
      <c r="K93" s="15"/>
      <c r="L93" s="33"/>
      <c r="M93" s="508" t="s">
        <v>7</v>
      </c>
      <c r="N93" s="509"/>
      <c r="O93" s="510">
        <f>SUM(P70:P92)</f>
        <v>2201226.7999999998</v>
      </c>
      <c r="P93" s="511"/>
      <c r="Q93" s="14"/>
      <c r="R93" s="31"/>
    </row>
    <row r="94" spans="1:18" ht="18" thickBot="1">
      <c r="A94" s="14"/>
      <c r="B94" s="179" t="s">
        <v>41</v>
      </c>
      <c r="C94" s="113" t="str">
        <f>'Description Sheet'!C93</f>
        <v xml:space="preserve">Waterproofing </v>
      </c>
      <c r="D94" s="107"/>
      <c r="E94" s="110"/>
      <c r="F94" s="110"/>
      <c r="G94" s="110"/>
      <c r="H94" s="110"/>
      <c r="I94" s="151"/>
      <c r="J94" s="32"/>
      <c r="K94" s="40"/>
      <c r="L94" s="33"/>
      <c r="M94" s="24"/>
      <c r="N94" s="25"/>
      <c r="O94" s="25"/>
      <c r="P94" s="63"/>
      <c r="Q94" s="14"/>
      <c r="R94" s="44"/>
    </row>
    <row r="95" spans="1:18">
      <c r="A95" s="14"/>
      <c r="B95" s="112">
        <f>'Description Sheet'!B94</f>
        <v>7.23</v>
      </c>
      <c r="C95" s="152" t="str">
        <f>'Description Sheet'!C94</f>
        <v>Waterproofing of Walkways</v>
      </c>
      <c r="D95" s="107"/>
      <c r="E95" s="153" t="str">
        <f>IF('Maintenance Schedule'!F115="x","x","")</f>
        <v>x</v>
      </c>
      <c r="F95" s="153" t="str">
        <f t="shared" ref="F95:F102" si="39">IF(E95="x","No","")</f>
        <v>No</v>
      </c>
      <c r="G95" s="154">
        <f>IF(E95="x",1,0)</f>
        <v>1</v>
      </c>
      <c r="H95" s="155">
        <f t="shared" ref="H95" si="40">IF(E95="x",P95,0)</f>
        <v>161894.70000000001</v>
      </c>
      <c r="I95" s="156">
        <f>IF(E95="x",G95*H95,0)</f>
        <v>161894.70000000001</v>
      </c>
      <c r="J95" s="14"/>
      <c r="K95" s="15"/>
      <c r="L95" s="32"/>
      <c r="M95" s="86" t="str">
        <f>'Description Sheet'!K94</f>
        <v>m2</v>
      </c>
      <c r="N95" s="67">
        <f>'Description Sheet'!L94</f>
        <v>1</v>
      </c>
      <c r="O95" s="79">
        <f>'Description Sheet'!M94</f>
        <v>161894.70000000001</v>
      </c>
      <c r="P95" s="69">
        <f>N95*O95</f>
        <v>161894.70000000001</v>
      </c>
      <c r="Q95" s="14"/>
      <c r="R95" s="44"/>
    </row>
    <row r="96" spans="1:18" hidden="1">
      <c r="A96" s="14"/>
      <c r="B96" s="112">
        <f>'Description Sheet'!B95</f>
        <v>7.24</v>
      </c>
      <c r="C96" s="152" t="str">
        <f>'Description Sheet'!C95</f>
        <v>Roof Repairs (Phase 2)</v>
      </c>
      <c r="D96" s="107"/>
      <c r="E96" s="153" t="str">
        <f>IF('Maintenance Schedule'!F116="x","x","")</f>
        <v/>
      </c>
      <c r="F96" s="153" t="str">
        <f t="shared" si="39"/>
        <v/>
      </c>
      <c r="G96" s="154">
        <f t="shared" ref="G96:G102" si="41">IF(E96="x",1,0)</f>
        <v>0</v>
      </c>
      <c r="H96" s="155">
        <f>IF(E96="x",P96,0)</f>
        <v>0</v>
      </c>
      <c r="I96" s="156">
        <f>IF(E96="x",G96*H96,0)</f>
        <v>0</v>
      </c>
      <c r="J96" s="14"/>
      <c r="K96" s="15"/>
      <c r="L96" s="32"/>
      <c r="M96" s="86" t="str">
        <f>'Description Sheet'!K95</f>
        <v>m2</v>
      </c>
      <c r="N96" s="67">
        <f>'Description Sheet'!L95</f>
        <v>1</v>
      </c>
      <c r="O96" s="79">
        <f>'Description Sheet'!M95</f>
        <v>500000</v>
      </c>
      <c r="P96" s="69">
        <f>N96*O96</f>
        <v>500000</v>
      </c>
      <c r="Q96" s="14"/>
      <c r="R96" s="44"/>
    </row>
    <row r="97" spans="1:18" hidden="1">
      <c r="A97" s="14"/>
      <c r="B97" s="112">
        <f>'Description Sheet'!B96</f>
        <v>7.25</v>
      </c>
      <c r="C97" s="152" t="str">
        <f>'Description Sheet'!C96</f>
        <v xml:space="preserve">Flat Roof Service </v>
      </c>
      <c r="D97" s="107"/>
      <c r="E97" s="153" t="str">
        <f>IF('Maintenance Schedule'!F117="x","x","")</f>
        <v/>
      </c>
      <c r="F97" s="153" t="str">
        <f t="shared" si="39"/>
        <v/>
      </c>
      <c r="G97" s="154">
        <f t="shared" si="41"/>
        <v>0</v>
      </c>
      <c r="H97" s="155">
        <f>IF(E97="x",P97,0)</f>
        <v>0</v>
      </c>
      <c r="I97" s="156">
        <f>IF(E97="x",G97*H97,0)</f>
        <v>0</v>
      </c>
      <c r="J97" s="14"/>
      <c r="K97" s="15"/>
      <c r="L97" s="32"/>
      <c r="M97" s="86" t="str">
        <f>'Description Sheet'!K96</f>
        <v>m2</v>
      </c>
      <c r="N97" s="67">
        <f>'Description Sheet'!L96</f>
        <v>895</v>
      </c>
      <c r="O97" s="79">
        <f>'Description Sheet'!M96</f>
        <v>65</v>
      </c>
      <c r="P97" s="69">
        <f>N97*O97</f>
        <v>58175</v>
      </c>
      <c r="Q97" s="14"/>
      <c r="R97" s="44"/>
    </row>
    <row r="98" spans="1:18" hidden="1">
      <c r="A98" s="14"/>
      <c r="B98" s="112">
        <f>'Description Sheet'!B97</f>
        <v>7.26</v>
      </c>
      <c r="C98" s="152" t="str">
        <f>'Description Sheet'!C97</f>
        <v>Flat Roof Replacement</v>
      </c>
      <c r="D98" s="107"/>
      <c r="E98" s="153" t="str">
        <f>IF('Maintenance Schedule'!F118="x","x","")</f>
        <v/>
      </c>
      <c r="F98" s="153" t="str">
        <f t="shared" si="39"/>
        <v/>
      </c>
      <c r="G98" s="154">
        <f t="shared" si="41"/>
        <v>0</v>
      </c>
      <c r="H98" s="155">
        <f>IF(E98="x",P98,0)</f>
        <v>0</v>
      </c>
      <c r="I98" s="156">
        <f>IF(E98="x",G98*H98,0)</f>
        <v>0</v>
      </c>
      <c r="J98" s="14"/>
      <c r="K98" s="15"/>
      <c r="L98" s="32"/>
      <c r="M98" s="86" t="str">
        <f>'Description Sheet'!K97</f>
        <v>m2</v>
      </c>
      <c r="N98" s="67">
        <f>'Description Sheet'!L97</f>
        <v>1</v>
      </c>
      <c r="O98" s="79">
        <f>'Description Sheet'!M97</f>
        <v>647147</v>
      </c>
      <c r="P98" s="69">
        <f>N98*O98</f>
        <v>647147</v>
      </c>
      <c r="Q98" s="14"/>
      <c r="R98" s="44"/>
    </row>
    <row r="99" spans="1:18" hidden="1">
      <c r="A99" s="14"/>
      <c r="B99" s="112">
        <f>'Description Sheet'!B98</f>
        <v>7.27</v>
      </c>
      <c r="C99" s="152" t="str">
        <f>'Description Sheet'!C98</f>
        <v xml:space="preserve">Walkway and Staircases (Cementitious Waterproofing) </v>
      </c>
      <c r="D99" s="107"/>
      <c r="E99" s="153" t="str">
        <f>IF('Maintenance Schedule'!F119="x","x","")</f>
        <v/>
      </c>
      <c r="F99" s="153" t="str">
        <f t="shared" si="39"/>
        <v/>
      </c>
      <c r="G99" s="154">
        <f t="shared" si="41"/>
        <v>0</v>
      </c>
      <c r="H99" s="155">
        <f>IF(E99="x",P99,0)</f>
        <v>0</v>
      </c>
      <c r="I99" s="156">
        <f>IF(E99="x",G99*H99,0)</f>
        <v>0</v>
      </c>
      <c r="J99" s="14"/>
      <c r="K99" s="15"/>
      <c r="L99" s="32"/>
      <c r="M99" s="86" t="str">
        <f>'Description Sheet'!K98</f>
        <v>m2</v>
      </c>
      <c r="N99" s="67">
        <f>'Description Sheet'!L98</f>
        <v>0</v>
      </c>
      <c r="O99" s="79">
        <f>'Description Sheet'!M98</f>
        <v>410</v>
      </c>
      <c r="P99" s="69">
        <f>N99*O99</f>
        <v>0</v>
      </c>
      <c r="Q99" s="14"/>
      <c r="R99" s="44"/>
    </row>
    <row r="100" spans="1:18" hidden="1">
      <c r="A100" s="14"/>
      <c r="B100" s="112">
        <f>'Description Sheet'!B99</f>
        <v>7.28</v>
      </c>
      <c r="C100" s="152" t="str">
        <f>'Description Sheet'!C99</f>
        <v>Waterproofing Servicing of Parapets</v>
      </c>
      <c r="D100" s="107"/>
      <c r="E100" s="153" t="str">
        <f>IF('Maintenance Schedule'!F120="x","x","")</f>
        <v/>
      </c>
      <c r="F100" s="153" t="str">
        <f t="shared" si="39"/>
        <v/>
      </c>
      <c r="G100" s="154">
        <f t="shared" si="41"/>
        <v>0</v>
      </c>
      <c r="H100" s="155">
        <f t="shared" ref="H100:H102" si="42">IF(E100="x",P100,0)</f>
        <v>0</v>
      </c>
      <c r="I100" s="156">
        <f t="shared" ref="I100:I102" si="43">IF(E100="x",G100*H100,0)</f>
        <v>0</v>
      </c>
      <c r="J100" s="14"/>
      <c r="K100" s="15"/>
      <c r="L100" s="32"/>
      <c r="M100" s="86" t="str">
        <f>'Description Sheet'!K99</f>
        <v>m2</v>
      </c>
      <c r="N100" s="67">
        <f>'Description Sheet'!L99</f>
        <v>0</v>
      </c>
      <c r="O100" s="79">
        <f>'Description Sheet'!M99</f>
        <v>102</v>
      </c>
      <c r="P100" s="69">
        <f t="shared" ref="P100:P102" si="44">N100*O100</f>
        <v>0</v>
      </c>
      <c r="Q100" s="14"/>
      <c r="R100" s="44"/>
    </row>
    <row r="101" spans="1:18" hidden="1">
      <c r="A101" s="14"/>
      <c r="B101" s="112">
        <f>'Description Sheet'!B100</f>
        <v>7.29</v>
      </c>
      <c r="C101" s="152" t="str">
        <f>'Description Sheet'!C100</f>
        <v>blank</v>
      </c>
      <c r="D101" s="107"/>
      <c r="E101" s="153" t="str">
        <f>IF('Maintenance Schedule'!F121="x","x","")</f>
        <v/>
      </c>
      <c r="F101" s="153" t="str">
        <f t="shared" si="39"/>
        <v/>
      </c>
      <c r="G101" s="154">
        <f t="shared" si="41"/>
        <v>0</v>
      </c>
      <c r="H101" s="155">
        <f t="shared" si="42"/>
        <v>0</v>
      </c>
      <c r="I101" s="156">
        <f t="shared" si="43"/>
        <v>0</v>
      </c>
      <c r="J101" s="14"/>
      <c r="K101" s="15"/>
      <c r="L101" s="32"/>
      <c r="M101" s="86" t="str">
        <f>'Description Sheet'!K100</f>
        <v>m2</v>
      </c>
      <c r="N101" s="67">
        <f>'Description Sheet'!L100</f>
        <v>0</v>
      </c>
      <c r="O101" s="79">
        <f>'Description Sheet'!M100</f>
        <v>0</v>
      </c>
      <c r="P101" s="69">
        <f t="shared" si="44"/>
        <v>0</v>
      </c>
      <c r="Q101" s="14"/>
      <c r="R101" s="44"/>
    </row>
    <row r="102" spans="1:18" hidden="1">
      <c r="A102" s="14"/>
      <c r="B102" s="112">
        <f>'Description Sheet'!B101</f>
        <v>7.3</v>
      </c>
      <c r="C102" s="152" t="str">
        <f>'Description Sheet'!C101</f>
        <v>blank</v>
      </c>
      <c r="D102" s="107"/>
      <c r="E102" s="153" t="str">
        <f>IF('Maintenance Schedule'!F122="x","x","")</f>
        <v/>
      </c>
      <c r="F102" s="153" t="str">
        <f t="shared" si="39"/>
        <v/>
      </c>
      <c r="G102" s="154">
        <f t="shared" si="41"/>
        <v>0</v>
      </c>
      <c r="H102" s="155">
        <f t="shared" si="42"/>
        <v>0</v>
      </c>
      <c r="I102" s="156">
        <f t="shared" si="43"/>
        <v>0</v>
      </c>
      <c r="J102" s="14"/>
      <c r="K102" s="15"/>
      <c r="L102" s="32"/>
      <c r="M102" s="86" t="str">
        <f>'Description Sheet'!K101</f>
        <v>m2</v>
      </c>
      <c r="N102" s="67">
        <f>'Description Sheet'!L101</f>
        <v>0</v>
      </c>
      <c r="O102" s="79">
        <f>'Description Sheet'!M101</f>
        <v>0</v>
      </c>
      <c r="P102" s="69">
        <f t="shared" si="44"/>
        <v>0</v>
      </c>
      <c r="Q102" s="14"/>
      <c r="R102" s="44"/>
    </row>
    <row r="103" spans="1:18" ht="17" thickBot="1">
      <c r="A103" s="14"/>
      <c r="B103" s="109"/>
      <c r="C103" s="152"/>
      <c r="D103" s="107"/>
      <c r="E103" s="153"/>
      <c r="F103" s="154"/>
      <c r="G103" s="154"/>
      <c r="H103" s="155"/>
      <c r="I103" s="156"/>
      <c r="J103" s="14"/>
      <c r="K103" s="15"/>
      <c r="L103" s="32"/>
      <c r="M103" s="70"/>
      <c r="N103" s="67"/>
      <c r="O103" s="68"/>
      <c r="P103" s="69"/>
      <c r="Q103" s="14"/>
      <c r="R103" s="44"/>
    </row>
    <row r="104" spans="1:18" s="4" customFormat="1" ht="15.75" customHeight="1" thickBot="1">
      <c r="A104" s="14"/>
      <c r="B104" s="109"/>
      <c r="C104" s="115"/>
      <c r="D104" s="107"/>
      <c r="E104" s="159"/>
      <c r="F104" s="528" t="s">
        <v>7</v>
      </c>
      <c r="G104" s="529"/>
      <c r="H104" s="530">
        <f>SUM(I95:I102)</f>
        <v>161894.70000000001</v>
      </c>
      <c r="I104" s="531"/>
      <c r="J104" s="14"/>
      <c r="K104" s="15"/>
      <c r="L104" s="33"/>
      <c r="M104" s="508" t="s">
        <v>7</v>
      </c>
      <c r="N104" s="509"/>
      <c r="O104" s="510">
        <f>SUM(P95:P103)</f>
        <v>1367216.7</v>
      </c>
      <c r="P104" s="511"/>
      <c r="Q104" s="14"/>
      <c r="R104" s="31"/>
    </row>
    <row r="105" spans="1:18" ht="17" thickBot="1">
      <c r="A105" s="14"/>
      <c r="B105" s="109">
        <f>'Description Sheet'!B104</f>
        <v>8</v>
      </c>
      <c r="C105" s="113" t="str">
        <f>'Description Sheet'!C104</f>
        <v>Communication and Service Supply Systems</v>
      </c>
      <c r="D105" s="107"/>
      <c r="E105" s="110"/>
      <c r="F105" s="110"/>
      <c r="G105" s="110"/>
      <c r="H105" s="110"/>
      <c r="I105" s="151"/>
      <c r="J105" s="32"/>
      <c r="K105" s="40"/>
      <c r="L105" s="33"/>
      <c r="M105" s="24"/>
      <c r="N105" s="25"/>
      <c r="O105" s="25"/>
      <c r="P105" s="63"/>
      <c r="Q105" s="14"/>
      <c r="R105" s="44"/>
    </row>
    <row r="106" spans="1:18" ht="17" hidden="1">
      <c r="A106" s="14"/>
      <c r="B106" s="109">
        <f>'Description Sheet'!B105</f>
        <v>8.1</v>
      </c>
      <c r="C106" s="164" t="str">
        <f>'Description Sheet'!C105</f>
        <v>Communication Systems (Service &amp; Upgrade Savings)</v>
      </c>
      <c r="D106" s="107"/>
      <c r="E106" s="153" t="str">
        <f>IF('Maintenance Schedule'!F129="x","x","")</f>
        <v/>
      </c>
      <c r="F106" s="153" t="str">
        <f>IF(E106="x","No","")</f>
        <v/>
      </c>
      <c r="G106" s="154">
        <f>IF(E106="x",1,0)</f>
        <v>0</v>
      </c>
      <c r="H106" s="155">
        <f t="shared" ref="H106:H109" si="45">IF(E106="x",P106,0)</f>
        <v>0</v>
      </c>
      <c r="I106" s="156">
        <f>IF(E106="x",G106*H106,0)</f>
        <v>0</v>
      </c>
      <c r="J106" s="14"/>
      <c r="K106" s="15"/>
      <c r="L106" s="32"/>
      <c r="M106" s="67" t="str">
        <f>'Description Sheet'!K105</f>
        <v>No</v>
      </c>
      <c r="N106" s="67">
        <f>'Description Sheet'!L105</f>
        <v>0</v>
      </c>
      <c r="O106" s="79">
        <f>'Description Sheet'!M105</f>
        <v>2941</v>
      </c>
      <c r="P106" s="69">
        <f>N106*O106</f>
        <v>0</v>
      </c>
      <c r="Q106" s="14"/>
      <c r="R106" s="44"/>
    </row>
    <row r="107" spans="1:18" ht="17">
      <c r="A107" s="14"/>
      <c r="B107" s="109">
        <f>'Description Sheet'!B106</f>
        <v>8.1999999999999993</v>
      </c>
      <c r="C107" s="164" t="str">
        <f>'Description Sheet'!C106</f>
        <v>Intercom Systems (Replacement Maintenance/Savings)</v>
      </c>
      <c r="D107" s="107"/>
      <c r="E107" s="153" t="str">
        <f>IF('Maintenance Schedule'!F130="x","x","")</f>
        <v>x</v>
      </c>
      <c r="F107" s="153" t="str">
        <f t="shared" ref="F107:F109" si="46">IF(E107="x","No","")</f>
        <v>No</v>
      </c>
      <c r="G107" s="154">
        <f t="shared" ref="G107:G109" si="47">IF(E107="x",1,0)</f>
        <v>1</v>
      </c>
      <c r="H107" s="155">
        <f t="shared" si="45"/>
        <v>4118</v>
      </c>
      <c r="I107" s="156">
        <f t="shared" ref="I107:I109" si="48">IF(E107="x",G107*H107,0)</f>
        <v>4118</v>
      </c>
      <c r="J107" s="14"/>
      <c r="K107" s="15"/>
      <c r="L107" s="32"/>
      <c r="M107" s="67" t="str">
        <f>'Description Sheet'!K106</f>
        <v>No</v>
      </c>
      <c r="N107" s="67">
        <f>'Description Sheet'!L106</f>
        <v>1</v>
      </c>
      <c r="O107" s="79">
        <f>'Description Sheet'!M106</f>
        <v>4118</v>
      </c>
      <c r="P107" s="69">
        <f t="shared" ref="P107:P109" si="49">N107*O107</f>
        <v>4118</v>
      </c>
      <c r="Q107" s="14"/>
      <c r="R107" s="44"/>
    </row>
    <row r="108" spans="1:18" ht="17" hidden="1">
      <c r="A108" s="14"/>
      <c r="B108" s="109">
        <f>'Description Sheet'!B107</f>
        <v>8.3000000000000007</v>
      </c>
      <c r="C108" s="164" t="str">
        <f>'Description Sheet'!C107</f>
        <v xml:space="preserve">Intercom System Replacement </v>
      </c>
      <c r="D108" s="107"/>
      <c r="E108" s="153" t="str">
        <f>IF('Maintenance Schedule'!F131="x","x","")</f>
        <v/>
      </c>
      <c r="F108" s="153" t="str">
        <f t="shared" si="46"/>
        <v/>
      </c>
      <c r="G108" s="154">
        <f t="shared" si="47"/>
        <v>0</v>
      </c>
      <c r="H108" s="155">
        <f t="shared" si="45"/>
        <v>0</v>
      </c>
      <c r="I108" s="156">
        <f t="shared" si="48"/>
        <v>0</v>
      </c>
      <c r="J108" s="14"/>
      <c r="K108" s="15"/>
      <c r="L108" s="32"/>
      <c r="M108" s="67" t="str">
        <f>'Description Sheet'!K107</f>
        <v>No</v>
      </c>
      <c r="N108" s="67">
        <f>'Description Sheet'!L107</f>
        <v>1</v>
      </c>
      <c r="O108" s="79">
        <f>'Description Sheet'!M107</f>
        <v>42000</v>
      </c>
      <c r="P108" s="69">
        <f t="shared" si="49"/>
        <v>42000</v>
      </c>
      <c r="Q108" s="14"/>
      <c r="R108" s="44"/>
    </row>
    <row r="109" spans="1:18" ht="17" hidden="1">
      <c r="A109" s="14"/>
      <c r="B109" s="109">
        <f>'Description Sheet'!B108</f>
        <v>8.4</v>
      </c>
      <c r="C109" s="164" t="str">
        <f>'Description Sheet'!C108</f>
        <v>blank</v>
      </c>
      <c r="D109" s="107"/>
      <c r="E109" s="153" t="str">
        <f>IF('Maintenance Schedule'!F132="x","x","")</f>
        <v/>
      </c>
      <c r="F109" s="153" t="str">
        <f t="shared" si="46"/>
        <v/>
      </c>
      <c r="G109" s="154">
        <f t="shared" si="47"/>
        <v>0</v>
      </c>
      <c r="H109" s="155">
        <f t="shared" si="45"/>
        <v>0</v>
      </c>
      <c r="I109" s="156">
        <f t="shared" si="48"/>
        <v>0</v>
      </c>
      <c r="J109" s="14"/>
      <c r="K109" s="15"/>
      <c r="L109" s="32"/>
      <c r="M109" s="67" t="str">
        <f>'Description Sheet'!K108</f>
        <v>No</v>
      </c>
      <c r="N109" s="67">
        <f>'Description Sheet'!L108</f>
        <v>0</v>
      </c>
      <c r="O109" s="79">
        <f>'Description Sheet'!M108</f>
        <v>0</v>
      </c>
      <c r="P109" s="69">
        <f t="shared" si="49"/>
        <v>0</v>
      </c>
      <c r="Q109" s="14"/>
      <c r="R109" s="44"/>
    </row>
    <row r="110" spans="1:18" ht="17" thickBot="1">
      <c r="A110" s="14"/>
      <c r="B110" s="109"/>
      <c r="C110" s="164"/>
      <c r="D110" s="107"/>
      <c r="E110" s="162"/>
      <c r="F110" s="154"/>
      <c r="G110" s="154"/>
      <c r="H110" s="155"/>
      <c r="I110" s="155"/>
      <c r="J110" s="14"/>
      <c r="K110" s="15"/>
      <c r="L110" s="32"/>
      <c r="M110" s="67"/>
      <c r="N110" s="67"/>
      <c r="O110" s="73"/>
      <c r="P110" s="68"/>
      <c r="Q110" s="14"/>
      <c r="R110" s="44"/>
    </row>
    <row r="111" spans="1:18" s="4" customFormat="1" ht="15.75" customHeight="1" thickBot="1">
      <c r="A111" s="14"/>
      <c r="B111" s="109"/>
      <c r="C111" s="158"/>
      <c r="D111" s="107"/>
      <c r="E111" s="159"/>
      <c r="F111" s="528" t="s">
        <v>7</v>
      </c>
      <c r="G111" s="529"/>
      <c r="H111" s="530">
        <f>SUM(I106:I110)</f>
        <v>4118</v>
      </c>
      <c r="I111" s="531"/>
      <c r="J111" s="14"/>
      <c r="K111" s="15"/>
      <c r="L111" s="33"/>
      <c r="M111" s="508" t="s">
        <v>7</v>
      </c>
      <c r="N111" s="509"/>
      <c r="O111" s="510">
        <f>SUM(P106:P110)</f>
        <v>46118</v>
      </c>
      <c r="P111" s="511"/>
      <c r="Q111" s="14"/>
      <c r="R111" s="31"/>
    </row>
    <row r="112" spans="1:18" ht="17" hidden="1" thickBot="1">
      <c r="A112" s="14"/>
      <c r="B112" s="109">
        <f>'Description Sheet'!B111</f>
        <v>9</v>
      </c>
      <c r="C112" s="113" t="str">
        <f>'Description Sheet'!C111</f>
        <v>Parking Facilities</v>
      </c>
      <c r="D112" s="107"/>
      <c r="E112" s="110"/>
      <c r="F112" s="110"/>
      <c r="G112" s="110"/>
      <c r="H112" s="110"/>
      <c r="I112" s="151"/>
      <c r="J112" s="32"/>
      <c r="K112" s="40"/>
      <c r="L112" s="33"/>
      <c r="M112" s="24"/>
      <c r="N112" s="25"/>
      <c r="O112" s="25"/>
      <c r="P112" s="63"/>
      <c r="Q112" s="14"/>
      <c r="R112" s="44"/>
    </row>
    <row r="113" spans="1:18" ht="17" hidden="1">
      <c r="A113" s="14"/>
      <c r="B113" s="109">
        <f>'Description Sheet'!B112</f>
        <v>9.1</v>
      </c>
      <c r="C113" s="164" t="str">
        <f>'Description Sheet'!C112</f>
        <v>Painting of Demarcation Lines</v>
      </c>
      <c r="D113" s="107"/>
      <c r="E113" s="153" t="str">
        <f>IF('Maintenance Schedule'!F139="x","x","")</f>
        <v/>
      </c>
      <c r="F113" s="153" t="str">
        <f>IF(E113="x","No","")</f>
        <v/>
      </c>
      <c r="G113" s="154">
        <f>IF(E113="x",1,0)</f>
        <v>0</v>
      </c>
      <c r="H113" s="155">
        <f t="shared" ref="H113:H116" si="50">IF(E113="x",P113,0)</f>
        <v>0</v>
      </c>
      <c r="I113" s="156">
        <f>IF(E113="x",G113*H113,0)</f>
        <v>0</v>
      </c>
      <c r="J113" s="14"/>
      <c r="K113" s="15"/>
      <c r="L113" s="32"/>
      <c r="M113" s="67" t="str">
        <f>'Description Sheet'!K112</f>
        <v>lm</v>
      </c>
      <c r="N113" s="67">
        <f>'Description Sheet'!L112</f>
        <v>1</v>
      </c>
      <c r="O113" s="73">
        <f>'Description Sheet'!M112</f>
        <v>6500</v>
      </c>
      <c r="P113" s="68">
        <f>N113*O113</f>
        <v>6500</v>
      </c>
      <c r="Q113" s="14"/>
      <c r="R113" s="44"/>
    </row>
    <row r="114" spans="1:18" ht="17" hidden="1">
      <c r="A114" s="14"/>
      <c r="B114" s="109">
        <f>'Description Sheet'!B113</f>
        <v>9.1999999999999993</v>
      </c>
      <c r="C114" s="164" t="str">
        <f>'Description Sheet'!C113</f>
        <v>Shade Port Netting (Replacement and Maintanance)</v>
      </c>
      <c r="D114" s="107"/>
      <c r="E114" s="153" t="str">
        <f>IF('Maintenance Schedule'!F140="x","x","")</f>
        <v/>
      </c>
      <c r="F114" s="153" t="str">
        <f t="shared" ref="F114:F116" si="51">IF(E114="x","No","")</f>
        <v/>
      </c>
      <c r="G114" s="154">
        <f t="shared" ref="G114:G116" si="52">IF(E114="x",1,0)</f>
        <v>0</v>
      </c>
      <c r="H114" s="155">
        <f t="shared" si="50"/>
        <v>0</v>
      </c>
      <c r="I114" s="156">
        <f t="shared" ref="I114:I116" si="53">IF(E114="x",G114*H114,0)</f>
        <v>0</v>
      </c>
      <c r="J114" s="14"/>
      <c r="K114" s="15"/>
      <c r="L114" s="32"/>
      <c r="M114" s="67" t="str">
        <f>'Description Sheet'!K113</f>
        <v>No</v>
      </c>
      <c r="N114" s="67">
        <f>'Description Sheet'!L113</f>
        <v>0</v>
      </c>
      <c r="O114" s="73">
        <f>'Description Sheet'!M113</f>
        <v>7648</v>
      </c>
      <c r="P114" s="68">
        <f t="shared" ref="P114:P116" si="54">N114*O114</f>
        <v>0</v>
      </c>
      <c r="Q114" s="14"/>
      <c r="R114" s="44"/>
    </row>
    <row r="115" spans="1:18" ht="17" hidden="1">
      <c r="A115" s="14"/>
      <c r="B115" s="109">
        <f>'Description Sheet'!B114</f>
        <v>9.3000000000000007</v>
      </c>
      <c r="C115" s="164" t="str">
        <f>'Description Sheet'!C114</f>
        <v>Garages (Maintanance)</v>
      </c>
      <c r="D115" s="107"/>
      <c r="E115" s="153" t="str">
        <f>IF('Maintenance Schedule'!F141="x","x","")</f>
        <v/>
      </c>
      <c r="F115" s="153" t="str">
        <f t="shared" si="51"/>
        <v/>
      </c>
      <c r="G115" s="154">
        <f t="shared" si="52"/>
        <v>0</v>
      </c>
      <c r="H115" s="155">
        <f t="shared" si="50"/>
        <v>0</v>
      </c>
      <c r="I115" s="156">
        <f t="shared" si="53"/>
        <v>0</v>
      </c>
      <c r="J115" s="14"/>
      <c r="K115" s="15"/>
      <c r="L115" s="32"/>
      <c r="M115" s="67" t="str">
        <f>'Description Sheet'!K114</f>
        <v>No</v>
      </c>
      <c r="N115" s="67">
        <f>'Description Sheet'!L114</f>
        <v>0</v>
      </c>
      <c r="O115" s="73">
        <f>'Description Sheet'!M114</f>
        <v>540</v>
      </c>
      <c r="P115" s="68">
        <f t="shared" si="54"/>
        <v>0</v>
      </c>
      <c r="Q115" s="14"/>
      <c r="R115" s="44"/>
    </row>
    <row r="116" spans="1:18" ht="17" hidden="1">
      <c r="A116" s="14"/>
      <c r="B116" s="109">
        <f>'Description Sheet'!B115</f>
        <v>9.4</v>
      </c>
      <c r="C116" s="164" t="str">
        <f>'Description Sheet'!C115</f>
        <v>Parking Facilities</v>
      </c>
      <c r="D116" s="107"/>
      <c r="E116" s="153" t="str">
        <f>IF('Maintenance Schedule'!F142="x","x","")</f>
        <v/>
      </c>
      <c r="F116" s="153" t="str">
        <f t="shared" si="51"/>
        <v/>
      </c>
      <c r="G116" s="154">
        <f t="shared" si="52"/>
        <v>0</v>
      </c>
      <c r="H116" s="155">
        <f t="shared" si="50"/>
        <v>0</v>
      </c>
      <c r="I116" s="156">
        <f t="shared" si="53"/>
        <v>0</v>
      </c>
      <c r="J116" s="14"/>
      <c r="K116" s="15"/>
      <c r="L116" s="32"/>
      <c r="M116" s="67" t="str">
        <f>'Description Sheet'!K115</f>
        <v>No</v>
      </c>
      <c r="N116" s="67">
        <f>'Description Sheet'!L115</f>
        <v>0</v>
      </c>
      <c r="O116" s="73">
        <f>'Description Sheet'!M115</f>
        <v>4860</v>
      </c>
      <c r="P116" s="68">
        <f t="shared" si="54"/>
        <v>0</v>
      </c>
      <c r="Q116" s="14"/>
      <c r="R116" s="44"/>
    </row>
    <row r="117" spans="1:18" ht="17" hidden="1" thickBot="1">
      <c r="A117" s="14"/>
      <c r="B117" s="109"/>
      <c r="C117" s="164"/>
      <c r="D117" s="107"/>
      <c r="E117" s="162"/>
      <c r="F117" s="154"/>
      <c r="G117" s="154"/>
      <c r="H117" s="155"/>
      <c r="I117" s="155"/>
      <c r="J117" s="14"/>
      <c r="K117" s="15"/>
      <c r="L117" s="32"/>
      <c r="M117" s="67"/>
      <c r="N117" s="67"/>
      <c r="O117" s="73"/>
      <c r="P117" s="68"/>
      <c r="Q117" s="14"/>
      <c r="R117" s="44"/>
    </row>
    <row r="118" spans="1:18" s="4" customFormat="1" ht="15.75" hidden="1" customHeight="1" thickBot="1">
      <c r="A118" s="14"/>
      <c r="B118" s="109"/>
      <c r="C118" s="158"/>
      <c r="D118" s="107"/>
      <c r="E118" s="159"/>
      <c r="F118" s="528" t="s">
        <v>7</v>
      </c>
      <c r="G118" s="529"/>
      <c r="H118" s="530">
        <f>SUM(I113:I117)</f>
        <v>0</v>
      </c>
      <c r="I118" s="531"/>
      <c r="J118" s="14"/>
      <c r="K118" s="15"/>
      <c r="L118" s="33"/>
      <c r="M118" s="508" t="s">
        <v>7</v>
      </c>
      <c r="N118" s="509"/>
      <c r="O118" s="510">
        <f>SUM(P113:P117)</f>
        <v>6500</v>
      </c>
      <c r="P118" s="511"/>
      <c r="Q118" s="14"/>
      <c r="R118" s="31"/>
    </row>
    <row r="119" spans="1:18" ht="17" hidden="1" thickBot="1">
      <c r="A119" s="14"/>
      <c r="B119" s="109">
        <f>'Description Sheet'!B118</f>
        <v>10</v>
      </c>
      <c r="C119" s="113" t="str">
        <f>'Description Sheet'!C118</f>
        <v>Roadways and Paved Areas</v>
      </c>
      <c r="D119" s="107"/>
      <c r="E119" s="110"/>
      <c r="F119" s="110"/>
      <c r="G119" s="110"/>
      <c r="H119" s="110"/>
      <c r="I119" s="151"/>
      <c r="J119" s="32"/>
      <c r="K119" s="40"/>
      <c r="L119" s="33"/>
      <c r="M119" s="24"/>
      <c r="N119" s="25"/>
      <c r="O119" s="25"/>
      <c r="P119" s="63"/>
      <c r="Q119" s="14"/>
      <c r="R119" s="44"/>
    </row>
    <row r="120" spans="1:18" ht="17" hidden="1">
      <c r="A120" s="14"/>
      <c r="B120" s="109">
        <f>'Description Sheet'!B119</f>
        <v>10.1</v>
      </c>
      <c r="C120" s="114" t="str">
        <f>'Description Sheet'!C119</f>
        <v>Tarmac Areas (Reinstatement)</v>
      </c>
      <c r="D120" s="107"/>
      <c r="E120" s="153" t="str">
        <f>IF('Maintenance Schedule'!F149="x","x","")</f>
        <v/>
      </c>
      <c r="F120" s="153" t="str">
        <f>IF(E120="x","No","")</f>
        <v/>
      </c>
      <c r="G120" s="154">
        <f>IF(E120="x",1,0)</f>
        <v>0</v>
      </c>
      <c r="H120" s="155">
        <f t="shared" ref="H120" si="55">IF(E120="x",P120,0)</f>
        <v>0</v>
      </c>
      <c r="I120" s="156">
        <f>IF(E120="x",G120*H120,0)</f>
        <v>0</v>
      </c>
      <c r="J120" s="14"/>
      <c r="K120" s="15"/>
      <c r="L120" s="32"/>
      <c r="M120" s="67" t="str">
        <f>'Description Sheet'!K119</f>
        <v>No</v>
      </c>
      <c r="N120" s="67">
        <f>'Description Sheet'!L119</f>
        <v>0</v>
      </c>
      <c r="O120" s="73">
        <f>'Description Sheet'!M119</f>
        <v>4860</v>
      </c>
      <c r="P120" s="68">
        <f>N120*O120</f>
        <v>0</v>
      </c>
      <c r="Q120" s="14"/>
      <c r="R120" s="44"/>
    </row>
    <row r="121" spans="1:18" ht="17" hidden="1">
      <c r="A121" s="14"/>
      <c r="B121" s="109">
        <f>'Description Sheet'!B120</f>
        <v>10.199999999999999</v>
      </c>
      <c r="C121" s="114" t="str">
        <f>'Description Sheet'!C120</f>
        <v>Concrete Areas (Reinstatement)</v>
      </c>
      <c r="D121" s="107"/>
      <c r="E121" s="153" t="str">
        <f>IF('Maintenance Schedule'!F150="x","x","")</f>
        <v/>
      </c>
      <c r="F121" s="153" t="str">
        <f t="shared" ref="F121:F126" si="56">IF(E121="x","No","")</f>
        <v/>
      </c>
      <c r="G121" s="154">
        <f t="shared" ref="G121:G126" si="57">IF(E121="x",1,0)</f>
        <v>0</v>
      </c>
      <c r="H121" s="155">
        <f>IF(E121="x",P121,0)</f>
        <v>0</v>
      </c>
      <c r="I121" s="156">
        <f>IF(E121="x",G121*H121,0)</f>
        <v>0</v>
      </c>
      <c r="J121" s="14"/>
      <c r="K121" s="15"/>
      <c r="L121" s="32"/>
      <c r="M121" s="67" t="str">
        <f>'Description Sheet'!K120</f>
        <v>No</v>
      </c>
      <c r="N121" s="67">
        <f>'Description Sheet'!L120</f>
        <v>1</v>
      </c>
      <c r="O121" s="73">
        <f>'Description Sheet'!M120</f>
        <v>2353</v>
      </c>
      <c r="P121" s="68">
        <f>N121*O121</f>
        <v>2353</v>
      </c>
      <c r="Q121" s="14"/>
      <c r="R121" s="44"/>
    </row>
    <row r="122" spans="1:18" ht="17" hidden="1">
      <c r="A122" s="14"/>
      <c r="B122" s="109">
        <f>'Description Sheet'!B121</f>
        <v>10.3</v>
      </c>
      <c r="C122" s="114" t="str">
        <f>'Description Sheet'!C121</f>
        <v>Paving  Areas (Reinstatement)</v>
      </c>
      <c r="D122" s="107"/>
      <c r="E122" s="153" t="str">
        <f>IF('Maintenance Schedule'!F151="x","x","")</f>
        <v/>
      </c>
      <c r="F122" s="153" t="str">
        <f t="shared" si="56"/>
        <v/>
      </c>
      <c r="G122" s="154">
        <f t="shared" si="57"/>
        <v>0</v>
      </c>
      <c r="H122" s="155">
        <f>IF(E122="x",P122,0)</f>
        <v>0</v>
      </c>
      <c r="I122" s="156">
        <f>IF(E122="x",G122*H122,0)</f>
        <v>0</v>
      </c>
      <c r="J122" s="14"/>
      <c r="K122" s="15"/>
      <c r="L122" s="32"/>
      <c r="M122" s="67" t="str">
        <f>'Description Sheet'!K121</f>
        <v>No</v>
      </c>
      <c r="N122" s="67">
        <f>'Description Sheet'!L121</f>
        <v>1</v>
      </c>
      <c r="O122" s="73">
        <f>'Description Sheet'!M121</f>
        <v>2353</v>
      </c>
      <c r="P122" s="68">
        <f>N122*O122</f>
        <v>2353</v>
      </c>
      <c r="Q122" s="14"/>
      <c r="R122" s="44"/>
    </row>
    <row r="123" spans="1:18" ht="17" hidden="1">
      <c r="A123" s="14"/>
      <c r="B123" s="109">
        <f>'Description Sheet'!B122</f>
        <v>10.4</v>
      </c>
      <c r="C123" s="114" t="str">
        <f>'Description Sheet'!C122</f>
        <v>Reinstatement of Walkways (Grouting and Tiles)</v>
      </c>
      <c r="D123" s="107"/>
      <c r="E123" s="153" t="str">
        <f>IF('Maintenance Schedule'!F152="x","x","")</f>
        <v/>
      </c>
      <c r="F123" s="153" t="str">
        <f t="shared" si="56"/>
        <v/>
      </c>
      <c r="G123" s="154">
        <f t="shared" si="57"/>
        <v>0</v>
      </c>
      <c r="H123" s="155">
        <f>IF(E123="x",P123,0)</f>
        <v>0</v>
      </c>
      <c r="I123" s="156">
        <f>IF(E123="x",G123*H123,0)</f>
        <v>0</v>
      </c>
      <c r="J123" s="14"/>
      <c r="K123" s="15"/>
      <c r="L123" s="32"/>
      <c r="M123" s="67" t="str">
        <f>'Description Sheet'!K122</f>
        <v>No</v>
      </c>
      <c r="N123" s="67">
        <f>'Description Sheet'!L122</f>
        <v>1</v>
      </c>
      <c r="O123" s="73">
        <f>'Description Sheet'!M122</f>
        <v>2353</v>
      </c>
      <c r="P123" s="68">
        <f>N123*O123</f>
        <v>2353</v>
      </c>
      <c r="Q123" s="14"/>
      <c r="R123" s="44"/>
    </row>
    <row r="124" spans="1:18" ht="17" hidden="1">
      <c r="A124" s="14"/>
      <c r="B124" s="109">
        <f>'Description Sheet'!B123</f>
        <v>10.5</v>
      </c>
      <c r="C124" s="114" t="str">
        <f>'Description Sheet'!C123</f>
        <v>Tarmac Damaged Areas (Replacement)</v>
      </c>
      <c r="D124" s="107"/>
      <c r="E124" s="153" t="str">
        <f>IF('Maintenance Schedule'!F153="x","x","")</f>
        <v/>
      </c>
      <c r="F124" s="153" t="str">
        <f t="shared" si="56"/>
        <v/>
      </c>
      <c r="G124" s="154">
        <f t="shared" si="57"/>
        <v>0</v>
      </c>
      <c r="H124" s="155">
        <f t="shared" ref="H124:H126" si="58">IF(E124="x",P124,0)</f>
        <v>0</v>
      </c>
      <c r="I124" s="156">
        <f t="shared" ref="I124:I126" si="59">IF(E124="x",G124*H124,0)</f>
        <v>0</v>
      </c>
      <c r="J124" s="14"/>
      <c r="K124" s="15"/>
      <c r="L124" s="32"/>
      <c r="M124" s="67" t="str">
        <f>'Description Sheet'!K123</f>
        <v>No</v>
      </c>
      <c r="N124" s="67">
        <f>'Description Sheet'!L123</f>
        <v>0</v>
      </c>
      <c r="O124" s="73">
        <f>'Description Sheet'!M123</f>
        <v>0</v>
      </c>
      <c r="P124" s="68">
        <f t="shared" ref="P124:P126" si="60">N124*O124</f>
        <v>0</v>
      </c>
      <c r="Q124" s="14"/>
      <c r="R124" s="44"/>
    </row>
    <row r="125" spans="1:18" ht="17" hidden="1">
      <c r="A125" s="14"/>
      <c r="B125" s="109">
        <f>'Description Sheet'!B124</f>
        <v>10.6</v>
      </c>
      <c r="C125" s="114" t="str">
        <f>'Description Sheet'!C124</f>
        <v>blank</v>
      </c>
      <c r="D125" s="107"/>
      <c r="E125" s="153" t="str">
        <f>IF('Maintenance Schedule'!F154="x","x","")</f>
        <v/>
      </c>
      <c r="F125" s="153" t="str">
        <f t="shared" si="56"/>
        <v/>
      </c>
      <c r="G125" s="154">
        <f t="shared" si="57"/>
        <v>0</v>
      </c>
      <c r="H125" s="155">
        <f t="shared" si="58"/>
        <v>0</v>
      </c>
      <c r="I125" s="156">
        <f t="shared" si="59"/>
        <v>0</v>
      </c>
      <c r="J125" s="14"/>
      <c r="K125" s="15"/>
      <c r="L125" s="32"/>
      <c r="M125" s="67" t="str">
        <f>'Description Sheet'!K124</f>
        <v>No</v>
      </c>
      <c r="N125" s="67">
        <f>'Description Sheet'!L124</f>
        <v>0</v>
      </c>
      <c r="O125" s="73">
        <f>'Description Sheet'!M124</f>
        <v>0</v>
      </c>
      <c r="P125" s="68">
        <f t="shared" si="60"/>
        <v>0</v>
      </c>
      <c r="Q125" s="14"/>
      <c r="R125" s="44"/>
    </row>
    <row r="126" spans="1:18" ht="17" hidden="1">
      <c r="A126" s="14"/>
      <c r="B126" s="109">
        <f>'Description Sheet'!B125</f>
        <v>10.7</v>
      </c>
      <c r="C126" s="114" t="str">
        <f>'Description Sheet'!C125</f>
        <v>blank</v>
      </c>
      <c r="D126" s="107"/>
      <c r="E126" s="153" t="str">
        <f>IF('Maintenance Schedule'!F155="x","x","")</f>
        <v/>
      </c>
      <c r="F126" s="153" t="str">
        <f t="shared" si="56"/>
        <v/>
      </c>
      <c r="G126" s="154">
        <f t="shared" si="57"/>
        <v>0</v>
      </c>
      <c r="H126" s="155">
        <f t="shared" si="58"/>
        <v>0</v>
      </c>
      <c r="I126" s="156">
        <f t="shared" si="59"/>
        <v>0</v>
      </c>
      <c r="J126" s="14"/>
      <c r="K126" s="15"/>
      <c r="L126" s="32"/>
      <c r="M126" s="67" t="str">
        <f>'Description Sheet'!K125</f>
        <v>No</v>
      </c>
      <c r="N126" s="67">
        <f>'Description Sheet'!L125</f>
        <v>0</v>
      </c>
      <c r="O126" s="73">
        <f>'Description Sheet'!M125</f>
        <v>0</v>
      </c>
      <c r="P126" s="68">
        <f t="shared" si="60"/>
        <v>0</v>
      </c>
      <c r="Q126" s="14"/>
      <c r="R126" s="44"/>
    </row>
    <row r="127" spans="1:18" ht="17" hidden="1" thickBot="1">
      <c r="A127" s="14"/>
      <c r="B127" s="109"/>
      <c r="C127" s="164"/>
      <c r="D127" s="107"/>
      <c r="E127" s="162"/>
      <c r="F127" s="154"/>
      <c r="G127" s="154"/>
      <c r="H127" s="155"/>
      <c r="I127" s="155"/>
      <c r="J127" s="14"/>
      <c r="K127" s="15"/>
      <c r="L127" s="32"/>
      <c r="M127" s="67"/>
      <c r="N127" s="67"/>
      <c r="O127" s="73"/>
      <c r="P127" s="68"/>
      <c r="Q127" s="14"/>
      <c r="R127" s="44"/>
    </row>
    <row r="128" spans="1:18" s="4" customFormat="1" ht="15.75" hidden="1" customHeight="1" thickBot="1">
      <c r="A128" s="14"/>
      <c r="B128" s="109"/>
      <c r="C128" s="165"/>
      <c r="D128" s="107"/>
      <c r="E128" s="159"/>
      <c r="F128" s="528" t="s">
        <v>7</v>
      </c>
      <c r="G128" s="529"/>
      <c r="H128" s="530">
        <f>SUM(I120:I127)</f>
        <v>0</v>
      </c>
      <c r="I128" s="531"/>
      <c r="J128" s="14"/>
      <c r="K128" s="15"/>
      <c r="L128" s="33"/>
      <c r="M128" s="508" t="s">
        <v>7</v>
      </c>
      <c r="N128" s="509"/>
      <c r="O128" s="510">
        <f>SUM(P120:P127)</f>
        <v>7059</v>
      </c>
      <c r="P128" s="511"/>
      <c r="Q128" s="14"/>
      <c r="R128" s="31"/>
    </row>
    <row r="129" spans="1:23" ht="17" thickBot="1">
      <c r="A129" s="14"/>
      <c r="B129" s="109">
        <f>'Description Sheet'!B128</f>
        <v>11</v>
      </c>
      <c r="C129" s="113" t="str">
        <f>'Description Sheet'!C128</f>
        <v>Security Systems and Facilities</v>
      </c>
      <c r="D129" s="107"/>
      <c r="E129" s="110"/>
      <c r="F129" s="110"/>
      <c r="G129" s="110"/>
      <c r="H129" s="110"/>
      <c r="I129" s="151"/>
      <c r="J129" s="32"/>
      <c r="K129" s="40"/>
      <c r="L129" s="33"/>
      <c r="M129" s="24"/>
      <c r="N129" s="25"/>
      <c r="O129" s="25"/>
      <c r="P129" s="63"/>
      <c r="Q129" s="14"/>
      <c r="R129" s="44"/>
    </row>
    <row r="130" spans="1:23" ht="17">
      <c r="A130" s="14"/>
      <c r="B130" s="109">
        <f>'Description Sheet'!B129</f>
        <v>11.1</v>
      </c>
      <c r="C130" s="164" t="str">
        <f>'Description Sheet'!C129</f>
        <v>Security Equipment (Replacement/Upgrade Savings)</v>
      </c>
      <c r="D130" s="107"/>
      <c r="E130" s="153" t="str">
        <f>IF('Maintenance Schedule'!F162="x","x","")</f>
        <v>x</v>
      </c>
      <c r="F130" s="153" t="str">
        <f>IF(E130="x","No","")</f>
        <v>No</v>
      </c>
      <c r="G130" s="154">
        <f>IF(E130="x",1,0)</f>
        <v>1</v>
      </c>
      <c r="H130" s="155">
        <f t="shared" ref="H130:H133" si="61">IF(E130="x",P130,0)</f>
        <v>6500</v>
      </c>
      <c r="I130" s="156">
        <f>IF(E130="x",G130*H130,0)</f>
        <v>6500</v>
      </c>
      <c r="J130" s="14"/>
      <c r="K130" s="15"/>
      <c r="L130" s="32"/>
      <c r="M130" s="67" t="str">
        <f>'Description Sheet'!K129</f>
        <v>No</v>
      </c>
      <c r="N130" s="67">
        <f>'Description Sheet'!L129</f>
        <v>1</v>
      </c>
      <c r="O130" s="73">
        <f>'Description Sheet'!M129</f>
        <v>6500</v>
      </c>
      <c r="P130" s="68">
        <f>N130*O130</f>
        <v>6500</v>
      </c>
      <c r="Q130" s="14"/>
      <c r="R130" s="44"/>
    </row>
    <row r="131" spans="1:23" ht="17" hidden="1">
      <c r="A131" s="14"/>
      <c r="B131" s="109">
        <f>'Description Sheet'!B130</f>
        <v>11.2</v>
      </c>
      <c r="C131" s="164" t="str">
        <f>'Description Sheet'!C130</f>
        <v>CCTV Installation</v>
      </c>
      <c r="D131" s="107"/>
      <c r="E131" s="153" t="str">
        <f>IF('Maintenance Schedule'!F163="x","x","")</f>
        <v/>
      </c>
      <c r="F131" s="153" t="str">
        <f t="shared" ref="F131:F133" si="62">IF(E131="x","No","")</f>
        <v/>
      </c>
      <c r="G131" s="154">
        <f t="shared" ref="G131:G133" si="63">IF(E131="x",1,0)</f>
        <v>0</v>
      </c>
      <c r="H131" s="155">
        <f t="shared" si="61"/>
        <v>0</v>
      </c>
      <c r="I131" s="156">
        <f t="shared" ref="I131:I133" si="64">IF(E131="x",G131*H131,0)</f>
        <v>0</v>
      </c>
      <c r="J131" s="14"/>
      <c r="K131" s="15"/>
      <c r="L131" s="32"/>
      <c r="M131" s="67" t="str">
        <f>'Description Sheet'!K130</f>
        <v>No</v>
      </c>
      <c r="N131" s="67">
        <f>'Description Sheet'!L130</f>
        <v>1</v>
      </c>
      <c r="O131" s="73">
        <f>'Description Sheet'!M130</f>
        <v>42000</v>
      </c>
      <c r="P131" s="68">
        <f t="shared" ref="P131:P133" si="65">N131*O131</f>
        <v>42000</v>
      </c>
      <c r="Q131" s="14"/>
      <c r="R131" s="44"/>
    </row>
    <row r="132" spans="1:23" ht="17" hidden="1">
      <c r="A132" s="14"/>
      <c r="B132" s="109">
        <f>'Description Sheet'!B131</f>
        <v>11.3</v>
      </c>
      <c r="C132" s="164" t="str">
        <f>'Description Sheet'!C131</f>
        <v>blank</v>
      </c>
      <c r="D132" s="107"/>
      <c r="E132" s="153" t="str">
        <f>IF('Maintenance Schedule'!F164="x","x","")</f>
        <v/>
      </c>
      <c r="F132" s="153" t="str">
        <f t="shared" si="62"/>
        <v/>
      </c>
      <c r="G132" s="154">
        <f t="shared" si="63"/>
        <v>0</v>
      </c>
      <c r="H132" s="155">
        <f t="shared" si="61"/>
        <v>0</v>
      </c>
      <c r="I132" s="156">
        <f t="shared" si="64"/>
        <v>0</v>
      </c>
      <c r="J132" s="14"/>
      <c r="K132" s="15"/>
      <c r="L132" s="32"/>
      <c r="M132" s="67" t="str">
        <f>'Description Sheet'!K131</f>
        <v>No</v>
      </c>
      <c r="N132" s="67">
        <f>'Description Sheet'!L131</f>
        <v>0</v>
      </c>
      <c r="O132" s="73">
        <f>'Description Sheet'!M131</f>
        <v>0</v>
      </c>
      <c r="P132" s="68">
        <f t="shared" si="65"/>
        <v>0</v>
      </c>
      <c r="Q132" s="14"/>
      <c r="R132" s="44"/>
    </row>
    <row r="133" spans="1:23" ht="17" hidden="1">
      <c r="A133" s="14"/>
      <c r="B133" s="109">
        <f>'Description Sheet'!B132</f>
        <v>11.4</v>
      </c>
      <c r="C133" s="164" t="str">
        <f>'Description Sheet'!C132</f>
        <v>blank</v>
      </c>
      <c r="D133" s="107"/>
      <c r="E133" s="153" t="str">
        <f>IF('Maintenance Schedule'!F165="x","x","")</f>
        <v/>
      </c>
      <c r="F133" s="153" t="str">
        <f t="shared" si="62"/>
        <v/>
      </c>
      <c r="G133" s="154">
        <f t="shared" si="63"/>
        <v>0</v>
      </c>
      <c r="H133" s="155">
        <f t="shared" si="61"/>
        <v>0</v>
      </c>
      <c r="I133" s="156">
        <f t="shared" si="64"/>
        <v>0</v>
      </c>
      <c r="J133" s="14"/>
      <c r="K133" s="15"/>
      <c r="L133" s="32"/>
      <c r="M133" s="67" t="str">
        <f>'Description Sheet'!K132</f>
        <v>No</v>
      </c>
      <c r="N133" s="67">
        <f>'Description Sheet'!L132</f>
        <v>0</v>
      </c>
      <c r="O133" s="73">
        <f>'Description Sheet'!M132</f>
        <v>0</v>
      </c>
      <c r="P133" s="68">
        <f t="shared" si="65"/>
        <v>0</v>
      </c>
      <c r="Q133" s="14"/>
      <c r="R133" s="44"/>
    </row>
    <row r="134" spans="1:23" ht="17" thickBot="1">
      <c r="A134" s="14"/>
      <c r="B134" s="109"/>
      <c r="C134" s="164"/>
      <c r="D134" s="107"/>
      <c r="E134" s="162"/>
      <c r="F134" s="154"/>
      <c r="G134" s="154"/>
      <c r="H134" s="155"/>
      <c r="I134" s="155"/>
      <c r="J134" s="14"/>
      <c r="K134" s="15"/>
      <c r="L134" s="32"/>
      <c r="M134" s="67"/>
      <c r="N134" s="67"/>
      <c r="O134" s="73"/>
      <c r="P134" s="68"/>
      <c r="Q134" s="14"/>
      <c r="R134" s="44"/>
    </row>
    <row r="135" spans="1:23" s="4" customFormat="1" ht="15.75" customHeight="1" thickBot="1">
      <c r="A135" s="14"/>
      <c r="B135" s="109"/>
      <c r="C135" s="158"/>
      <c r="D135" s="107"/>
      <c r="E135" s="159"/>
      <c r="F135" s="528" t="s">
        <v>7</v>
      </c>
      <c r="G135" s="529"/>
      <c r="H135" s="530">
        <f>SUM(I130:I134)</f>
        <v>6500</v>
      </c>
      <c r="I135" s="531"/>
      <c r="J135" s="14"/>
      <c r="K135" s="15"/>
      <c r="L135" s="33"/>
      <c r="M135" s="508" t="s">
        <v>7</v>
      </c>
      <c r="N135" s="509"/>
      <c r="O135" s="510">
        <f>SUM(P130:P134)</f>
        <v>48500</v>
      </c>
      <c r="P135" s="511"/>
      <c r="Q135" s="14"/>
      <c r="R135" s="31"/>
    </row>
    <row r="136" spans="1:23" ht="17" thickBot="1">
      <c r="A136" s="14"/>
      <c r="B136" s="109">
        <f>'Description Sheet'!B135</f>
        <v>12</v>
      </c>
      <c r="C136" s="113" t="str">
        <f>'Description Sheet'!C135</f>
        <v>Community and Recreational Facilities</v>
      </c>
      <c r="D136" s="107"/>
      <c r="E136" s="110"/>
      <c r="F136" s="110"/>
      <c r="G136" s="110"/>
      <c r="H136" s="110"/>
      <c r="I136" s="151"/>
      <c r="J136" s="32"/>
      <c r="K136" s="40"/>
      <c r="L136" s="33"/>
      <c r="M136" s="24"/>
      <c r="N136" s="25"/>
      <c r="O136" s="25"/>
      <c r="P136" s="63"/>
      <c r="Q136" s="14"/>
      <c r="R136" s="44"/>
    </row>
    <row r="137" spans="1:23">
      <c r="A137" s="14"/>
      <c r="B137" s="109">
        <f>'Description Sheet'!B136</f>
        <v>12.1</v>
      </c>
      <c r="C137" s="111" t="str">
        <f>'Description Sheet'!C136</f>
        <v>Fire Equipment and Signage (Replace)</v>
      </c>
      <c r="D137" s="107"/>
      <c r="E137" s="153" t="str">
        <f>IF('Maintenance Schedule'!F172="x","x","")</f>
        <v>x</v>
      </c>
      <c r="F137" s="153" t="str">
        <f>IF(E137="x","No","")</f>
        <v>No</v>
      </c>
      <c r="G137" s="154">
        <f>IF(E137="x",1,0)</f>
        <v>1</v>
      </c>
      <c r="H137" s="155">
        <f>IF(E137="x",P137,0)</f>
        <v>3000</v>
      </c>
      <c r="I137" s="156">
        <f>IF(E137="x",G137*H137,0)</f>
        <v>3000</v>
      </c>
      <c r="J137" s="14"/>
      <c r="K137" s="15"/>
      <c r="L137" s="32"/>
      <c r="M137" s="67" t="str">
        <f>'Description Sheet'!K136</f>
        <v>No</v>
      </c>
      <c r="N137" s="67">
        <f>'Description Sheet'!L136</f>
        <v>1</v>
      </c>
      <c r="O137" s="68">
        <f>'Description Sheet'!M136</f>
        <v>3000</v>
      </c>
      <c r="P137" s="68">
        <f>N137*O137</f>
        <v>3000</v>
      </c>
      <c r="Q137" s="14"/>
      <c r="R137" s="44"/>
      <c r="W137" s="1"/>
    </row>
    <row r="138" spans="1:23" hidden="1">
      <c r="A138" s="14"/>
      <c r="B138" s="109">
        <f>'Description Sheet'!B137</f>
        <v>12.2</v>
      </c>
      <c r="C138" s="111" t="str">
        <f>'Description Sheet'!C137</f>
        <v>Communal Areas (Pool, Gym Areas, ablutions etc Upgrade/Replacment of Fixtures &amp; Equipment)</v>
      </c>
      <c r="D138" s="107"/>
      <c r="E138" s="153" t="str">
        <f>IF('Maintenance Schedule'!F173="x","x","")</f>
        <v/>
      </c>
      <c r="F138" s="153" t="str">
        <f t="shared" ref="F138:F144" si="66">IF(E138="x","No","")</f>
        <v/>
      </c>
      <c r="G138" s="154">
        <f t="shared" ref="G138:G144" si="67">IF(E138="x",1,0)</f>
        <v>0</v>
      </c>
      <c r="H138" s="155">
        <f>IF(E138="x",P138,0)</f>
        <v>0</v>
      </c>
      <c r="I138" s="156">
        <f>IF(E138="x",G138*H138,0)</f>
        <v>0</v>
      </c>
      <c r="J138" s="14"/>
      <c r="K138" s="15"/>
      <c r="L138" s="32"/>
      <c r="M138" s="67" t="str">
        <f>'Description Sheet'!K137</f>
        <v>No</v>
      </c>
      <c r="N138" s="67">
        <f>'Description Sheet'!L137</f>
        <v>0</v>
      </c>
      <c r="O138" s="68">
        <f>'Description Sheet'!M137</f>
        <v>7648</v>
      </c>
      <c r="P138" s="68">
        <f>N138*O138</f>
        <v>0</v>
      </c>
      <c r="Q138" s="14"/>
      <c r="R138" s="44"/>
    </row>
    <row r="139" spans="1:23" hidden="1">
      <c r="A139" s="14"/>
      <c r="B139" s="109">
        <f>'Description Sheet'!B138</f>
        <v>12.3</v>
      </c>
      <c r="C139" s="111" t="str">
        <f>'Description Sheet'!C138</f>
        <v>Laundry Room (Maintain/Replace)</v>
      </c>
      <c r="D139" s="107"/>
      <c r="E139" s="153" t="str">
        <f>IF('Maintenance Schedule'!F174="x","x","")</f>
        <v/>
      </c>
      <c r="F139" s="153" t="str">
        <f t="shared" si="66"/>
        <v/>
      </c>
      <c r="G139" s="154">
        <f t="shared" si="67"/>
        <v>0</v>
      </c>
      <c r="H139" s="155">
        <f>IF(E139="x",P139,0)</f>
        <v>0</v>
      </c>
      <c r="I139" s="156">
        <f>IF(E139="x",G139*H139,0)</f>
        <v>0</v>
      </c>
      <c r="J139" s="14"/>
      <c r="K139" s="15"/>
      <c r="L139" s="32"/>
      <c r="M139" s="67" t="str">
        <f>'Description Sheet'!K138</f>
        <v>lm</v>
      </c>
      <c r="N139" s="67">
        <f>'Description Sheet'!L138</f>
        <v>0</v>
      </c>
      <c r="O139" s="68">
        <f>'Description Sheet'!M138</f>
        <v>2941</v>
      </c>
      <c r="P139" s="68">
        <f>N139*O139</f>
        <v>0</v>
      </c>
      <c r="Q139" s="14"/>
      <c r="R139" s="44"/>
    </row>
    <row r="140" spans="1:23" hidden="1">
      <c r="A140" s="14"/>
      <c r="B140" s="109">
        <f>'Description Sheet'!B139</f>
        <v>12.4</v>
      </c>
      <c r="C140" s="111" t="str">
        <f>'Description Sheet'!C139</f>
        <v>Bin Room</v>
      </c>
      <c r="D140" s="107"/>
      <c r="E140" s="153" t="str">
        <f>IF('Maintenance Schedule'!F175="x","x","")</f>
        <v/>
      </c>
      <c r="F140" s="153" t="str">
        <f t="shared" si="66"/>
        <v/>
      </c>
      <c r="G140" s="154">
        <f t="shared" si="67"/>
        <v>0</v>
      </c>
      <c r="H140" s="155">
        <f>IF(E140="x",P140,0)</f>
        <v>0</v>
      </c>
      <c r="I140" s="156">
        <f>IF(E140="x",G140*H140,0)</f>
        <v>0</v>
      </c>
      <c r="J140" s="14"/>
      <c r="K140" s="15"/>
      <c r="L140" s="32"/>
      <c r="M140" s="67" t="str">
        <f>'Description Sheet'!K139</f>
        <v>No</v>
      </c>
      <c r="N140" s="67">
        <f>'Description Sheet'!L139</f>
        <v>0</v>
      </c>
      <c r="O140" s="68">
        <f>'Description Sheet'!M139</f>
        <v>3780</v>
      </c>
      <c r="P140" s="68">
        <f>N140*O140</f>
        <v>0</v>
      </c>
      <c r="Q140" s="14"/>
      <c r="R140" s="44"/>
    </row>
    <row r="141" spans="1:23" hidden="1">
      <c r="A141" s="14"/>
      <c r="B141" s="109">
        <f>'Description Sheet'!B140</f>
        <v>12.5</v>
      </c>
      <c r="C141" s="111" t="str">
        <f>'Description Sheet'!C140</f>
        <v>Pool Area (Re-Surfacing)</v>
      </c>
      <c r="D141" s="107"/>
      <c r="E141" s="153" t="str">
        <f>IF('Maintenance Schedule'!F176="x","x","")</f>
        <v/>
      </c>
      <c r="F141" s="153" t="str">
        <f t="shared" si="66"/>
        <v/>
      </c>
      <c r="G141" s="154">
        <f t="shared" si="67"/>
        <v>0</v>
      </c>
      <c r="H141" s="155">
        <f>IF(E141="x",P141,0)</f>
        <v>0</v>
      </c>
      <c r="I141" s="156">
        <f>IF(E141="x",G141*H141,0)</f>
        <v>0</v>
      </c>
      <c r="J141" s="14"/>
      <c r="K141" s="15"/>
      <c r="L141" s="32"/>
      <c r="M141" s="67" t="str">
        <f>'Description Sheet'!K140</f>
        <v>No</v>
      </c>
      <c r="N141" s="67">
        <f>'Description Sheet'!L140</f>
        <v>0</v>
      </c>
      <c r="O141" s="68">
        <f>'Description Sheet'!M140</f>
        <v>16880</v>
      </c>
      <c r="P141" s="68">
        <f>N141*O141</f>
        <v>0</v>
      </c>
      <c r="Q141" s="14"/>
      <c r="R141" s="44"/>
    </row>
    <row r="142" spans="1:23" hidden="1">
      <c r="A142" s="14"/>
      <c r="B142" s="109">
        <f>'Description Sheet'!B141</f>
        <v>12.6</v>
      </c>
      <c r="C142" s="111" t="str">
        <f>'Description Sheet'!C141</f>
        <v>Pool Area (Maintenance/Repairs Savings)</v>
      </c>
      <c r="D142" s="107"/>
      <c r="E142" s="153" t="str">
        <f>IF('Maintenance Schedule'!F177="x","x","")</f>
        <v/>
      </c>
      <c r="F142" s="153" t="str">
        <f t="shared" si="66"/>
        <v/>
      </c>
      <c r="G142" s="154">
        <f t="shared" si="67"/>
        <v>0</v>
      </c>
      <c r="H142" s="155">
        <f t="shared" ref="H142:H144" si="68">IF(E142="x",P142,0)</f>
        <v>0</v>
      </c>
      <c r="I142" s="156">
        <f t="shared" ref="I142:I144" si="69">IF(E142="x",G142*H142,0)</f>
        <v>0</v>
      </c>
      <c r="J142" s="14"/>
      <c r="K142" s="15"/>
      <c r="L142" s="32"/>
      <c r="M142" s="67" t="str">
        <f>'Description Sheet'!K141</f>
        <v>No</v>
      </c>
      <c r="N142" s="67">
        <f>'Description Sheet'!L141</f>
        <v>0</v>
      </c>
      <c r="O142" s="68">
        <f>'Description Sheet'!M141</f>
        <v>3680</v>
      </c>
      <c r="P142" s="68">
        <f t="shared" ref="P142:P144" si="70">N142*O142</f>
        <v>0</v>
      </c>
      <c r="Q142" s="14"/>
      <c r="R142" s="44"/>
    </row>
    <row r="143" spans="1:23" hidden="1">
      <c r="A143" s="14"/>
      <c r="B143" s="109">
        <f>'Description Sheet'!B142</f>
        <v>12.7</v>
      </c>
      <c r="C143" s="111" t="str">
        <f>'Description Sheet'!C142</f>
        <v>blank</v>
      </c>
      <c r="D143" s="107"/>
      <c r="E143" s="153" t="str">
        <f>IF('Maintenance Schedule'!F178="x","x","")</f>
        <v/>
      </c>
      <c r="F143" s="153" t="str">
        <f t="shared" si="66"/>
        <v/>
      </c>
      <c r="G143" s="154">
        <f t="shared" si="67"/>
        <v>0</v>
      </c>
      <c r="H143" s="155">
        <f t="shared" si="68"/>
        <v>0</v>
      </c>
      <c r="I143" s="156">
        <f t="shared" si="69"/>
        <v>0</v>
      </c>
      <c r="J143" s="14"/>
      <c r="K143" s="15"/>
      <c r="L143" s="32"/>
      <c r="M143" s="67" t="str">
        <f>'Description Sheet'!K142</f>
        <v>No</v>
      </c>
      <c r="N143" s="67">
        <f>'Description Sheet'!L142</f>
        <v>0</v>
      </c>
      <c r="O143" s="68">
        <f>'Description Sheet'!M142</f>
        <v>0</v>
      </c>
      <c r="P143" s="68">
        <f t="shared" si="70"/>
        <v>0</v>
      </c>
      <c r="Q143" s="14"/>
      <c r="R143" s="44"/>
    </row>
    <row r="144" spans="1:23" hidden="1">
      <c r="A144" s="14"/>
      <c r="B144" s="109">
        <f>'Description Sheet'!B143</f>
        <v>12.8</v>
      </c>
      <c r="C144" s="111" t="str">
        <f>'Description Sheet'!C143</f>
        <v>blank</v>
      </c>
      <c r="D144" s="107"/>
      <c r="E144" s="153" t="str">
        <f>IF('Maintenance Schedule'!F179="x","x","")</f>
        <v/>
      </c>
      <c r="F144" s="153" t="str">
        <f t="shared" si="66"/>
        <v/>
      </c>
      <c r="G144" s="154">
        <f t="shared" si="67"/>
        <v>0</v>
      </c>
      <c r="H144" s="155">
        <f t="shared" si="68"/>
        <v>0</v>
      </c>
      <c r="I144" s="156">
        <f t="shared" si="69"/>
        <v>0</v>
      </c>
      <c r="J144" s="14"/>
      <c r="K144" s="15"/>
      <c r="L144" s="32"/>
      <c r="M144" s="67" t="str">
        <f>'Description Sheet'!K143</f>
        <v>No</v>
      </c>
      <c r="N144" s="67">
        <f>'Description Sheet'!L143</f>
        <v>0</v>
      </c>
      <c r="O144" s="68">
        <f>'Description Sheet'!M143</f>
        <v>0</v>
      </c>
      <c r="P144" s="68">
        <f t="shared" si="70"/>
        <v>0</v>
      </c>
      <c r="Q144" s="14"/>
      <c r="R144" s="44"/>
    </row>
    <row r="145" spans="1:72" ht="17" thickBot="1">
      <c r="A145" s="14"/>
      <c r="B145" s="105"/>
      <c r="C145" s="111"/>
      <c r="D145" s="107"/>
      <c r="E145" s="153"/>
      <c r="F145" s="153" t="str">
        <f>IF(E145="x",M145,"")</f>
        <v/>
      </c>
      <c r="G145" s="154"/>
      <c r="H145" s="155"/>
      <c r="I145" s="166"/>
      <c r="J145" s="14"/>
      <c r="K145" s="15"/>
      <c r="L145" s="32"/>
      <c r="M145" s="67"/>
      <c r="N145" s="78"/>
      <c r="O145" s="77"/>
      <c r="P145" s="79"/>
      <c r="Q145" s="14"/>
      <c r="R145" s="44"/>
    </row>
    <row r="146" spans="1:72" s="4" customFormat="1" ht="15.75" customHeight="1" thickBot="1">
      <c r="A146" s="14"/>
      <c r="B146" s="105"/>
      <c r="C146" s="115"/>
      <c r="D146" s="107"/>
      <c r="E146" s="163"/>
      <c r="F146" s="528" t="s">
        <v>7</v>
      </c>
      <c r="G146" s="529"/>
      <c r="H146" s="530">
        <f>SUM(I137:I144)</f>
        <v>3000</v>
      </c>
      <c r="I146" s="531"/>
      <c r="J146" s="14"/>
      <c r="K146" s="15"/>
      <c r="L146" s="33"/>
      <c r="M146" s="508" t="s">
        <v>7</v>
      </c>
      <c r="N146" s="509"/>
      <c r="O146" s="510">
        <f>SUM(P137:P144)</f>
        <v>3000</v>
      </c>
      <c r="P146" s="511"/>
      <c r="Q146" s="14"/>
      <c r="R146" s="31"/>
    </row>
    <row r="147" spans="1:72" ht="7.5" customHeight="1" thickBot="1">
      <c r="A147" s="14" t="s">
        <v>57</v>
      </c>
      <c r="B147" s="105"/>
      <c r="C147" s="189"/>
      <c r="D147" s="190"/>
      <c r="E147" s="190"/>
      <c r="F147" s="190"/>
      <c r="G147" s="190"/>
      <c r="H147" s="190"/>
      <c r="I147" s="190"/>
      <c r="J147" s="190"/>
      <c r="K147" s="191"/>
      <c r="L147" s="192"/>
      <c r="M147" s="192"/>
      <c r="N147" s="192"/>
      <c r="O147" s="190"/>
      <c r="P147" s="193"/>
      <c r="Q147" s="14"/>
      <c r="R147" s="44"/>
    </row>
    <row r="148" spans="1:72" ht="17" thickBot="1">
      <c r="A148" s="14" t="s">
        <v>57</v>
      </c>
      <c r="B148" s="116"/>
      <c r="C148" s="167" t="s">
        <v>9</v>
      </c>
      <c r="D148" s="168"/>
      <c r="E148" s="553" t="s">
        <v>7</v>
      </c>
      <c r="F148" s="554"/>
      <c r="G148" s="555"/>
      <c r="H148" s="530">
        <f>H16+H26+H34+H41+H48+H68+H93+H111+H118+H128+H135++H146+H104</f>
        <v>2213142.5</v>
      </c>
      <c r="I148" s="531"/>
      <c r="J148" s="14"/>
      <c r="K148" s="35"/>
      <c r="L148" s="34"/>
      <c r="M148" s="87"/>
      <c r="N148" s="87"/>
      <c r="O148" s="87"/>
      <c r="P148" s="88"/>
      <c r="Q148" s="14"/>
      <c r="R148" s="44"/>
    </row>
    <row r="149" spans="1:72" ht="17.25" customHeight="1">
      <c r="A149" s="14"/>
      <c r="B149" s="478" t="str">
        <f>'Description Sheet'!B148</f>
        <v>Please Note: The above figures are estimates only based on our experience, measures taken and current rates.  An 8% escalation has been allowed for per anum .  This pricing includes 15% VAT.  Some rates have furthermore been adjusted to try and accommodate P&amp;G's.  An allowance for THC to undertake an annual inspection in order to update the maintenance plan and budget should be allowed for.</v>
      </c>
      <c r="C149" s="479"/>
      <c r="D149" s="479"/>
      <c r="E149" s="479"/>
      <c r="F149" s="479"/>
      <c r="G149" s="479"/>
      <c r="H149" s="479"/>
      <c r="I149" s="480"/>
      <c r="J149" s="14"/>
      <c r="K149" s="40"/>
      <c r="L149" s="14"/>
      <c r="M149" s="89"/>
      <c r="N149" s="89"/>
      <c r="O149" s="89"/>
      <c r="P149" s="89"/>
      <c r="Q149" s="14"/>
      <c r="R149" s="89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</row>
    <row r="150" spans="1:72">
      <c r="A150" s="14"/>
      <c r="B150" s="534"/>
      <c r="C150" s="535"/>
      <c r="D150" s="535"/>
      <c r="E150" s="535"/>
      <c r="F150" s="535"/>
      <c r="G150" s="535"/>
      <c r="H150" s="535"/>
      <c r="I150" s="536"/>
      <c r="J150" s="14"/>
      <c r="K150" s="40"/>
      <c r="L150" s="14"/>
      <c r="M150" s="89"/>
      <c r="N150" s="89"/>
      <c r="O150" s="89"/>
      <c r="P150" s="89"/>
      <c r="Q150" s="14"/>
      <c r="R150" s="89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</row>
    <row r="151" spans="1:72" ht="25.5" customHeight="1">
      <c r="A151" s="14"/>
      <c r="B151" s="534"/>
      <c r="C151" s="535"/>
      <c r="D151" s="535"/>
      <c r="E151" s="535"/>
      <c r="F151" s="535"/>
      <c r="G151" s="535"/>
      <c r="H151" s="535"/>
      <c r="I151" s="536"/>
      <c r="J151" s="14"/>
      <c r="K151" s="31"/>
      <c r="L151" s="14"/>
      <c r="M151" s="44"/>
      <c r="N151" s="44"/>
      <c r="O151" s="44"/>
      <c r="P151" s="44"/>
      <c r="Q151" s="14"/>
      <c r="R151" s="44"/>
    </row>
    <row r="152" spans="1:72">
      <c r="A152" s="44"/>
      <c r="B152" s="172"/>
      <c r="C152" s="117"/>
      <c r="D152" s="117"/>
      <c r="E152" s="139"/>
      <c r="F152" s="117"/>
      <c r="G152" s="117"/>
      <c r="H152" s="117"/>
      <c r="I152" s="117"/>
      <c r="J152" s="44"/>
      <c r="K152" s="31"/>
      <c r="L152" s="44"/>
      <c r="M152" s="44"/>
      <c r="N152" s="44"/>
      <c r="O152" s="44"/>
      <c r="P152" s="44"/>
      <c r="Q152" s="44"/>
      <c r="R152" s="44"/>
    </row>
  </sheetData>
  <sheetProtection algorithmName="SHA-512" hashValue="O3wKhAeL4rC1CI+08WdYCbasX1SeN7rAOZb7uQL1iELK0OVz8vtu/JijiVqh1OHFzPCyO2IAcQfDYeu1wVTUlQ==" saltValue="SYNU/44VaE6yeKHMx2YxHQ==" spinCount="100000" sheet="1" objects="1" scenarios="1"/>
  <mergeCells count="59">
    <mergeCell ref="O111:P111"/>
    <mergeCell ref="M146:N146"/>
    <mergeCell ref="H135:I135"/>
    <mergeCell ref="F135:G135"/>
    <mergeCell ref="H128:I128"/>
    <mergeCell ref="F128:G128"/>
    <mergeCell ref="E5:I5"/>
    <mergeCell ref="F104:G104"/>
    <mergeCell ref="H104:I104"/>
    <mergeCell ref="H148:I148"/>
    <mergeCell ref="E148:G148"/>
    <mergeCell ref="H146:I146"/>
    <mergeCell ref="F146:G146"/>
    <mergeCell ref="F16:G16"/>
    <mergeCell ref="H118:I118"/>
    <mergeCell ref="F118:G118"/>
    <mergeCell ref="H111:I111"/>
    <mergeCell ref="F111:G111"/>
    <mergeCell ref="H93:I93"/>
    <mergeCell ref="F93:G93"/>
    <mergeCell ref="F41:G41"/>
    <mergeCell ref="H34:I34"/>
    <mergeCell ref="B149:I151"/>
    <mergeCell ref="M2:P3"/>
    <mergeCell ref="B2:F3"/>
    <mergeCell ref="B4:I4"/>
    <mergeCell ref="M104:N104"/>
    <mergeCell ref="O104:P104"/>
    <mergeCell ref="M16:N16"/>
    <mergeCell ref="M7:P7"/>
    <mergeCell ref="F48:G48"/>
    <mergeCell ref="H48:I48"/>
    <mergeCell ref="M48:N48"/>
    <mergeCell ref="O48:P48"/>
    <mergeCell ref="H68:I68"/>
    <mergeCell ref="F68:G68"/>
    <mergeCell ref="H16:I16"/>
    <mergeCell ref="O146:P146"/>
    <mergeCell ref="O34:P34"/>
    <mergeCell ref="M26:N26"/>
    <mergeCell ref="O26:P26"/>
    <mergeCell ref="M135:N135"/>
    <mergeCell ref="O135:P135"/>
    <mergeCell ref="M128:N128"/>
    <mergeCell ref="O128:P128"/>
    <mergeCell ref="M118:N118"/>
    <mergeCell ref="O118:P118"/>
    <mergeCell ref="M93:N93"/>
    <mergeCell ref="O93:P93"/>
    <mergeCell ref="M68:N68"/>
    <mergeCell ref="O68:P68"/>
    <mergeCell ref="M41:N41"/>
    <mergeCell ref="O41:P41"/>
    <mergeCell ref="M111:N111"/>
    <mergeCell ref="F34:G34"/>
    <mergeCell ref="H26:I26"/>
    <mergeCell ref="F26:G26"/>
    <mergeCell ref="H41:I41"/>
    <mergeCell ref="M34:N34"/>
  </mergeCells>
  <conditionalFormatting sqref="E18:E24 E9:E15">
    <cfRule type="expression" priority="1">
      <formula>$H$9:$H$10&gt;x</formula>
    </cfRule>
    <cfRule type="expression" priority="2">
      <formula>$H$9&lt;x</formula>
    </cfRule>
  </conditionalFormatting>
  <pageMargins left="0.70866141732283472" right="0.70866141732283472" top="0.74803149606299213" bottom="0.74803149606299213" header="0.31496062992125984" footer="0.31496062992125984"/>
  <pageSetup scale="70" orientation="portrait" horizontalDpi="4294967293" r:id="rId1"/>
  <rowBreaks count="1" manualBreakCount="1">
    <brk id="68" max="9" man="1"/>
  </row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BT152"/>
  <sheetViews>
    <sheetView view="pageBreakPreview" zoomScale="70" zoomScaleNormal="70" zoomScaleSheetLayoutView="70" workbookViewId="0">
      <pane xSplit="16" ySplit="6" topLeftCell="Q7" activePane="bottomRight" state="frozen"/>
      <selection pane="topRight"/>
      <selection pane="bottomLeft"/>
      <selection pane="bottomRight" activeCell="E1" sqref="E1:E1048576"/>
    </sheetView>
  </sheetViews>
  <sheetFormatPr baseColWidth="10" defaultColWidth="8.83203125" defaultRowHeight="16"/>
  <cols>
    <col min="1" max="1" width="2.33203125" customWidth="1"/>
    <col min="2" max="2" width="6.5" style="173" hidden="1" customWidth="1"/>
    <col min="3" max="3" width="62.5" style="169" customWidth="1"/>
    <col min="4" max="4" width="1.5" style="169" customWidth="1"/>
    <col min="5" max="5" width="12.83203125" style="170" hidden="1" customWidth="1"/>
    <col min="6" max="6" width="6.5" style="169" customWidth="1"/>
    <col min="7" max="7" width="11.33203125" style="169" customWidth="1"/>
    <col min="8" max="8" width="17.5" style="169" bestFit="1" customWidth="1"/>
    <col min="9" max="9" width="17.5" style="169" customWidth="1"/>
    <col min="10" max="10" width="2.1640625" customWidth="1"/>
    <col min="11" max="11" width="5.83203125" style="4" hidden="1" customWidth="1"/>
    <col min="12" max="12" width="24.5" hidden="1" customWidth="1"/>
    <col min="13" max="13" width="29" hidden="1" customWidth="1"/>
    <col min="14" max="14" width="49.83203125" hidden="1" customWidth="1"/>
    <col min="15" max="15" width="47" hidden="1" customWidth="1"/>
    <col min="16" max="16" width="48.5" hidden="1" customWidth="1"/>
    <col min="17" max="17" width="70.83203125" hidden="1" customWidth="1"/>
    <col min="18" max="18" width="9.1640625" customWidth="1"/>
    <col min="19" max="19" width="13.5" bestFit="1" customWidth="1"/>
  </cols>
  <sheetData>
    <row r="1" spans="1:18" ht="17" thickBot="1">
      <c r="A1" s="30"/>
      <c r="B1" s="171"/>
      <c r="C1" s="117"/>
      <c r="D1" s="118"/>
      <c r="E1" s="139"/>
      <c r="F1" s="117"/>
      <c r="G1" s="117"/>
      <c r="H1" s="117"/>
      <c r="I1" s="117"/>
      <c r="J1" s="30"/>
      <c r="K1" s="41"/>
      <c r="L1" s="30"/>
      <c r="M1" s="30"/>
      <c r="N1" s="44"/>
      <c r="O1" s="44"/>
      <c r="P1" s="44"/>
      <c r="Q1" s="30"/>
      <c r="R1" s="44"/>
    </row>
    <row r="2" spans="1:18" ht="15" customHeight="1">
      <c r="A2" s="34"/>
      <c r="B2" s="543" t="str">
        <f>'Maintenance Schedule'!D1</f>
        <v>KNIGHTSBRIDGE - DESK REVIEW MAINTENANCE SCHEDULE (2021)</v>
      </c>
      <c r="C2" s="544"/>
      <c r="D2" s="544"/>
      <c r="E2" s="544"/>
      <c r="F2" s="545"/>
      <c r="G2" s="140"/>
      <c r="H2" s="140"/>
      <c r="I2" s="140"/>
      <c r="J2" s="14"/>
      <c r="K2" s="15"/>
      <c r="L2" s="33"/>
      <c r="M2" s="537" t="s">
        <v>22</v>
      </c>
      <c r="N2" s="538"/>
      <c r="O2" s="538"/>
      <c r="P2" s="539"/>
      <c r="Q2" s="34"/>
      <c r="R2" s="44"/>
    </row>
    <row r="3" spans="1:18" ht="37.5" customHeight="1" thickBot="1">
      <c r="A3" s="38"/>
      <c r="B3" s="546"/>
      <c r="C3" s="547"/>
      <c r="D3" s="547"/>
      <c r="E3" s="547"/>
      <c r="F3" s="548"/>
      <c r="G3" s="141"/>
      <c r="H3" s="141"/>
      <c r="I3" s="141"/>
      <c r="J3" s="14"/>
      <c r="K3" s="15"/>
      <c r="L3" s="33"/>
      <c r="M3" s="540"/>
      <c r="N3" s="541"/>
      <c r="O3" s="541"/>
      <c r="P3" s="542"/>
      <c r="Q3" s="14"/>
      <c r="R3" s="44"/>
    </row>
    <row r="4" spans="1:18" ht="32.25" customHeight="1" thickBot="1">
      <c r="A4" s="14"/>
      <c r="B4" s="460" t="s">
        <v>1</v>
      </c>
      <c r="C4" s="461"/>
      <c r="D4" s="461"/>
      <c r="E4" s="461"/>
      <c r="F4" s="461"/>
      <c r="G4" s="461"/>
      <c r="H4" s="461"/>
      <c r="I4" s="549"/>
      <c r="J4" s="14"/>
      <c r="K4" s="40"/>
      <c r="L4" s="33"/>
      <c r="M4" s="51" t="s">
        <v>26</v>
      </c>
      <c r="N4" s="51"/>
      <c r="O4" s="51"/>
      <c r="P4" s="52"/>
      <c r="Q4" s="14"/>
      <c r="R4" s="44"/>
    </row>
    <row r="5" spans="1:18" ht="19" thickBot="1">
      <c r="A5" s="14"/>
      <c r="B5" s="105"/>
      <c r="C5" s="106" t="str">
        <f>'Maintenance Schedule'!E4</f>
        <v>WORK DUE IN FINANCIAL YEAR</v>
      </c>
      <c r="D5" s="107"/>
      <c r="E5" s="550" t="str">
        <f>'Maintenance Schedule'!H4</f>
        <v>2022/2023</v>
      </c>
      <c r="F5" s="551"/>
      <c r="G5" s="551"/>
      <c r="H5" s="551"/>
      <c r="I5" s="552"/>
      <c r="J5" s="14"/>
      <c r="K5" s="40"/>
      <c r="L5" s="33"/>
      <c r="M5" s="53"/>
      <c r="N5" s="53"/>
      <c r="O5" s="53"/>
      <c r="P5" s="54"/>
      <c r="Q5" s="14"/>
      <c r="R5" s="44"/>
    </row>
    <row r="6" spans="1:18" ht="18" thickBot="1">
      <c r="A6" s="14"/>
      <c r="B6" s="108" t="s">
        <v>19</v>
      </c>
      <c r="C6" s="142" t="s">
        <v>0</v>
      </c>
      <c r="D6" s="107"/>
      <c r="E6" s="143" t="s">
        <v>23</v>
      </c>
      <c r="F6" s="144" t="s">
        <v>2</v>
      </c>
      <c r="G6" s="145" t="s">
        <v>3</v>
      </c>
      <c r="H6" s="144" t="s">
        <v>4</v>
      </c>
      <c r="I6" s="144" t="s">
        <v>5</v>
      </c>
      <c r="J6" s="32"/>
      <c r="K6" s="40"/>
      <c r="L6" s="33"/>
      <c r="M6" s="59" t="s">
        <v>2</v>
      </c>
      <c r="N6" s="59" t="s">
        <v>3</v>
      </c>
      <c r="O6" s="59" t="s">
        <v>4</v>
      </c>
      <c r="P6" s="59" t="s">
        <v>5</v>
      </c>
      <c r="Q6" s="14"/>
      <c r="R6" s="44"/>
    </row>
    <row r="7" spans="1:18" ht="8.25" hidden="1" customHeight="1" thickBot="1">
      <c r="A7" s="14"/>
      <c r="B7" s="109"/>
      <c r="C7" s="146"/>
      <c r="D7" s="147"/>
      <c r="E7" s="148"/>
      <c r="F7" s="148"/>
      <c r="G7" s="148"/>
      <c r="H7" s="148"/>
      <c r="I7" s="149"/>
      <c r="J7" s="60"/>
      <c r="K7" s="84"/>
      <c r="L7" s="60"/>
      <c r="M7" s="505"/>
      <c r="N7" s="506"/>
      <c r="O7" s="506"/>
      <c r="P7" s="507"/>
      <c r="Q7" s="14"/>
      <c r="R7" s="44"/>
    </row>
    <row r="8" spans="1:18" ht="17" thickBot="1">
      <c r="A8" s="14"/>
      <c r="B8" s="108">
        <f>'Description Sheet'!B7</f>
        <v>1</v>
      </c>
      <c r="C8" s="150" t="str">
        <f>'Description Sheet'!C7</f>
        <v>Electrical Areas</v>
      </c>
      <c r="D8" s="107"/>
      <c r="E8" s="110"/>
      <c r="F8" s="110"/>
      <c r="G8" s="110"/>
      <c r="H8" s="110"/>
      <c r="I8" s="151"/>
      <c r="J8" s="32"/>
      <c r="K8" s="40"/>
      <c r="L8" s="33"/>
      <c r="M8" s="24"/>
      <c r="N8" s="25"/>
      <c r="O8" s="25"/>
      <c r="P8" s="63"/>
      <c r="Q8" s="14"/>
      <c r="R8" s="44"/>
    </row>
    <row r="9" spans="1:18">
      <c r="A9" s="14"/>
      <c r="B9" s="109">
        <f>'Description Sheet'!B8</f>
        <v>1.1000000000000001</v>
      </c>
      <c r="C9" s="152" t="str">
        <f>'Description Sheet'!C8</f>
        <v>General Electrics and Lighting (Replacement/Repairs)</v>
      </c>
      <c r="D9" s="107"/>
      <c r="E9" s="153" t="str">
        <f>IF('Maintenance Schedule'!H8="x","x","")</f>
        <v>x</v>
      </c>
      <c r="F9" s="153" t="str">
        <f>IF(E9="x","No","")</f>
        <v>No</v>
      </c>
      <c r="G9" s="154">
        <f>IF(E9="x",1,0)</f>
        <v>1</v>
      </c>
      <c r="H9" s="155">
        <f>IF(E9="x",P9,0)</f>
        <v>4860</v>
      </c>
      <c r="I9" s="156">
        <f>IF(E9="x",G9*H9,0)</f>
        <v>4860</v>
      </c>
      <c r="J9" s="14"/>
      <c r="K9" s="85"/>
      <c r="L9" s="32"/>
      <c r="M9" s="66" t="str">
        <f>'Description Sheet'!K8</f>
        <v>No</v>
      </c>
      <c r="N9" s="67">
        <f>'Description Sheet'!L8</f>
        <v>1</v>
      </c>
      <c r="O9" s="68">
        <f>'Year (2021-2022)'!O9*(('Description Sheet'!M4)+1)</f>
        <v>4860</v>
      </c>
      <c r="P9" s="69">
        <f>N9*O9</f>
        <v>4860</v>
      </c>
      <c r="Q9" s="14"/>
      <c r="R9" s="44"/>
    </row>
    <row r="10" spans="1:18" hidden="1">
      <c r="A10" s="14"/>
      <c r="B10" s="109">
        <f>'Description Sheet'!B9</f>
        <v>1.2</v>
      </c>
      <c r="C10" s="152" t="str">
        <f>'Description Sheet'!C9</f>
        <v>Generators (Maintenance Savings)</v>
      </c>
      <c r="D10" s="107"/>
      <c r="E10" s="153" t="str">
        <f>IF('Maintenance Schedule'!H9="x","x","")</f>
        <v/>
      </c>
      <c r="F10" s="153" t="str">
        <f t="shared" ref="F10:F14" si="0">IF(E10="x","No","")</f>
        <v/>
      </c>
      <c r="G10" s="154">
        <f t="shared" ref="G10:G14" si="1">IF(E10="x",1,0)</f>
        <v>0</v>
      </c>
      <c r="H10" s="155">
        <f>IF(E10="x",P10,0)</f>
        <v>0</v>
      </c>
      <c r="I10" s="156">
        <f>IF(E10="x",G10*H10,0)</f>
        <v>0</v>
      </c>
      <c r="J10" s="14"/>
      <c r="K10" s="85"/>
      <c r="L10" s="32"/>
      <c r="M10" s="66" t="str">
        <f>'Description Sheet'!K9</f>
        <v>No</v>
      </c>
      <c r="N10" s="67">
        <f>'Description Sheet'!L9</f>
        <v>0</v>
      </c>
      <c r="O10" s="68">
        <f>'Year (2021-2022)'!O10*(('Description Sheet'!M4)+1)</f>
        <v>5082.4800000000005</v>
      </c>
      <c r="P10" s="69">
        <f>N10*O10</f>
        <v>0</v>
      </c>
      <c r="Q10" s="14"/>
      <c r="R10" s="44"/>
    </row>
    <row r="11" spans="1:18">
      <c r="A11" s="14"/>
      <c r="B11" s="109">
        <f>'Description Sheet'!B10</f>
        <v>1.3</v>
      </c>
      <c r="C11" s="152" t="str">
        <f>'Description Sheet'!C10</f>
        <v>Main Gate &amp; Motor (Replacement Savings)</v>
      </c>
      <c r="D11" s="107"/>
      <c r="E11" s="153" t="str">
        <f>IF('Maintenance Schedule'!H10="x","x","")</f>
        <v>x</v>
      </c>
      <c r="F11" s="153" t="str">
        <f t="shared" si="0"/>
        <v>No</v>
      </c>
      <c r="G11" s="154">
        <f t="shared" si="1"/>
        <v>1</v>
      </c>
      <c r="H11" s="155">
        <f>IF(E11="x",P11,0)</f>
        <v>3176.28</v>
      </c>
      <c r="I11" s="156">
        <f>IF(E11="x",G11*H11,0)</f>
        <v>3176.28</v>
      </c>
      <c r="J11" s="14"/>
      <c r="K11" s="85"/>
      <c r="L11" s="32"/>
      <c r="M11" s="66" t="str">
        <f>'Description Sheet'!K10</f>
        <v>No</v>
      </c>
      <c r="N11" s="67">
        <f>'Description Sheet'!L10</f>
        <v>1</v>
      </c>
      <c r="O11" s="68">
        <f>'Year (2021-2022)'!O11*(('Description Sheet'!M4)+1)</f>
        <v>3176.28</v>
      </c>
      <c r="P11" s="69">
        <f>N11*O11</f>
        <v>3176.28</v>
      </c>
      <c r="Q11" s="14"/>
      <c r="R11" s="44"/>
    </row>
    <row r="12" spans="1:18" hidden="1">
      <c r="A12" s="14"/>
      <c r="B12" s="109">
        <f>'Description Sheet'!B11</f>
        <v>1.4</v>
      </c>
      <c r="C12" s="152" t="str">
        <f>'Description Sheet'!C11</f>
        <v>Tranformers (Service Interval 3 Years)</v>
      </c>
      <c r="D12" s="107"/>
      <c r="E12" s="153" t="str">
        <f>IF('Maintenance Schedule'!H11="x","x","")</f>
        <v/>
      </c>
      <c r="F12" s="153" t="str">
        <f t="shared" si="0"/>
        <v/>
      </c>
      <c r="G12" s="154">
        <f t="shared" si="1"/>
        <v>0</v>
      </c>
      <c r="H12" s="155">
        <f t="shared" ref="H12:H14" si="2">IF(E12="x",P12,0)</f>
        <v>0</v>
      </c>
      <c r="I12" s="156">
        <f t="shared" ref="I12:I14" si="3">IF(E12="x",G12*H12,0)</f>
        <v>0</v>
      </c>
      <c r="J12" s="14"/>
      <c r="K12" s="85"/>
      <c r="L12" s="32"/>
      <c r="M12" s="66" t="str">
        <f>'Description Sheet'!K11</f>
        <v>No</v>
      </c>
      <c r="N12" s="67">
        <f>'Description Sheet'!L11</f>
        <v>0</v>
      </c>
      <c r="O12" s="68">
        <f>'Year (2021-2022)'!O12*(('Description Sheet'!M4)+1)</f>
        <v>30559.68</v>
      </c>
      <c r="P12" s="69">
        <f t="shared" ref="P12:P14" si="4">N12*O12</f>
        <v>0</v>
      </c>
      <c r="Q12" s="14"/>
      <c r="R12" s="44"/>
    </row>
    <row r="13" spans="1:18" hidden="1">
      <c r="A13" s="14"/>
      <c r="B13" s="109">
        <f>'Description Sheet'!B12</f>
        <v>1.5</v>
      </c>
      <c r="C13" s="152" t="str">
        <f>'Description Sheet'!C12</f>
        <v>blank</v>
      </c>
      <c r="D13" s="107"/>
      <c r="E13" s="153" t="str">
        <f>IF('Maintenance Schedule'!H12="x","x","")</f>
        <v/>
      </c>
      <c r="F13" s="153" t="str">
        <f t="shared" si="0"/>
        <v/>
      </c>
      <c r="G13" s="154">
        <f t="shared" si="1"/>
        <v>0</v>
      </c>
      <c r="H13" s="155">
        <f t="shared" si="2"/>
        <v>0</v>
      </c>
      <c r="I13" s="156">
        <f t="shared" si="3"/>
        <v>0</v>
      </c>
      <c r="J13" s="14"/>
      <c r="K13" s="85"/>
      <c r="L13" s="32"/>
      <c r="M13" s="66" t="str">
        <f>'Description Sheet'!K12</f>
        <v>No</v>
      </c>
      <c r="N13" s="67">
        <f>'Description Sheet'!L12</f>
        <v>0</v>
      </c>
      <c r="O13" s="68">
        <f>'Year (2021-2022)'!O13*(('Description Sheet'!M4)+1)</f>
        <v>0</v>
      </c>
      <c r="P13" s="69">
        <f t="shared" si="4"/>
        <v>0</v>
      </c>
      <c r="Q13" s="14"/>
      <c r="R13" s="44"/>
    </row>
    <row r="14" spans="1:18" hidden="1">
      <c r="A14" s="14"/>
      <c r="B14" s="109">
        <f>'Description Sheet'!B13</f>
        <v>1.6</v>
      </c>
      <c r="C14" s="152" t="str">
        <f>'Description Sheet'!C13</f>
        <v>blank</v>
      </c>
      <c r="D14" s="107"/>
      <c r="E14" s="153" t="str">
        <f>IF('Maintenance Schedule'!H13="x","x","")</f>
        <v/>
      </c>
      <c r="F14" s="153" t="str">
        <f t="shared" si="0"/>
        <v/>
      </c>
      <c r="G14" s="154">
        <f t="shared" si="1"/>
        <v>0</v>
      </c>
      <c r="H14" s="155">
        <f t="shared" si="2"/>
        <v>0</v>
      </c>
      <c r="I14" s="156">
        <f t="shared" si="3"/>
        <v>0</v>
      </c>
      <c r="J14" s="14"/>
      <c r="K14" s="85"/>
      <c r="L14" s="32"/>
      <c r="M14" s="66" t="str">
        <f>'Description Sheet'!K13</f>
        <v>No</v>
      </c>
      <c r="N14" s="67">
        <f>'Description Sheet'!L13</f>
        <v>0</v>
      </c>
      <c r="O14" s="68">
        <f>'Year (2021-2022)'!O14*(('Description Sheet'!M4)+1)</f>
        <v>0</v>
      </c>
      <c r="P14" s="69">
        <f t="shared" si="4"/>
        <v>0</v>
      </c>
      <c r="Q14" s="14"/>
      <c r="R14" s="44"/>
    </row>
    <row r="15" spans="1:18" ht="17" thickBot="1">
      <c r="A15" s="14"/>
      <c r="B15" s="109"/>
      <c r="C15" s="152"/>
      <c r="D15" s="107"/>
      <c r="E15" s="153"/>
      <c r="F15" s="153"/>
      <c r="G15" s="154"/>
      <c r="H15" s="155"/>
      <c r="I15" s="157"/>
      <c r="J15" s="14"/>
      <c r="K15" s="85"/>
      <c r="L15" s="32"/>
      <c r="M15" s="70"/>
      <c r="N15" s="67"/>
      <c r="O15" s="68"/>
      <c r="P15" s="73"/>
      <c r="Q15" s="14"/>
      <c r="R15" s="44"/>
    </row>
    <row r="16" spans="1:18" s="4" customFormat="1" ht="15.75" customHeight="1" thickBot="1">
      <c r="A16" s="14"/>
      <c r="B16" s="109"/>
      <c r="C16" s="158"/>
      <c r="D16" s="107"/>
      <c r="E16" s="159"/>
      <c r="F16" s="528" t="s">
        <v>7</v>
      </c>
      <c r="G16" s="529"/>
      <c r="H16" s="530">
        <f>SUM(I9:I14)</f>
        <v>8036.2800000000007</v>
      </c>
      <c r="I16" s="531"/>
      <c r="J16" s="14"/>
      <c r="K16" s="15"/>
      <c r="L16" s="33"/>
      <c r="M16" s="508" t="s">
        <v>7</v>
      </c>
      <c r="N16" s="509"/>
      <c r="O16" s="510">
        <f>SUM(P9:P14)</f>
        <v>8036.2800000000007</v>
      </c>
      <c r="P16" s="511"/>
      <c r="Q16" s="14"/>
      <c r="R16" s="31"/>
    </row>
    <row r="17" spans="1:18" ht="17" thickBot="1">
      <c r="A17" s="14"/>
      <c r="B17" s="109">
        <f>'Description Sheet'!B16</f>
        <v>2</v>
      </c>
      <c r="C17" s="113" t="str">
        <f>'Description Sheet'!C16</f>
        <v>External Plumbing Areas</v>
      </c>
      <c r="D17" s="107"/>
      <c r="E17" s="110"/>
      <c r="F17" s="110"/>
      <c r="G17" s="110"/>
      <c r="H17" s="110"/>
      <c r="I17" s="151"/>
      <c r="J17" s="32"/>
      <c r="K17" s="40"/>
      <c r="L17" s="33"/>
      <c r="M17" s="24"/>
      <c r="N17" s="25"/>
      <c r="O17" s="25"/>
      <c r="P17" s="63"/>
      <c r="Q17" s="14"/>
      <c r="R17" s="44"/>
    </row>
    <row r="18" spans="1:18">
      <c r="A18" s="14"/>
      <c r="B18" s="109">
        <f>'Description Sheet'!B17</f>
        <v>2.1</v>
      </c>
      <c r="C18" s="152" t="str">
        <f>'Description Sheet'!C17</f>
        <v>General Plumbing Repairs/Upgrade (Stacks, Valves etc.)</v>
      </c>
      <c r="D18" s="107"/>
      <c r="E18" s="153" t="str">
        <f>IF('Maintenance Schedule'!H20="x","x","")</f>
        <v>x</v>
      </c>
      <c r="F18" s="153" t="str">
        <f>IF(E18="x","No","")</f>
        <v>No</v>
      </c>
      <c r="G18" s="154">
        <f>IF(E18="x",1,0)</f>
        <v>1</v>
      </c>
      <c r="H18" s="155">
        <f t="shared" ref="H18:H24" si="5">IF(E18="x",P18,0)</f>
        <v>27000</v>
      </c>
      <c r="I18" s="156">
        <f>IF(E18="x",G18*H18,0)</f>
        <v>27000</v>
      </c>
      <c r="J18" s="14"/>
      <c r="K18" s="15"/>
      <c r="L18" s="32"/>
      <c r="M18" s="70" t="str">
        <f>'Description Sheet'!K17</f>
        <v>No</v>
      </c>
      <c r="N18" s="67">
        <f>'Description Sheet'!L17</f>
        <v>1</v>
      </c>
      <c r="O18" s="68">
        <f>'Year (2021-2022)'!O18*(('Description Sheet'!M4)+1)</f>
        <v>27000</v>
      </c>
      <c r="P18" s="68">
        <f>N18*O18</f>
        <v>27000</v>
      </c>
      <c r="Q18" s="14"/>
      <c r="R18" s="44"/>
    </row>
    <row r="19" spans="1:18" hidden="1">
      <c r="A19" s="14"/>
      <c r="B19" s="109">
        <f>'Description Sheet'!B18</f>
        <v>2.2000000000000002</v>
      </c>
      <c r="C19" s="152" t="str">
        <f>'Description Sheet'!C18</f>
        <v>Rectify Reticalation Connections at Fire Hydrants</v>
      </c>
      <c r="D19" s="107"/>
      <c r="E19" s="153" t="str">
        <f>IF('Maintenance Schedule'!H21="x","x","")</f>
        <v/>
      </c>
      <c r="F19" s="153" t="str">
        <f t="shared" ref="F19:F24" si="6">IF(E19="x","No","")</f>
        <v/>
      </c>
      <c r="G19" s="154">
        <f t="shared" ref="G19:G24" si="7">IF(E19="x",1,0)</f>
        <v>0</v>
      </c>
      <c r="H19" s="155">
        <f t="shared" si="5"/>
        <v>0</v>
      </c>
      <c r="I19" s="156">
        <f>IF(E19="x",G19*H19,0)</f>
        <v>0</v>
      </c>
      <c r="J19" s="14"/>
      <c r="K19" s="15"/>
      <c r="L19" s="32"/>
      <c r="M19" s="70" t="str">
        <f>'Description Sheet'!K18</f>
        <v>No</v>
      </c>
      <c r="N19" s="67">
        <f>'Description Sheet'!L18</f>
        <v>0</v>
      </c>
      <c r="O19" s="68">
        <f>'Year (2021-2022)'!O19*(('Description Sheet'!M4)+1)</f>
        <v>58320.000000000007</v>
      </c>
      <c r="P19" s="68">
        <f>N19*O19</f>
        <v>0</v>
      </c>
      <c r="Q19" s="14"/>
      <c r="R19" s="44"/>
    </row>
    <row r="20" spans="1:18" hidden="1">
      <c r="A20" s="14"/>
      <c r="B20" s="109">
        <f>'Description Sheet'!B19</f>
        <v>2.2999999999999998</v>
      </c>
      <c r="C20" s="152" t="str">
        <f>'Description Sheet'!C19</f>
        <v>Repairs to Storm Water Gullies</v>
      </c>
      <c r="D20" s="107"/>
      <c r="E20" s="153" t="str">
        <f>IF('Maintenance Schedule'!H22="x","x","")</f>
        <v/>
      </c>
      <c r="F20" s="153" t="str">
        <f t="shared" si="6"/>
        <v/>
      </c>
      <c r="G20" s="154">
        <f t="shared" si="7"/>
        <v>0</v>
      </c>
      <c r="H20" s="155">
        <f t="shared" si="5"/>
        <v>0</v>
      </c>
      <c r="I20" s="156">
        <f>IF(E20="x",G20*H20,0)</f>
        <v>0</v>
      </c>
      <c r="J20" s="14"/>
      <c r="K20" s="15"/>
      <c r="L20" s="32"/>
      <c r="M20" s="70" t="str">
        <f>'Description Sheet'!K19</f>
        <v>No</v>
      </c>
      <c r="N20" s="67">
        <f>'Description Sheet'!L19</f>
        <v>0</v>
      </c>
      <c r="O20" s="68">
        <f>'Year (2021-2022)'!O20*(('Description Sheet'!M4)+1)</f>
        <v>5248.8</v>
      </c>
      <c r="P20" s="68">
        <f>N20*O20</f>
        <v>0</v>
      </c>
      <c r="Q20" s="14"/>
      <c r="R20" s="44"/>
    </row>
    <row r="21" spans="1:18" hidden="1">
      <c r="A21" s="14"/>
      <c r="B21" s="109">
        <f>'Description Sheet'!B20</f>
        <v>2.4</v>
      </c>
      <c r="C21" s="152" t="str">
        <f>'Description Sheet'!C20</f>
        <v>Servicing of Full-Bore Piping</v>
      </c>
      <c r="D21" s="107"/>
      <c r="E21" s="153" t="str">
        <f>IF('Maintenance Schedule'!H23="x","x","")</f>
        <v/>
      </c>
      <c r="F21" s="153" t="str">
        <f t="shared" si="6"/>
        <v/>
      </c>
      <c r="G21" s="154">
        <f t="shared" si="7"/>
        <v>0</v>
      </c>
      <c r="H21" s="155">
        <f t="shared" si="5"/>
        <v>0</v>
      </c>
      <c r="I21" s="156">
        <f>IF(E21="x",G21*H21,0)</f>
        <v>0</v>
      </c>
      <c r="J21" s="14"/>
      <c r="K21" s="15"/>
      <c r="L21" s="32"/>
      <c r="M21" s="70" t="str">
        <f>'Description Sheet'!K20</f>
        <v>No</v>
      </c>
      <c r="N21" s="67">
        <f>'Description Sheet'!L20</f>
        <v>1</v>
      </c>
      <c r="O21" s="68">
        <f>'Year (2021-2022)'!O21*(('Description Sheet'!M4)+1)</f>
        <v>5082.4800000000005</v>
      </c>
      <c r="P21" s="68">
        <f>O21*N21</f>
        <v>5082.4800000000005</v>
      </c>
      <c r="Q21" s="14"/>
      <c r="R21" s="44"/>
    </row>
    <row r="22" spans="1:18" hidden="1">
      <c r="A22" s="14"/>
      <c r="B22" s="109">
        <f>'Description Sheet'!B21</f>
        <v>2.5</v>
      </c>
      <c r="C22" s="152" t="str">
        <f>'Description Sheet'!C21</f>
        <v>Replacing of Cast Iron Stack Pipes with PVC</v>
      </c>
      <c r="D22" s="107"/>
      <c r="E22" s="153" t="str">
        <f>IF('Maintenance Schedule'!H24="x","x","")</f>
        <v/>
      </c>
      <c r="F22" s="153" t="str">
        <f t="shared" si="6"/>
        <v/>
      </c>
      <c r="G22" s="154">
        <f t="shared" si="7"/>
        <v>0</v>
      </c>
      <c r="H22" s="155">
        <f t="shared" si="5"/>
        <v>0</v>
      </c>
      <c r="I22" s="156">
        <f t="shared" ref="I22:I24" si="8">IF(E22="x",G22*H22,0)</f>
        <v>0</v>
      </c>
      <c r="J22" s="14"/>
      <c r="K22" s="15"/>
      <c r="L22" s="33"/>
      <c r="M22" s="70" t="str">
        <f>'Description Sheet'!K21</f>
        <v>lm</v>
      </c>
      <c r="N22" s="67">
        <f>'Description Sheet'!L21</f>
        <v>1</v>
      </c>
      <c r="O22" s="68">
        <f>'Year (2021-2022)'!O22*(('Description Sheet'!M4)+1)</f>
        <v>120722.40000000001</v>
      </c>
      <c r="P22" s="68">
        <f t="shared" ref="P22:P24" si="9">O22*N22</f>
        <v>120722.40000000001</v>
      </c>
      <c r="Q22" s="14"/>
      <c r="R22" s="44"/>
    </row>
    <row r="23" spans="1:18" hidden="1">
      <c r="A23" s="14"/>
      <c r="B23" s="109">
        <f>'Description Sheet'!B22</f>
        <v>2.6</v>
      </c>
      <c r="C23" s="152" t="str">
        <f>'Description Sheet'!C22</f>
        <v>Water Tanks and Pumps (Maintenance/Repairs Savings)</v>
      </c>
      <c r="D23" s="107"/>
      <c r="E23" s="153" t="str">
        <f>IF('Maintenance Schedule'!H25="x","x","")</f>
        <v/>
      </c>
      <c r="F23" s="153" t="str">
        <f t="shared" si="6"/>
        <v/>
      </c>
      <c r="G23" s="154">
        <f t="shared" si="7"/>
        <v>0</v>
      </c>
      <c r="H23" s="155">
        <f t="shared" si="5"/>
        <v>0</v>
      </c>
      <c r="I23" s="156">
        <f t="shared" si="8"/>
        <v>0</v>
      </c>
      <c r="J23" s="14"/>
      <c r="K23" s="15"/>
      <c r="L23" s="33"/>
      <c r="M23" s="70" t="str">
        <f>'Description Sheet'!K22</f>
        <v>No</v>
      </c>
      <c r="N23" s="67">
        <f>'Description Sheet'!L22</f>
        <v>0</v>
      </c>
      <c r="O23" s="68">
        <f>'Year (2021-2022)'!O23*(('Description Sheet'!M4)+1)</f>
        <v>11664</v>
      </c>
      <c r="P23" s="68">
        <f t="shared" si="9"/>
        <v>0</v>
      </c>
      <c r="Q23" s="14"/>
      <c r="R23" s="44"/>
    </row>
    <row r="24" spans="1:18" hidden="1">
      <c r="A24" s="14"/>
      <c r="B24" s="109">
        <f>'Description Sheet'!B23</f>
        <v>2.7</v>
      </c>
      <c r="C24" s="152" t="str">
        <f>'Description Sheet'!C23</f>
        <v>Asbestos Water Tanks (Replace)</v>
      </c>
      <c r="D24" s="107"/>
      <c r="E24" s="153" t="str">
        <f>IF('Maintenance Schedule'!H26="x","x","")</f>
        <v/>
      </c>
      <c r="F24" s="153" t="str">
        <f t="shared" si="6"/>
        <v/>
      </c>
      <c r="G24" s="154">
        <f t="shared" si="7"/>
        <v>0</v>
      </c>
      <c r="H24" s="155">
        <f t="shared" si="5"/>
        <v>0</v>
      </c>
      <c r="I24" s="156">
        <f t="shared" si="8"/>
        <v>0</v>
      </c>
      <c r="J24" s="14"/>
      <c r="K24" s="15"/>
      <c r="L24" s="33"/>
      <c r="M24" s="70" t="str">
        <f>'Description Sheet'!K23</f>
        <v>No</v>
      </c>
      <c r="N24" s="67">
        <f>'Description Sheet'!L23</f>
        <v>0</v>
      </c>
      <c r="O24" s="68">
        <f>'Year (2021-2022)'!O24*(('Description Sheet'!M4)+1)</f>
        <v>33510.240000000005</v>
      </c>
      <c r="P24" s="68">
        <f t="shared" si="9"/>
        <v>0</v>
      </c>
      <c r="Q24" s="14"/>
      <c r="R24" s="44"/>
    </row>
    <row r="25" spans="1:18" ht="17" thickBot="1">
      <c r="A25" s="14"/>
      <c r="B25" s="109"/>
      <c r="C25" s="152"/>
      <c r="D25" s="107"/>
      <c r="E25" s="160"/>
      <c r="F25" s="161"/>
      <c r="G25" s="161"/>
      <c r="H25" s="155"/>
      <c r="I25" s="155"/>
      <c r="J25" s="14"/>
      <c r="K25" s="15"/>
      <c r="L25" s="33"/>
      <c r="M25" s="76"/>
      <c r="N25" s="76"/>
      <c r="O25" s="77"/>
      <c r="P25" s="77"/>
      <c r="Q25" s="14"/>
      <c r="R25" s="44"/>
    </row>
    <row r="26" spans="1:18" s="4" customFormat="1" ht="15.75" customHeight="1" thickBot="1">
      <c r="A26" s="14"/>
      <c r="B26" s="109"/>
      <c r="C26" s="152"/>
      <c r="D26" s="107"/>
      <c r="E26" s="159"/>
      <c r="F26" s="532" t="s">
        <v>7</v>
      </c>
      <c r="G26" s="533"/>
      <c r="H26" s="530">
        <f>SUM(I18:I24)</f>
        <v>27000</v>
      </c>
      <c r="I26" s="531"/>
      <c r="J26" s="14"/>
      <c r="K26" s="15"/>
      <c r="L26" s="33"/>
      <c r="M26" s="508" t="s">
        <v>7</v>
      </c>
      <c r="N26" s="509"/>
      <c r="O26" s="510">
        <f>SUM(P18:P24)</f>
        <v>152804.88</v>
      </c>
      <c r="P26" s="511"/>
      <c r="Q26" s="14"/>
      <c r="R26" s="31"/>
    </row>
    <row r="27" spans="1:18" ht="17" hidden="1" thickBot="1">
      <c r="A27" s="14"/>
      <c r="B27" s="109">
        <f>'Description Sheet'!B26</f>
        <v>3</v>
      </c>
      <c r="C27" s="113" t="str">
        <f>'Description Sheet'!C26</f>
        <v>Heating and Cooling Systems</v>
      </c>
      <c r="D27" s="107"/>
      <c r="E27" s="110"/>
      <c r="F27" s="110"/>
      <c r="G27" s="110"/>
      <c r="H27" s="110"/>
      <c r="I27" s="151"/>
      <c r="J27" s="32"/>
      <c r="K27" s="40"/>
      <c r="L27" s="33"/>
      <c r="M27" s="24"/>
      <c r="N27" s="25"/>
      <c r="O27" s="25"/>
      <c r="P27" s="63"/>
      <c r="Q27" s="14"/>
      <c r="R27" s="44"/>
    </row>
    <row r="28" spans="1:18" hidden="1">
      <c r="A28" s="14"/>
      <c r="B28" s="109">
        <f>'Description Sheet'!B27</f>
        <v>3.1</v>
      </c>
      <c r="C28" s="152" t="str">
        <f>'Description Sheet'!C27</f>
        <v>Ventilation Shafts (Maintenance &amp; Upgrade Savings)</v>
      </c>
      <c r="D28" s="107"/>
      <c r="E28" s="153" t="str">
        <f>IF('Maintenance Schedule'!H33="x","x","")</f>
        <v/>
      </c>
      <c r="F28" s="153" t="str">
        <f>IF(E28="x","No","")</f>
        <v/>
      </c>
      <c r="G28" s="154">
        <f>IF(E28="x",1,0)</f>
        <v>0</v>
      </c>
      <c r="H28" s="155">
        <f t="shared" ref="H28:H32" si="10">IF(E28="x",P28,0)</f>
        <v>0</v>
      </c>
      <c r="I28" s="156">
        <f>IF(E28="x",G28*H28,0)</f>
        <v>0</v>
      </c>
      <c r="J28" s="14"/>
      <c r="K28" s="15"/>
      <c r="L28" s="32"/>
      <c r="M28" s="70" t="str">
        <f>'Description Sheet'!K27</f>
        <v>No</v>
      </c>
      <c r="N28" s="67">
        <f>'Description Sheet'!L27</f>
        <v>0</v>
      </c>
      <c r="O28" s="68">
        <f>'Year (2021-2022)'!O28*(('Description Sheet'!M4)+1)</f>
        <v>6353.64</v>
      </c>
      <c r="P28" s="68">
        <f>N28*O28</f>
        <v>0</v>
      </c>
      <c r="Q28" s="14"/>
      <c r="R28" s="44"/>
    </row>
    <row r="29" spans="1:18" hidden="1">
      <c r="A29" s="14"/>
      <c r="B29" s="109">
        <f>'Description Sheet'!B28</f>
        <v>3.2</v>
      </c>
      <c r="C29" s="152" t="str">
        <f>'Description Sheet'!C28</f>
        <v>Air Conditioning Units (Maintenance &amp; Upgrade Savings)</v>
      </c>
      <c r="D29" s="107"/>
      <c r="E29" s="153" t="str">
        <f>IF('Maintenance Schedule'!H34="x","x","")</f>
        <v/>
      </c>
      <c r="F29" s="153" t="str">
        <f>IF(E29="x","No","")</f>
        <v/>
      </c>
      <c r="G29" s="154">
        <f>IF(E29="x",1,0)</f>
        <v>0</v>
      </c>
      <c r="H29" s="155">
        <f t="shared" si="10"/>
        <v>0</v>
      </c>
      <c r="I29" s="156">
        <f>IF(E29="x",G29*H29,0)</f>
        <v>0</v>
      </c>
      <c r="J29" s="14"/>
      <c r="K29" s="15"/>
      <c r="L29" s="32"/>
      <c r="M29" s="70" t="str">
        <f>'Description Sheet'!K28</f>
        <v>No</v>
      </c>
      <c r="N29" s="67">
        <f>'Description Sheet'!L28</f>
        <v>0</v>
      </c>
      <c r="O29" s="73">
        <f>'Year (2021-2022)'!O29*(('Description Sheet'!M4)+1)</f>
        <v>12707.28</v>
      </c>
      <c r="P29" s="68">
        <f>N29*O29</f>
        <v>0</v>
      </c>
      <c r="Q29" s="14"/>
      <c r="R29" s="44"/>
    </row>
    <row r="30" spans="1:18" hidden="1">
      <c r="A30" s="14"/>
      <c r="B30" s="109">
        <f>'Description Sheet'!B29</f>
        <v>3.3</v>
      </c>
      <c r="C30" s="152" t="str">
        <f>'Description Sheet'!C29</f>
        <v>Solar Panels (Maintenance &amp; Upgrade Savings)</v>
      </c>
      <c r="D30" s="107"/>
      <c r="E30" s="153" t="str">
        <f>IF('Maintenance Schedule'!H35="x","x","")</f>
        <v/>
      </c>
      <c r="F30" s="153" t="str">
        <f t="shared" ref="F30:F32" si="11">IF(E30="x","No","")</f>
        <v/>
      </c>
      <c r="G30" s="154">
        <f t="shared" ref="G30:G32" si="12">IF(E30="x",1,0)</f>
        <v>0</v>
      </c>
      <c r="H30" s="155">
        <f t="shared" si="10"/>
        <v>0</v>
      </c>
      <c r="I30" s="156">
        <f t="shared" ref="I30:I32" si="13">IF(E30="x",G30*H30,0)</f>
        <v>0</v>
      </c>
      <c r="J30" s="14"/>
      <c r="K30" s="15"/>
      <c r="L30" s="32"/>
      <c r="M30" s="70" t="str">
        <f>'Description Sheet'!K29</f>
        <v>No</v>
      </c>
      <c r="N30" s="67">
        <f>'Description Sheet'!L29</f>
        <v>0</v>
      </c>
      <c r="O30" s="73">
        <f>'Year (2021-2022)'!O30*(('Description Sheet'!M4)+1)</f>
        <v>7020.0000000000009</v>
      </c>
      <c r="P30" s="68">
        <f t="shared" ref="P30:P32" si="14">N30*O30</f>
        <v>0</v>
      </c>
      <c r="Q30" s="14"/>
      <c r="R30" s="44"/>
    </row>
    <row r="31" spans="1:18" hidden="1">
      <c r="A31" s="14"/>
      <c r="B31" s="109">
        <f>'Description Sheet'!B30</f>
        <v>3.4</v>
      </c>
      <c r="C31" s="152" t="str">
        <f>'Description Sheet'!C30</f>
        <v>blank</v>
      </c>
      <c r="D31" s="107"/>
      <c r="E31" s="153" t="str">
        <f>IF('Maintenance Schedule'!H36="x","x","")</f>
        <v/>
      </c>
      <c r="F31" s="153" t="str">
        <f t="shared" si="11"/>
        <v/>
      </c>
      <c r="G31" s="154">
        <f t="shared" si="12"/>
        <v>0</v>
      </c>
      <c r="H31" s="155">
        <f t="shared" si="10"/>
        <v>0</v>
      </c>
      <c r="I31" s="156">
        <f t="shared" si="13"/>
        <v>0</v>
      </c>
      <c r="J31" s="14"/>
      <c r="K31" s="15"/>
      <c r="L31" s="32"/>
      <c r="M31" s="70" t="str">
        <f>'Description Sheet'!K30</f>
        <v>No</v>
      </c>
      <c r="N31" s="67">
        <f>'Description Sheet'!L30</f>
        <v>0</v>
      </c>
      <c r="O31" s="73">
        <f>'Year (2021-2022)'!O31*(('Description Sheet'!M4)+1)</f>
        <v>0</v>
      </c>
      <c r="P31" s="68">
        <f t="shared" si="14"/>
        <v>0</v>
      </c>
      <c r="Q31" s="14"/>
      <c r="R31" s="44"/>
    </row>
    <row r="32" spans="1:18" hidden="1">
      <c r="A32" s="14"/>
      <c r="B32" s="109">
        <f>'Description Sheet'!B31</f>
        <v>3.5</v>
      </c>
      <c r="C32" s="152" t="str">
        <f>'Description Sheet'!C31</f>
        <v>blank</v>
      </c>
      <c r="D32" s="107"/>
      <c r="E32" s="153" t="str">
        <f>IF('Maintenance Schedule'!H37="x","x","")</f>
        <v/>
      </c>
      <c r="F32" s="153" t="str">
        <f t="shared" si="11"/>
        <v/>
      </c>
      <c r="G32" s="154">
        <f t="shared" si="12"/>
        <v>0</v>
      </c>
      <c r="H32" s="155">
        <f t="shared" si="10"/>
        <v>0</v>
      </c>
      <c r="I32" s="156">
        <f t="shared" si="13"/>
        <v>0</v>
      </c>
      <c r="J32" s="14"/>
      <c r="K32" s="15"/>
      <c r="L32" s="32"/>
      <c r="M32" s="70" t="str">
        <f>'Description Sheet'!K31</f>
        <v>No</v>
      </c>
      <c r="N32" s="67">
        <f>'Description Sheet'!L31</f>
        <v>0</v>
      </c>
      <c r="O32" s="73">
        <f>'Year (2021-2022)'!O32*(('Description Sheet'!M4)+1)</f>
        <v>0</v>
      </c>
      <c r="P32" s="68">
        <f t="shared" si="14"/>
        <v>0</v>
      </c>
      <c r="Q32" s="14"/>
      <c r="R32" s="44"/>
    </row>
    <row r="33" spans="1:18" ht="17" hidden="1" thickBot="1">
      <c r="A33" s="14"/>
      <c r="B33" s="109"/>
      <c r="C33" s="152"/>
      <c r="D33" s="107"/>
      <c r="E33" s="162"/>
      <c r="F33" s="154"/>
      <c r="G33" s="154"/>
      <c r="H33" s="155"/>
      <c r="I33" s="155"/>
      <c r="J33" s="14"/>
      <c r="K33" s="15"/>
      <c r="L33" s="32"/>
      <c r="M33" s="67"/>
      <c r="N33" s="67"/>
      <c r="O33" s="73"/>
      <c r="P33" s="68"/>
      <c r="Q33" s="14"/>
      <c r="R33" s="44"/>
    </row>
    <row r="34" spans="1:18" s="4" customFormat="1" ht="15.75" hidden="1" customHeight="1" thickBot="1">
      <c r="A34" s="14"/>
      <c r="B34" s="109"/>
      <c r="C34" s="152"/>
      <c r="D34" s="107"/>
      <c r="E34" s="159"/>
      <c r="F34" s="528" t="s">
        <v>7</v>
      </c>
      <c r="G34" s="529"/>
      <c r="H34" s="530">
        <f>SUM(I28:I32)</f>
        <v>0</v>
      </c>
      <c r="I34" s="531"/>
      <c r="J34" s="14"/>
      <c r="K34" s="15"/>
      <c r="L34" s="33"/>
      <c r="M34" s="508" t="s">
        <v>7</v>
      </c>
      <c r="N34" s="509"/>
      <c r="O34" s="510">
        <f>SUM(P28:P33)</f>
        <v>0</v>
      </c>
      <c r="P34" s="511"/>
      <c r="Q34" s="14"/>
      <c r="R34" s="31"/>
    </row>
    <row r="35" spans="1:18" ht="17" hidden="1" thickBot="1">
      <c r="A35" s="14"/>
      <c r="B35" s="109">
        <f>'Description Sheet'!B34</f>
        <v>4</v>
      </c>
      <c r="C35" s="113" t="str">
        <f>'Description Sheet'!C34</f>
        <v>Lifts</v>
      </c>
      <c r="D35" s="107"/>
      <c r="E35" s="110"/>
      <c r="F35" s="110"/>
      <c r="G35" s="110"/>
      <c r="H35" s="110"/>
      <c r="I35" s="151"/>
      <c r="J35" s="32"/>
      <c r="K35" s="40"/>
      <c r="L35" s="33"/>
      <c r="M35" s="24"/>
      <c r="N35" s="25"/>
      <c r="O35" s="25"/>
      <c r="P35" s="63"/>
      <c r="Q35" s="14"/>
      <c r="R35" s="44"/>
    </row>
    <row r="36" spans="1:18" hidden="1">
      <c r="A36" s="14"/>
      <c r="B36" s="109">
        <f>'Description Sheet'!B35</f>
        <v>4.0999999999999996</v>
      </c>
      <c r="C36" s="152" t="str">
        <f>'Description Sheet'!C35</f>
        <v>Lift Upgrade Savings</v>
      </c>
      <c r="D36" s="107"/>
      <c r="E36" s="153" t="str">
        <f>IF('Maintenance Schedule'!H44="x","x","")</f>
        <v/>
      </c>
      <c r="F36" s="153" t="str">
        <f>IF(E36="x","No","")</f>
        <v/>
      </c>
      <c r="G36" s="154">
        <f>IF(E36="x",1,0)</f>
        <v>0</v>
      </c>
      <c r="H36" s="155">
        <f t="shared" ref="H36:H39" si="15">IF(E36="x",P36,0)</f>
        <v>0</v>
      </c>
      <c r="I36" s="156">
        <f>IF(E36="x",G36*H36,0)</f>
        <v>0</v>
      </c>
      <c r="J36" s="14"/>
      <c r="K36" s="15"/>
      <c r="L36" s="32"/>
      <c r="M36" s="70" t="str">
        <f>'Description Sheet'!K35</f>
        <v>No</v>
      </c>
      <c r="N36" s="67">
        <f>'Description Sheet'!L35</f>
        <v>1</v>
      </c>
      <c r="O36" s="73">
        <f>'Year (2021-2022)'!O36*(('Description Sheet'!M4)+1)</f>
        <v>95306.760000000009</v>
      </c>
      <c r="P36" s="68">
        <f>N36*O36</f>
        <v>95306.760000000009</v>
      </c>
      <c r="Q36" s="14"/>
      <c r="R36" s="44"/>
    </row>
    <row r="37" spans="1:18" hidden="1">
      <c r="A37" s="14"/>
      <c r="B37" s="109">
        <f>'Description Sheet'!B36</f>
        <v>4.2</v>
      </c>
      <c r="C37" s="152" t="str">
        <f>'Description Sheet'!C36</f>
        <v>Lift Replacement (Only in 12-15 years)</v>
      </c>
      <c r="D37" s="107"/>
      <c r="E37" s="153" t="str">
        <f>IF('Maintenance Schedule'!H45="x","x","")</f>
        <v/>
      </c>
      <c r="F37" s="153" t="str">
        <f t="shared" ref="F37:F39" si="16">IF(E37="x","No","")</f>
        <v/>
      </c>
      <c r="G37" s="154">
        <f t="shared" ref="G37:G39" si="17">IF(E37="x",1,0)</f>
        <v>0</v>
      </c>
      <c r="H37" s="155">
        <f t="shared" si="15"/>
        <v>0</v>
      </c>
      <c r="I37" s="156">
        <f t="shared" ref="I37:I39" si="18">IF(E37="x",G37*H37,0)</f>
        <v>0</v>
      </c>
      <c r="J37" s="14"/>
      <c r="K37" s="15"/>
      <c r="L37" s="32"/>
      <c r="M37" s="70" t="str">
        <f>'Description Sheet'!K36</f>
        <v>No</v>
      </c>
      <c r="N37" s="67">
        <f>'Description Sheet'!L36</f>
        <v>0</v>
      </c>
      <c r="O37" s="73">
        <f>'Year (2021-2022)'!O37*(('Description Sheet'!M4)+1)</f>
        <v>882707.76</v>
      </c>
      <c r="P37" s="68">
        <f t="shared" ref="P37:P39" si="19">N37*O37</f>
        <v>0</v>
      </c>
      <c r="Q37" s="14"/>
      <c r="R37" s="44"/>
    </row>
    <row r="38" spans="1:18" hidden="1">
      <c r="A38" s="14"/>
      <c r="B38" s="109">
        <f>'Description Sheet'!B37</f>
        <v>4.3</v>
      </c>
      <c r="C38" s="152" t="str">
        <f>'Description Sheet'!C37</f>
        <v>blank</v>
      </c>
      <c r="D38" s="107"/>
      <c r="E38" s="153" t="str">
        <f>IF('Maintenance Schedule'!H46="x","x","")</f>
        <v/>
      </c>
      <c r="F38" s="153" t="str">
        <f t="shared" si="16"/>
        <v/>
      </c>
      <c r="G38" s="154">
        <f t="shared" si="17"/>
        <v>0</v>
      </c>
      <c r="H38" s="155">
        <f t="shared" si="15"/>
        <v>0</v>
      </c>
      <c r="I38" s="156">
        <f t="shared" si="18"/>
        <v>0</v>
      </c>
      <c r="J38" s="14"/>
      <c r="K38" s="15"/>
      <c r="L38" s="32"/>
      <c r="M38" s="70" t="str">
        <f>'Description Sheet'!K37</f>
        <v>No</v>
      </c>
      <c r="N38" s="67">
        <f>'Description Sheet'!L37</f>
        <v>0</v>
      </c>
      <c r="O38" s="73">
        <f>'Year (2021-2022)'!O38*(('Description Sheet'!M4)+1)</f>
        <v>0</v>
      </c>
      <c r="P38" s="68">
        <f t="shared" si="19"/>
        <v>0</v>
      </c>
      <c r="Q38" s="14"/>
      <c r="R38" s="44"/>
    </row>
    <row r="39" spans="1:18" hidden="1">
      <c r="A39" s="14"/>
      <c r="B39" s="109">
        <f>'Description Sheet'!B38</f>
        <v>4.4000000000000004</v>
      </c>
      <c r="C39" s="152" t="str">
        <f>'Description Sheet'!C38</f>
        <v>blank</v>
      </c>
      <c r="D39" s="107"/>
      <c r="E39" s="153" t="str">
        <f>IF('Maintenance Schedule'!H47="x","x","")</f>
        <v/>
      </c>
      <c r="F39" s="153" t="str">
        <f t="shared" si="16"/>
        <v/>
      </c>
      <c r="G39" s="154">
        <f t="shared" si="17"/>
        <v>0</v>
      </c>
      <c r="H39" s="155">
        <f t="shared" si="15"/>
        <v>0</v>
      </c>
      <c r="I39" s="156">
        <f t="shared" si="18"/>
        <v>0</v>
      </c>
      <c r="J39" s="14"/>
      <c r="K39" s="15"/>
      <c r="L39" s="32"/>
      <c r="M39" s="70" t="str">
        <f>'Description Sheet'!K38</f>
        <v>No</v>
      </c>
      <c r="N39" s="67">
        <f>'Description Sheet'!L38</f>
        <v>0</v>
      </c>
      <c r="O39" s="73">
        <f>'Year (2021-2022)'!O39*(('Description Sheet'!M4)+1)</f>
        <v>0</v>
      </c>
      <c r="P39" s="68">
        <f t="shared" si="19"/>
        <v>0</v>
      </c>
      <c r="Q39" s="14"/>
      <c r="R39" s="44"/>
    </row>
    <row r="40" spans="1:18" ht="17" hidden="1" thickBot="1">
      <c r="A40" s="14"/>
      <c r="B40" s="109"/>
      <c r="C40" s="152"/>
      <c r="D40" s="107"/>
      <c r="E40" s="162"/>
      <c r="F40" s="154"/>
      <c r="G40" s="154"/>
      <c r="H40" s="155"/>
      <c r="I40" s="155"/>
      <c r="J40" s="14"/>
      <c r="K40" s="15"/>
      <c r="L40" s="32"/>
      <c r="M40" s="67"/>
      <c r="N40" s="67"/>
      <c r="O40" s="73"/>
      <c r="P40" s="68"/>
      <c r="Q40" s="14"/>
      <c r="R40" s="44"/>
    </row>
    <row r="41" spans="1:18" s="4" customFormat="1" ht="15.75" hidden="1" customHeight="1" thickBot="1">
      <c r="A41" s="14"/>
      <c r="B41" s="109"/>
      <c r="C41" s="152"/>
      <c r="D41" s="107"/>
      <c r="E41" s="159"/>
      <c r="F41" s="528" t="s">
        <v>7</v>
      </c>
      <c r="G41" s="529"/>
      <c r="H41" s="530">
        <f>SUM(I36:I40)</f>
        <v>0</v>
      </c>
      <c r="I41" s="531"/>
      <c r="J41" s="14"/>
      <c r="K41" s="15"/>
      <c r="L41" s="33"/>
      <c r="M41" s="508" t="s">
        <v>7</v>
      </c>
      <c r="N41" s="509"/>
      <c r="O41" s="510">
        <f>SUM(P36:P40)</f>
        <v>95306.760000000009</v>
      </c>
      <c r="P41" s="511"/>
      <c r="Q41" s="14"/>
      <c r="R41" s="31"/>
    </row>
    <row r="42" spans="1:18" ht="17" thickBot="1">
      <c r="A42" s="14"/>
      <c r="B42" s="109">
        <f>'Description Sheet'!B41</f>
        <v>5</v>
      </c>
      <c r="C42" s="150" t="str">
        <f>'Description Sheet'!C41</f>
        <v>Carpeting and Furnishing</v>
      </c>
      <c r="D42" s="107"/>
      <c r="E42" s="110"/>
      <c r="F42" s="110"/>
      <c r="G42" s="110"/>
      <c r="H42" s="110"/>
      <c r="I42" s="151"/>
      <c r="J42" s="32"/>
      <c r="K42" s="40"/>
      <c r="L42" s="33"/>
      <c r="M42" s="24"/>
      <c r="N42" s="25"/>
      <c r="O42" s="25"/>
      <c r="P42" s="63"/>
      <c r="Q42" s="14"/>
      <c r="R42" s="44"/>
    </row>
    <row r="43" spans="1:18">
      <c r="A43" s="14"/>
      <c r="B43" s="109">
        <f>'Description Sheet'!B42</f>
        <v>5.0999999999999996</v>
      </c>
      <c r="C43" s="152" t="str">
        <f>'Description Sheet'!C42</f>
        <v>Common Area Equipment/Furnishings (Replacement/Maintenance)</v>
      </c>
      <c r="D43" s="107"/>
      <c r="E43" s="153" t="str">
        <f>IF('Maintenance Schedule'!H54="x","x","")</f>
        <v>x</v>
      </c>
      <c r="F43" s="153" t="str">
        <f>IF(E43="x","No","")</f>
        <v>No</v>
      </c>
      <c r="G43" s="154">
        <f>IF(E43="x",1,0)</f>
        <v>1</v>
      </c>
      <c r="H43" s="155">
        <f t="shared" ref="H43:H46" si="20">IF(E43="x",P43,0)</f>
        <v>3780.0000000000005</v>
      </c>
      <c r="I43" s="156">
        <f>IF(E43="x",G43*H43,0)</f>
        <v>3780.0000000000005</v>
      </c>
      <c r="J43" s="14"/>
      <c r="K43" s="15"/>
      <c r="L43" s="32"/>
      <c r="M43" s="70" t="str">
        <f>'Description Sheet'!K42</f>
        <v>No</v>
      </c>
      <c r="N43" s="67">
        <f>'Description Sheet'!L42</f>
        <v>1</v>
      </c>
      <c r="O43" s="73">
        <f>'Year (2021-2022)'!O43*(('Description Sheet'!M4)+1)</f>
        <v>3780.0000000000005</v>
      </c>
      <c r="P43" s="68">
        <f>N43*O43</f>
        <v>3780.0000000000005</v>
      </c>
      <c r="Q43" s="14"/>
      <c r="R43" s="44"/>
    </row>
    <row r="44" spans="1:18" hidden="1">
      <c r="A44" s="14"/>
      <c r="B44" s="109">
        <f>'Description Sheet'!B43</f>
        <v>5.2</v>
      </c>
      <c r="C44" s="152" t="str">
        <f>'Description Sheet'!C43</f>
        <v>blank</v>
      </c>
      <c r="D44" s="107"/>
      <c r="E44" s="153" t="str">
        <f>IF('Maintenance Schedule'!H55="x","x","")</f>
        <v/>
      </c>
      <c r="F44" s="153" t="str">
        <f t="shared" ref="F44:F46" si="21">IF(E44="x","No","")</f>
        <v/>
      </c>
      <c r="G44" s="154">
        <f t="shared" ref="G44:G46" si="22">IF(E44="x",1,0)</f>
        <v>0</v>
      </c>
      <c r="H44" s="155">
        <f t="shared" si="20"/>
        <v>0</v>
      </c>
      <c r="I44" s="156">
        <f t="shared" ref="I44:I46" si="23">IF(E44="x",G44*H44,0)</f>
        <v>0</v>
      </c>
      <c r="J44" s="14"/>
      <c r="K44" s="15"/>
      <c r="L44" s="32"/>
      <c r="M44" s="70" t="str">
        <f>'Description Sheet'!K43</f>
        <v>No</v>
      </c>
      <c r="N44" s="67">
        <f>'Description Sheet'!L43</f>
        <v>0</v>
      </c>
      <c r="O44" s="73">
        <f>'Year (2021-2022)'!O44*(('Description Sheet'!M4)+1)</f>
        <v>0</v>
      </c>
      <c r="P44" s="68">
        <f t="shared" ref="P44:P46" si="24">N44*O44</f>
        <v>0</v>
      </c>
      <c r="Q44" s="14"/>
      <c r="R44" s="44"/>
    </row>
    <row r="45" spans="1:18" hidden="1">
      <c r="A45" s="14"/>
      <c r="B45" s="109">
        <f>'Description Sheet'!B44</f>
        <v>5.3</v>
      </c>
      <c r="C45" s="152" t="str">
        <f>'Description Sheet'!C44</f>
        <v>blank</v>
      </c>
      <c r="D45" s="107"/>
      <c r="E45" s="153" t="str">
        <f>IF('Maintenance Schedule'!H56="x","x","")</f>
        <v/>
      </c>
      <c r="F45" s="153" t="str">
        <f t="shared" si="21"/>
        <v/>
      </c>
      <c r="G45" s="154">
        <f t="shared" si="22"/>
        <v>0</v>
      </c>
      <c r="H45" s="155">
        <f t="shared" si="20"/>
        <v>0</v>
      </c>
      <c r="I45" s="156">
        <f t="shared" si="23"/>
        <v>0</v>
      </c>
      <c r="J45" s="14"/>
      <c r="K45" s="15"/>
      <c r="L45" s="32"/>
      <c r="M45" s="70" t="str">
        <f>'Description Sheet'!K44</f>
        <v>No</v>
      </c>
      <c r="N45" s="67">
        <f>'Description Sheet'!L44</f>
        <v>0</v>
      </c>
      <c r="O45" s="73">
        <f>'Year (2021-2022)'!O45*(('Description Sheet'!M4)+1)</f>
        <v>0</v>
      </c>
      <c r="P45" s="68">
        <f t="shared" si="24"/>
        <v>0</v>
      </c>
      <c r="Q45" s="14"/>
      <c r="R45" s="44"/>
    </row>
    <row r="46" spans="1:18" hidden="1">
      <c r="A46" s="14"/>
      <c r="B46" s="109">
        <f>'Description Sheet'!B45</f>
        <v>5.4</v>
      </c>
      <c r="C46" s="152" t="str">
        <f>'Description Sheet'!C45</f>
        <v>blank</v>
      </c>
      <c r="D46" s="107"/>
      <c r="E46" s="153" t="str">
        <f>IF('Maintenance Schedule'!H57="x","x","")</f>
        <v/>
      </c>
      <c r="F46" s="153" t="str">
        <f t="shared" si="21"/>
        <v/>
      </c>
      <c r="G46" s="154">
        <f t="shared" si="22"/>
        <v>0</v>
      </c>
      <c r="H46" s="155">
        <f t="shared" si="20"/>
        <v>0</v>
      </c>
      <c r="I46" s="156">
        <f t="shared" si="23"/>
        <v>0</v>
      </c>
      <c r="J46" s="14"/>
      <c r="K46" s="15"/>
      <c r="L46" s="32"/>
      <c r="M46" s="70" t="str">
        <f>'Description Sheet'!K45</f>
        <v>No</v>
      </c>
      <c r="N46" s="67">
        <f>'Description Sheet'!L45</f>
        <v>0</v>
      </c>
      <c r="O46" s="73">
        <f>'Year (2021-2022)'!O46*(('Description Sheet'!M4)+1)</f>
        <v>0</v>
      </c>
      <c r="P46" s="68">
        <f t="shared" si="24"/>
        <v>0</v>
      </c>
      <c r="Q46" s="14"/>
      <c r="R46" s="44"/>
    </row>
    <row r="47" spans="1:18" ht="17" thickBot="1">
      <c r="A47" s="14"/>
      <c r="B47" s="109"/>
      <c r="C47" s="152"/>
      <c r="D47" s="107"/>
      <c r="E47" s="162"/>
      <c r="F47" s="154"/>
      <c r="G47" s="154"/>
      <c r="H47" s="155"/>
      <c r="I47" s="155"/>
      <c r="J47" s="14"/>
      <c r="K47" s="15"/>
      <c r="L47" s="32"/>
      <c r="M47" s="67"/>
      <c r="N47" s="67"/>
      <c r="O47" s="73"/>
      <c r="P47" s="68"/>
      <c r="Q47" s="14"/>
      <c r="R47" s="44"/>
    </row>
    <row r="48" spans="1:18" s="4" customFormat="1" ht="15.75" customHeight="1" thickBot="1">
      <c r="A48" s="14"/>
      <c r="B48" s="109"/>
      <c r="C48" s="115"/>
      <c r="D48" s="107"/>
      <c r="E48" s="159"/>
      <c r="F48" s="528" t="s">
        <v>7</v>
      </c>
      <c r="G48" s="529"/>
      <c r="H48" s="530">
        <f>SUM(I43:I47)</f>
        <v>3780.0000000000005</v>
      </c>
      <c r="I48" s="531"/>
      <c r="J48" s="14"/>
      <c r="K48" s="15"/>
      <c r="L48" s="33"/>
      <c r="M48" s="508" t="s">
        <v>7</v>
      </c>
      <c r="N48" s="509"/>
      <c r="O48" s="510">
        <f>SUM(P43:P47)</f>
        <v>3780.0000000000005</v>
      </c>
      <c r="P48" s="511"/>
      <c r="Q48" s="14"/>
      <c r="R48" s="31"/>
    </row>
    <row r="49" spans="1:18" ht="17" thickBot="1">
      <c r="A49" s="14"/>
      <c r="B49" s="109">
        <f>'Description Sheet'!B48</f>
        <v>6</v>
      </c>
      <c r="C49" s="113" t="str">
        <f>'Description Sheet'!C48</f>
        <v>Roof  Areas</v>
      </c>
      <c r="D49" s="107"/>
      <c r="E49" s="110"/>
      <c r="F49" s="110"/>
      <c r="G49" s="110"/>
      <c r="H49" s="110"/>
      <c r="I49" s="151"/>
      <c r="J49" s="32"/>
      <c r="K49" s="40"/>
      <c r="L49" s="33"/>
      <c r="M49" s="24"/>
      <c r="N49" s="25"/>
      <c r="O49" s="25"/>
      <c r="P49" s="63"/>
      <c r="Q49" s="14"/>
      <c r="R49" s="44"/>
    </row>
    <row r="50" spans="1:18" hidden="1">
      <c r="A50" s="14"/>
      <c r="B50" s="109">
        <f>'Description Sheet'!B49</f>
        <v>6.1</v>
      </c>
      <c r="C50" s="152" t="str">
        <f>'Description Sheet'!C49</f>
        <v xml:space="preserve">Flashings/Counter Flashings </v>
      </c>
      <c r="D50" s="107"/>
      <c r="E50" s="153" t="str">
        <f>IF('Maintenance Schedule'!H64="x","x","")</f>
        <v/>
      </c>
      <c r="F50" s="153" t="str">
        <f>IF(E50="x","No","")</f>
        <v/>
      </c>
      <c r="G50" s="154">
        <f>IF(E50="x",1,0)</f>
        <v>0</v>
      </c>
      <c r="H50" s="155">
        <f t="shared" ref="H50:H66" si="25">IF(E50="x",P50,0)</f>
        <v>0</v>
      </c>
      <c r="I50" s="156">
        <f t="shared" ref="I50:I66" si="26">IF(E50="x",G50*H50,0)</f>
        <v>0</v>
      </c>
      <c r="J50" s="14"/>
      <c r="K50" s="15"/>
      <c r="L50" s="32"/>
      <c r="M50" s="67" t="str">
        <f>'Description Sheet'!K49</f>
        <v>No</v>
      </c>
      <c r="N50" s="67">
        <f>'Description Sheet'!L49</f>
        <v>0</v>
      </c>
      <c r="O50" s="73">
        <f>'Year (2021-2022)'!O50*(('Description Sheet'!M4)+1)</f>
        <v>10497.6</v>
      </c>
      <c r="P50" s="69">
        <f t="shared" ref="P50:P66" si="27">N50*O50</f>
        <v>0</v>
      </c>
      <c r="Q50" s="14"/>
      <c r="R50" s="44"/>
    </row>
    <row r="51" spans="1:18" hidden="1">
      <c r="A51" s="14"/>
      <c r="B51" s="109">
        <f>'Description Sheet'!B50</f>
        <v>6.2</v>
      </c>
      <c r="C51" s="152" t="str">
        <f>'Description Sheet'!C50</f>
        <v>General Roof Repairs</v>
      </c>
      <c r="D51" s="107"/>
      <c r="E51" s="153" t="str">
        <f>IF('Maintenance Schedule'!H65="x","x","")</f>
        <v/>
      </c>
      <c r="F51" s="153" t="str">
        <f t="shared" ref="F51:F62" si="28">IF(E51="x","No","")</f>
        <v/>
      </c>
      <c r="G51" s="154">
        <f t="shared" ref="G51:G66" si="29">IF(E51="x",1,0)</f>
        <v>0</v>
      </c>
      <c r="H51" s="155">
        <f t="shared" si="25"/>
        <v>0</v>
      </c>
      <c r="I51" s="156">
        <f t="shared" si="26"/>
        <v>0</v>
      </c>
      <c r="J51" s="14"/>
      <c r="K51" s="15"/>
      <c r="L51" s="32"/>
      <c r="M51" s="67" t="str">
        <f>'Description Sheet'!K50</f>
        <v>No</v>
      </c>
      <c r="N51" s="67">
        <f>'Description Sheet'!L50</f>
        <v>0</v>
      </c>
      <c r="O51" s="73">
        <f>'Year (2021-2022)'!O51*(('Description Sheet'!M4)+1)</f>
        <v>11.664000000000001</v>
      </c>
      <c r="P51" s="69">
        <f t="shared" si="27"/>
        <v>0</v>
      </c>
      <c r="Q51" s="14"/>
      <c r="R51" s="44"/>
    </row>
    <row r="52" spans="1:18">
      <c r="A52" s="14"/>
      <c r="B52" s="109">
        <f>'Description Sheet'!B51</f>
        <v>6.3</v>
      </c>
      <c r="C52" s="152" t="str">
        <f>'Description Sheet'!C51</f>
        <v>Cleaning &amp; Maintenance &amp; Repairs of Gutters and Downpipes</v>
      </c>
      <c r="D52" s="107"/>
      <c r="E52" s="153" t="str">
        <f>IF('Maintenance Schedule'!H66="x","x","")</f>
        <v>x</v>
      </c>
      <c r="F52" s="153" t="str">
        <f t="shared" si="28"/>
        <v>No</v>
      </c>
      <c r="G52" s="154">
        <f t="shared" si="29"/>
        <v>1</v>
      </c>
      <c r="H52" s="155">
        <f t="shared" si="25"/>
        <v>3445.2</v>
      </c>
      <c r="I52" s="156">
        <f t="shared" si="26"/>
        <v>3445.2</v>
      </c>
      <c r="J52" s="14"/>
      <c r="K52" s="15"/>
      <c r="L52" s="32"/>
      <c r="M52" s="67" t="str">
        <f>'Description Sheet'!K51</f>
        <v>lm</v>
      </c>
      <c r="N52" s="67">
        <f>'Description Sheet'!L51</f>
        <v>110</v>
      </c>
      <c r="O52" s="73">
        <f>'Year (2021-2022)'!O52*(('Description Sheet'!M4)+1)</f>
        <v>31.32</v>
      </c>
      <c r="P52" s="69">
        <f t="shared" si="27"/>
        <v>3445.2</v>
      </c>
      <c r="Q52" s="14"/>
      <c r="R52" s="44"/>
    </row>
    <row r="53" spans="1:18" hidden="1">
      <c r="A53" s="14"/>
      <c r="B53" s="109">
        <f>'Description Sheet'!B52</f>
        <v>6.4</v>
      </c>
      <c r="C53" s="152" t="str">
        <f>'Description Sheet'!C52</f>
        <v xml:space="preserve">Painting &amp; Repair of Metal Roof Areas </v>
      </c>
      <c r="D53" s="107"/>
      <c r="E53" s="153" t="str">
        <f>IF('Maintenance Schedule'!H67="x","x","")</f>
        <v/>
      </c>
      <c r="F53" s="153" t="str">
        <f>IF(E53="x","item","")</f>
        <v/>
      </c>
      <c r="G53" s="154">
        <f t="shared" si="29"/>
        <v>0</v>
      </c>
      <c r="H53" s="155">
        <f t="shared" si="25"/>
        <v>0</v>
      </c>
      <c r="I53" s="156">
        <f t="shared" si="26"/>
        <v>0</v>
      </c>
      <c r="J53" s="14"/>
      <c r="K53" s="15"/>
      <c r="L53" s="32"/>
      <c r="M53" s="67" t="str">
        <f>'Description Sheet'!K52</f>
        <v>m2</v>
      </c>
      <c r="N53" s="67">
        <f>'Description Sheet'!L52</f>
        <v>0</v>
      </c>
      <c r="O53" s="73">
        <f>'Year (2021-2022)'!O53*(('Description Sheet'!M4)+1)</f>
        <v>180.36</v>
      </c>
      <c r="P53" s="69">
        <f t="shared" si="27"/>
        <v>0</v>
      </c>
      <c r="Q53" s="14"/>
      <c r="R53" s="44"/>
    </row>
    <row r="54" spans="1:18" hidden="1">
      <c r="A54" s="14"/>
      <c r="B54" s="109">
        <f>'Description Sheet'!B53</f>
        <v>6.5</v>
      </c>
      <c r="C54" s="152" t="str">
        <f>'Description Sheet'!C53</f>
        <v xml:space="preserve">Painting &amp; Repair of Tile Roof Areas </v>
      </c>
      <c r="D54" s="107"/>
      <c r="E54" s="153" t="str">
        <f>IF('Maintenance Schedule'!H68="x","x","")</f>
        <v/>
      </c>
      <c r="F54" s="153" t="str">
        <f>IF(E54="x","item","")</f>
        <v/>
      </c>
      <c r="G54" s="154">
        <f t="shared" si="29"/>
        <v>0</v>
      </c>
      <c r="H54" s="155">
        <f t="shared" si="25"/>
        <v>0</v>
      </c>
      <c r="I54" s="156">
        <f t="shared" si="26"/>
        <v>0</v>
      </c>
      <c r="J54" s="14"/>
      <c r="K54" s="15"/>
      <c r="L54" s="32"/>
      <c r="M54" s="67" t="str">
        <f>'Description Sheet'!K53</f>
        <v>m2</v>
      </c>
      <c r="N54" s="67">
        <f>'Description Sheet'!L53</f>
        <v>0</v>
      </c>
      <c r="O54" s="73">
        <f>'Year (2021-2022)'!O54*(('Description Sheet'!M4)+1)</f>
        <v>98.28</v>
      </c>
      <c r="P54" s="69">
        <f t="shared" si="27"/>
        <v>0</v>
      </c>
      <c r="Q54" s="14"/>
      <c r="R54" s="44"/>
    </row>
    <row r="55" spans="1:18" hidden="1">
      <c r="A55" s="14"/>
      <c r="B55" s="109">
        <f>'Description Sheet'!B54</f>
        <v>6.6</v>
      </c>
      <c r="C55" s="152" t="str">
        <f>'Description Sheet'!C54</f>
        <v xml:space="preserve">Painting &amp; Repairs of Asbestos Roof Areas </v>
      </c>
      <c r="D55" s="107"/>
      <c r="E55" s="153" t="str">
        <f>IF('Maintenance Schedule'!H69="x","x","")</f>
        <v/>
      </c>
      <c r="F55" s="153" t="str">
        <f t="shared" si="28"/>
        <v/>
      </c>
      <c r="G55" s="154">
        <f t="shared" si="29"/>
        <v>0</v>
      </c>
      <c r="H55" s="155">
        <f t="shared" si="25"/>
        <v>0</v>
      </c>
      <c r="I55" s="156">
        <f t="shared" si="26"/>
        <v>0</v>
      </c>
      <c r="J55" s="14"/>
      <c r="K55" s="15"/>
      <c r="L55" s="32"/>
      <c r="M55" s="67" t="str">
        <f>'Description Sheet'!K54</f>
        <v>m2</v>
      </c>
      <c r="N55" s="67">
        <f>'Description Sheet'!L54</f>
        <v>0</v>
      </c>
      <c r="O55" s="73">
        <f>'Year (2021-2022)'!O55*(('Description Sheet'!M4)+1)</f>
        <v>204.12</v>
      </c>
      <c r="P55" s="69">
        <f t="shared" si="27"/>
        <v>0</v>
      </c>
      <c r="Q55" s="14"/>
      <c r="R55" s="44"/>
    </row>
    <row r="56" spans="1:18" hidden="1">
      <c r="A56" s="14"/>
      <c r="B56" s="109">
        <f>'Description Sheet'!B55</f>
        <v>6.7</v>
      </c>
      <c r="C56" s="152" t="str">
        <f>'Description Sheet'!C55</f>
        <v xml:space="preserve">Painting &amp; Repairs of Fibre Cement Roof Areas </v>
      </c>
      <c r="D56" s="107"/>
      <c r="E56" s="153" t="str">
        <f>IF('Maintenance Schedule'!H70="x","x","")</f>
        <v/>
      </c>
      <c r="F56" s="153" t="str">
        <f>IF(E56="x","item","")</f>
        <v/>
      </c>
      <c r="G56" s="154">
        <f t="shared" si="29"/>
        <v>0</v>
      </c>
      <c r="H56" s="155">
        <f t="shared" si="25"/>
        <v>0</v>
      </c>
      <c r="I56" s="156">
        <f t="shared" si="26"/>
        <v>0</v>
      </c>
      <c r="J56" s="14"/>
      <c r="K56" s="15"/>
      <c r="L56" s="32"/>
      <c r="M56" s="67" t="str">
        <f>'Description Sheet'!K55</f>
        <v>m2</v>
      </c>
      <c r="N56" s="67">
        <f>'Description Sheet'!L55</f>
        <v>0</v>
      </c>
      <c r="O56" s="73">
        <f>'Year (2021-2022)'!O56*(('Description Sheet'!M4)+1)</f>
        <v>192.24</v>
      </c>
      <c r="P56" s="69">
        <f t="shared" si="27"/>
        <v>0</v>
      </c>
      <c r="Q56" s="14"/>
      <c r="R56" s="44"/>
    </row>
    <row r="57" spans="1:18" hidden="1">
      <c r="A57" s="14"/>
      <c r="B57" s="109">
        <f>'Description Sheet'!B56</f>
        <v>6.8</v>
      </c>
      <c r="C57" s="152" t="str">
        <f>'Description Sheet'!C56</f>
        <v>Servicing of Roof Screws</v>
      </c>
      <c r="D57" s="107"/>
      <c r="E57" s="153" t="str">
        <f>IF('Maintenance Schedule'!H71="x","x","")</f>
        <v/>
      </c>
      <c r="F57" s="153" t="str">
        <f t="shared" ref="F57:F59" si="30">IF(E57="x","item","")</f>
        <v/>
      </c>
      <c r="G57" s="154">
        <f t="shared" si="29"/>
        <v>0</v>
      </c>
      <c r="H57" s="155">
        <f t="shared" si="25"/>
        <v>0</v>
      </c>
      <c r="I57" s="156">
        <f t="shared" si="26"/>
        <v>0</v>
      </c>
      <c r="J57" s="14"/>
      <c r="K57" s="15"/>
      <c r="L57" s="32"/>
      <c r="M57" s="67" t="str">
        <f>'Description Sheet'!K56</f>
        <v>No</v>
      </c>
      <c r="N57" s="67">
        <f>'Description Sheet'!L56</f>
        <v>0</v>
      </c>
      <c r="O57" s="73">
        <f>'Year (2021-2022)'!O57*(('Description Sheet'!M4)+1)</f>
        <v>6998.4000000000005</v>
      </c>
      <c r="P57" s="69">
        <f t="shared" si="27"/>
        <v>0</v>
      </c>
      <c r="Q57" s="14"/>
      <c r="R57" s="44"/>
    </row>
    <row r="58" spans="1:18" hidden="1">
      <c r="A58" s="14"/>
      <c r="B58" s="109">
        <f>'Description Sheet'!B57</f>
        <v>6.9</v>
      </c>
      <c r="C58" s="152" t="str">
        <f>'Description Sheet'!C57</f>
        <v xml:space="preserve">Servicing and Re-lignment of Gutters </v>
      </c>
      <c r="D58" s="107"/>
      <c r="E58" s="153" t="str">
        <f>IF('Maintenance Schedule'!H72="x","x","")</f>
        <v/>
      </c>
      <c r="F58" s="153" t="str">
        <f t="shared" si="30"/>
        <v/>
      </c>
      <c r="G58" s="154">
        <f t="shared" si="29"/>
        <v>0</v>
      </c>
      <c r="H58" s="155">
        <f t="shared" si="25"/>
        <v>0</v>
      </c>
      <c r="I58" s="156">
        <f t="shared" si="26"/>
        <v>0</v>
      </c>
      <c r="J58" s="14"/>
      <c r="K58" s="15"/>
      <c r="L58" s="32"/>
      <c r="M58" s="67" t="str">
        <f>'Description Sheet'!K57</f>
        <v>item</v>
      </c>
      <c r="N58" s="67">
        <f>'Description Sheet'!L57</f>
        <v>0</v>
      </c>
      <c r="O58" s="73">
        <f>'Year (2021-2022)'!O58*(('Description Sheet'!M4)+1)</f>
        <v>4082.4</v>
      </c>
      <c r="P58" s="69">
        <f t="shared" si="27"/>
        <v>0</v>
      </c>
      <c r="Q58" s="14"/>
      <c r="R58" s="44"/>
    </row>
    <row r="59" spans="1:18" hidden="1">
      <c r="A59" s="14"/>
      <c r="B59" s="112">
        <f>'Description Sheet'!B58</f>
        <v>6.1</v>
      </c>
      <c r="C59" s="152" t="str">
        <f>'Description Sheet'!C58</f>
        <v>Replacement of Damaged Metal Roof Sheeting</v>
      </c>
      <c r="D59" s="107"/>
      <c r="E59" s="153" t="str">
        <f>IF('Maintenance Schedule'!H73="x","x","")</f>
        <v/>
      </c>
      <c r="F59" s="153" t="str">
        <f t="shared" si="30"/>
        <v/>
      </c>
      <c r="G59" s="154">
        <f t="shared" si="29"/>
        <v>0</v>
      </c>
      <c r="H59" s="155">
        <f t="shared" si="25"/>
        <v>0</v>
      </c>
      <c r="I59" s="156">
        <f t="shared" si="26"/>
        <v>0</v>
      </c>
      <c r="J59" s="14"/>
      <c r="K59" s="15"/>
      <c r="L59" s="32"/>
      <c r="M59" s="67" t="str">
        <f>'Description Sheet'!K58</f>
        <v>m2</v>
      </c>
      <c r="N59" s="67">
        <f>'Description Sheet'!L58</f>
        <v>0</v>
      </c>
      <c r="O59" s="73">
        <f>'Year (2021-2022)'!O59*(('Description Sheet'!M4)+1)</f>
        <v>524.88</v>
      </c>
      <c r="P59" s="69">
        <f t="shared" si="27"/>
        <v>0</v>
      </c>
      <c r="Q59" s="14"/>
      <c r="R59" s="44"/>
    </row>
    <row r="60" spans="1:18" hidden="1">
      <c r="A60" s="14"/>
      <c r="B60" s="112">
        <f>'Description Sheet'!B59</f>
        <v>6.11</v>
      </c>
      <c r="C60" s="152" t="str">
        <f>'Description Sheet'!C59</f>
        <v>Replacement of Polycarbonate Roof Sheeting</v>
      </c>
      <c r="D60" s="107"/>
      <c r="E60" s="153" t="str">
        <f>IF('Maintenance Schedule'!H74="x","x","")</f>
        <v/>
      </c>
      <c r="F60" s="153" t="str">
        <f t="shared" si="28"/>
        <v/>
      </c>
      <c r="G60" s="154">
        <f t="shared" si="29"/>
        <v>0</v>
      </c>
      <c r="H60" s="155">
        <f t="shared" si="25"/>
        <v>0</v>
      </c>
      <c r="I60" s="156">
        <f t="shared" si="26"/>
        <v>0</v>
      </c>
      <c r="J60" s="14"/>
      <c r="K60" s="15"/>
      <c r="L60" s="32"/>
      <c r="M60" s="67" t="str">
        <f>'Description Sheet'!K59</f>
        <v>m2</v>
      </c>
      <c r="N60" s="67">
        <f>'Description Sheet'!L59</f>
        <v>0</v>
      </c>
      <c r="O60" s="73">
        <f>'Year (2021-2022)'!O60*(('Description Sheet'!M4)+1)</f>
        <v>583.20000000000005</v>
      </c>
      <c r="P60" s="69">
        <f t="shared" si="27"/>
        <v>0</v>
      </c>
      <c r="Q60" s="14"/>
      <c r="R60" s="44"/>
    </row>
    <row r="61" spans="1:18" hidden="1">
      <c r="A61" s="14"/>
      <c r="B61" s="112">
        <f>'Description Sheet'!B60</f>
        <v>6.12</v>
      </c>
      <c r="C61" s="152" t="str">
        <f>'Description Sheet'!C60</f>
        <v>Replacement of Tile Roofs</v>
      </c>
      <c r="D61" s="107"/>
      <c r="E61" s="153" t="str">
        <f>IF('Maintenance Schedule'!H75="x","x","")</f>
        <v/>
      </c>
      <c r="F61" s="153" t="str">
        <f t="shared" si="28"/>
        <v/>
      </c>
      <c r="G61" s="154">
        <f t="shared" si="29"/>
        <v>0</v>
      </c>
      <c r="H61" s="155">
        <f t="shared" si="25"/>
        <v>0</v>
      </c>
      <c r="I61" s="156">
        <f t="shared" si="26"/>
        <v>0</v>
      </c>
      <c r="J61" s="14"/>
      <c r="K61" s="15"/>
      <c r="L61" s="32"/>
      <c r="M61" s="67" t="str">
        <f>'Description Sheet'!K60</f>
        <v>m2</v>
      </c>
      <c r="N61" s="67">
        <f>'Description Sheet'!L60</f>
        <v>0</v>
      </c>
      <c r="O61" s="73">
        <f>'Year (2021-2022)'!O61*(('Description Sheet'!M4)+1)</f>
        <v>792.72</v>
      </c>
      <c r="P61" s="69">
        <f t="shared" si="27"/>
        <v>0</v>
      </c>
      <c r="Q61" s="14"/>
      <c r="R61" s="44"/>
    </row>
    <row r="62" spans="1:18" hidden="1">
      <c r="A62" s="14"/>
      <c r="B62" s="112">
        <f>'Description Sheet'!B61</f>
        <v>6.13</v>
      </c>
      <c r="C62" s="152" t="str">
        <f>'Description Sheet'!C61</f>
        <v>Replacement of Tile Roof and Structure</v>
      </c>
      <c r="D62" s="107"/>
      <c r="E62" s="153" t="str">
        <f>IF('Maintenance Schedule'!H76="x","x","")</f>
        <v/>
      </c>
      <c r="F62" s="153" t="str">
        <f t="shared" si="28"/>
        <v/>
      </c>
      <c r="G62" s="154">
        <f t="shared" si="29"/>
        <v>0</v>
      </c>
      <c r="H62" s="155">
        <f t="shared" si="25"/>
        <v>0</v>
      </c>
      <c r="I62" s="156">
        <f t="shared" si="26"/>
        <v>0</v>
      </c>
      <c r="J62" s="14"/>
      <c r="K62" s="15"/>
      <c r="L62" s="32"/>
      <c r="M62" s="67" t="str">
        <f>'Description Sheet'!K61</f>
        <v>m2</v>
      </c>
      <c r="N62" s="67">
        <f>'Description Sheet'!L61</f>
        <v>0</v>
      </c>
      <c r="O62" s="73">
        <f>'Year (2021-2022)'!O62*(('Description Sheet'!M4)+1)</f>
        <v>980.6400000000001</v>
      </c>
      <c r="P62" s="69">
        <f t="shared" si="27"/>
        <v>0</v>
      </c>
      <c r="Q62" s="14"/>
      <c r="R62" s="44"/>
    </row>
    <row r="63" spans="1:18" hidden="1">
      <c r="A63" s="14"/>
      <c r="B63" s="112">
        <f>'Description Sheet'!B62</f>
        <v>6.14</v>
      </c>
      <c r="C63" s="152" t="str">
        <f>'Description Sheet'!C62</f>
        <v>Replacement of Fibre Cement Roof</v>
      </c>
      <c r="D63" s="107"/>
      <c r="E63" s="153" t="str">
        <f>IF('Maintenance Schedule'!H77="x","x","")</f>
        <v/>
      </c>
      <c r="F63" s="153" t="str">
        <f t="shared" ref="F63:F66" si="31">IF(E63="x","item","")</f>
        <v/>
      </c>
      <c r="G63" s="154">
        <f t="shared" si="29"/>
        <v>0</v>
      </c>
      <c r="H63" s="155">
        <f t="shared" si="25"/>
        <v>0</v>
      </c>
      <c r="I63" s="156">
        <f t="shared" si="26"/>
        <v>0</v>
      </c>
      <c r="J63" s="14"/>
      <c r="K63" s="15"/>
      <c r="L63" s="32"/>
      <c r="M63" s="67" t="str">
        <f>'Description Sheet'!K62</f>
        <v>m2</v>
      </c>
      <c r="N63" s="67">
        <f>'Description Sheet'!L62</f>
        <v>0</v>
      </c>
      <c r="O63" s="73">
        <f>'Year (2021-2022)'!O63*(('Description Sheet'!M4)+1)</f>
        <v>758.16000000000008</v>
      </c>
      <c r="P63" s="69">
        <f t="shared" si="27"/>
        <v>0</v>
      </c>
      <c r="Q63" s="14"/>
      <c r="R63" s="44"/>
    </row>
    <row r="64" spans="1:18" hidden="1">
      <c r="A64" s="14"/>
      <c r="B64" s="112">
        <f>'Description Sheet'!B63</f>
        <v>6.15</v>
      </c>
      <c r="C64" s="152" t="str">
        <f>'Description Sheet'!C63</f>
        <v>blank</v>
      </c>
      <c r="D64" s="107"/>
      <c r="E64" s="153" t="str">
        <f>IF('Maintenance Schedule'!H78="x","x","")</f>
        <v/>
      </c>
      <c r="F64" s="153" t="str">
        <f t="shared" si="31"/>
        <v/>
      </c>
      <c r="G64" s="154">
        <f t="shared" si="29"/>
        <v>0</v>
      </c>
      <c r="H64" s="155">
        <f t="shared" si="25"/>
        <v>0</v>
      </c>
      <c r="I64" s="156">
        <f t="shared" si="26"/>
        <v>0</v>
      </c>
      <c r="J64" s="14"/>
      <c r="K64" s="15"/>
      <c r="L64" s="32"/>
      <c r="M64" s="67" t="str">
        <f>'Description Sheet'!K63</f>
        <v>item</v>
      </c>
      <c r="N64" s="67">
        <f>'Description Sheet'!L63</f>
        <v>0</v>
      </c>
      <c r="O64" s="73">
        <f>'Year (2021-2022)'!O64*(('Description Sheet'!M4)+1)</f>
        <v>0</v>
      </c>
      <c r="P64" s="69">
        <f t="shared" si="27"/>
        <v>0</v>
      </c>
      <c r="Q64" s="14"/>
      <c r="R64" s="44"/>
    </row>
    <row r="65" spans="1:19" hidden="1">
      <c r="A65" s="14"/>
      <c r="B65" s="112">
        <f>'Description Sheet'!B64</f>
        <v>6.17</v>
      </c>
      <c r="C65" s="152" t="str">
        <f>'Description Sheet'!C64</f>
        <v>blank</v>
      </c>
      <c r="D65" s="107"/>
      <c r="E65" s="153" t="str">
        <f>IF('Maintenance Schedule'!H79="x","x","")</f>
        <v/>
      </c>
      <c r="F65" s="153" t="str">
        <f t="shared" si="31"/>
        <v/>
      </c>
      <c r="G65" s="154">
        <f t="shared" si="29"/>
        <v>0</v>
      </c>
      <c r="H65" s="155">
        <f t="shared" si="25"/>
        <v>0</v>
      </c>
      <c r="I65" s="156">
        <f t="shared" si="26"/>
        <v>0</v>
      </c>
      <c r="J65" s="14"/>
      <c r="K65" s="15"/>
      <c r="L65" s="32"/>
      <c r="M65" s="67" t="str">
        <f>'Description Sheet'!K64</f>
        <v>item</v>
      </c>
      <c r="N65" s="67">
        <f>'Description Sheet'!L64</f>
        <v>0</v>
      </c>
      <c r="O65" s="73">
        <f>'Year (2021-2022)'!O65*(('Description Sheet'!M4)+1)</f>
        <v>0</v>
      </c>
      <c r="P65" s="69">
        <f t="shared" si="27"/>
        <v>0</v>
      </c>
      <c r="Q65" s="14"/>
      <c r="R65" s="44"/>
    </row>
    <row r="66" spans="1:19" hidden="1">
      <c r="A66" s="14"/>
      <c r="B66" s="112">
        <f>'Description Sheet'!B65</f>
        <v>6.18</v>
      </c>
      <c r="C66" s="152" t="str">
        <f>'Description Sheet'!C65</f>
        <v>blank</v>
      </c>
      <c r="D66" s="107"/>
      <c r="E66" s="153" t="str">
        <f>IF('Maintenance Schedule'!H80="x","x","")</f>
        <v/>
      </c>
      <c r="F66" s="153" t="str">
        <f t="shared" si="31"/>
        <v/>
      </c>
      <c r="G66" s="154">
        <f t="shared" si="29"/>
        <v>0</v>
      </c>
      <c r="H66" s="155">
        <f t="shared" si="25"/>
        <v>0</v>
      </c>
      <c r="I66" s="156">
        <f t="shared" si="26"/>
        <v>0</v>
      </c>
      <c r="J66" s="14"/>
      <c r="K66" s="15"/>
      <c r="L66" s="32"/>
      <c r="M66" s="67" t="str">
        <f>'Description Sheet'!K65</f>
        <v>item</v>
      </c>
      <c r="N66" s="67">
        <f>'Description Sheet'!L65</f>
        <v>0</v>
      </c>
      <c r="O66" s="73">
        <f>'Year (2021-2022)'!O66*(('Description Sheet'!M4)+1)</f>
        <v>0</v>
      </c>
      <c r="P66" s="69">
        <f t="shared" si="27"/>
        <v>0</v>
      </c>
      <c r="Q66" s="14"/>
      <c r="R66" s="44"/>
    </row>
    <row r="67" spans="1:19" ht="17" thickBot="1">
      <c r="A67" s="14"/>
      <c r="B67" s="109"/>
      <c r="C67" s="152"/>
      <c r="D67" s="107"/>
      <c r="E67" s="153"/>
      <c r="F67" s="153"/>
      <c r="G67" s="154"/>
      <c r="H67" s="155"/>
      <c r="I67" s="155"/>
      <c r="J67" s="14"/>
      <c r="K67" s="15"/>
      <c r="L67" s="32"/>
      <c r="M67" s="70"/>
      <c r="N67" s="67"/>
      <c r="O67" s="73"/>
      <c r="P67" s="79"/>
      <c r="Q67" s="14"/>
      <c r="R67" s="44"/>
    </row>
    <row r="68" spans="1:19" s="4" customFormat="1" ht="15.75" customHeight="1" thickBot="1">
      <c r="A68" s="14"/>
      <c r="B68" s="109"/>
      <c r="C68" s="115"/>
      <c r="D68" s="107"/>
      <c r="E68" s="159"/>
      <c r="F68" s="528" t="s">
        <v>7</v>
      </c>
      <c r="G68" s="529"/>
      <c r="H68" s="530">
        <f>SUM(I50:I67)</f>
        <v>3445.2</v>
      </c>
      <c r="I68" s="531"/>
      <c r="J68" s="14"/>
      <c r="K68" s="15"/>
      <c r="L68" s="33"/>
      <c r="M68" s="508" t="s">
        <v>7</v>
      </c>
      <c r="N68" s="509"/>
      <c r="O68" s="510">
        <f>SUM(P50:P67)</f>
        <v>3445.2</v>
      </c>
      <c r="P68" s="511"/>
      <c r="Q68" s="14"/>
      <c r="R68" s="31"/>
    </row>
    <row r="69" spans="1:19" ht="17" hidden="1" thickBot="1">
      <c r="A69" s="14"/>
      <c r="B69" s="109">
        <f>'Description Sheet'!B68</f>
        <v>7</v>
      </c>
      <c r="C69" s="113" t="str">
        <f>'Description Sheet'!C68</f>
        <v>Painting and Repairs</v>
      </c>
      <c r="D69" s="107"/>
      <c r="E69" s="110"/>
      <c r="F69" s="110"/>
      <c r="G69" s="110"/>
      <c r="H69" s="110"/>
      <c r="I69" s="151"/>
      <c r="J69" s="32"/>
      <c r="K69" s="40"/>
      <c r="L69" s="33"/>
      <c r="M69" s="24"/>
      <c r="N69" s="25"/>
      <c r="O69" s="25"/>
      <c r="P69" s="63"/>
      <c r="Q69" s="14"/>
      <c r="R69" s="44"/>
    </row>
    <row r="70" spans="1:19" hidden="1">
      <c r="A70" s="14"/>
      <c r="B70" s="109">
        <f>'Description Sheet'!B69</f>
        <v>7.1</v>
      </c>
      <c r="C70" s="152" t="str">
        <f>'Description Sheet'!C69</f>
        <v>External  Painting and Remedial Repairs</v>
      </c>
      <c r="D70" s="107"/>
      <c r="E70" s="153" t="str">
        <f>IF('Maintenance Schedule'!H87="x","x","")</f>
        <v/>
      </c>
      <c r="F70" s="153" t="str">
        <f t="shared" ref="F70:F91" si="32">IF(E70="x","No","")</f>
        <v/>
      </c>
      <c r="G70" s="154">
        <f>IF(E70="x",1,0)</f>
        <v>0</v>
      </c>
      <c r="H70" s="155">
        <f t="shared" ref="H70:H91" si="33">IF(E70="x",P70,0)</f>
        <v>0</v>
      </c>
      <c r="I70" s="156">
        <f>IF(E70="x",G70*H70,0)</f>
        <v>0</v>
      </c>
      <c r="J70" s="14"/>
      <c r="K70" s="15"/>
      <c r="L70" s="32"/>
      <c r="M70" s="67" t="str">
        <f>'Description Sheet'!K69</f>
        <v>m2</v>
      </c>
      <c r="N70" s="67">
        <f>'Description Sheet'!L69</f>
        <v>1</v>
      </c>
      <c r="O70" s="73">
        <f>'Year (2021-2022)'!O70*(('Description Sheet'!M4)+1)</f>
        <v>1990708.7040000001</v>
      </c>
      <c r="P70" s="68">
        <f t="shared" ref="P70:P78" si="34">N70*O70</f>
        <v>1990708.7040000001</v>
      </c>
      <c r="Q70" s="14"/>
      <c r="R70" s="44"/>
    </row>
    <row r="71" spans="1:19" hidden="1">
      <c r="A71" s="14"/>
      <c r="B71" s="109">
        <f>'Description Sheet'!B70</f>
        <v>7.2</v>
      </c>
      <c r="C71" s="152" t="str">
        <f>'Description Sheet'!C70</f>
        <v>Internal Repairs to Apartments 505, 405, 305</v>
      </c>
      <c r="D71" s="107"/>
      <c r="E71" s="153" t="str">
        <f>IF('Maintenance Schedule'!H88="x","x","")</f>
        <v/>
      </c>
      <c r="F71" s="153" t="str">
        <f t="shared" si="32"/>
        <v/>
      </c>
      <c r="G71" s="154">
        <f t="shared" ref="G71:G91" si="35">IF(E71="x",1,0)</f>
        <v>0</v>
      </c>
      <c r="H71" s="155">
        <f t="shared" si="33"/>
        <v>0</v>
      </c>
      <c r="I71" s="156">
        <f t="shared" ref="I71:I91" si="36">IF(E71="x",G71*H71,0)</f>
        <v>0</v>
      </c>
      <c r="J71" s="14"/>
      <c r="K71" s="15"/>
      <c r="L71" s="32"/>
      <c r="M71" s="67" t="str">
        <f>'Description Sheet'!K70</f>
        <v>m2</v>
      </c>
      <c r="N71" s="67">
        <f>'Description Sheet'!L70</f>
        <v>1</v>
      </c>
      <c r="O71" s="73">
        <f>'Year (2021-2022)'!O71*(('Description Sheet'!M4)+1)</f>
        <v>167670</v>
      </c>
      <c r="P71" s="68">
        <f t="shared" si="34"/>
        <v>167670</v>
      </c>
      <c r="Q71" s="14"/>
      <c r="R71" s="44"/>
    </row>
    <row r="72" spans="1:19" hidden="1">
      <c r="A72" s="14"/>
      <c r="B72" s="109">
        <f>'Description Sheet'!B71</f>
        <v>7.3</v>
      </c>
      <c r="C72" s="152" t="str">
        <f>'Description Sheet'!C71</f>
        <v>Exposed Tops</v>
      </c>
      <c r="D72" s="107"/>
      <c r="E72" s="153" t="str">
        <f>IF('Maintenance Schedule'!H89="x","x","")</f>
        <v/>
      </c>
      <c r="F72" s="153" t="str">
        <f t="shared" si="32"/>
        <v/>
      </c>
      <c r="G72" s="154">
        <f t="shared" si="35"/>
        <v>0</v>
      </c>
      <c r="H72" s="155">
        <f t="shared" si="33"/>
        <v>0</v>
      </c>
      <c r="I72" s="156">
        <f t="shared" si="36"/>
        <v>0</v>
      </c>
      <c r="J72" s="14"/>
      <c r="K72" s="15"/>
      <c r="L72" s="32"/>
      <c r="M72" s="67" t="str">
        <f>'Description Sheet'!K71</f>
        <v>m2</v>
      </c>
      <c r="N72" s="67">
        <f>'Description Sheet'!L71</f>
        <v>0</v>
      </c>
      <c r="O72" s="73">
        <f>'Year (2021-2022)'!O72*(('Description Sheet'!M4)+1)</f>
        <v>133.92000000000002</v>
      </c>
      <c r="P72" s="68">
        <f t="shared" si="34"/>
        <v>0</v>
      </c>
      <c r="Q72" s="14"/>
      <c r="R72" s="44"/>
    </row>
    <row r="73" spans="1:19" hidden="1">
      <c r="A73" s="14"/>
      <c r="B73" s="109">
        <f>'Description Sheet'!B72</f>
        <v>7.4</v>
      </c>
      <c r="C73" s="152" t="str">
        <f>'Description Sheet'!C72</f>
        <v>Wall to Frame Sealant (Exposed)</v>
      </c>
      <c r="D73" s="107"/>
      <c r="E73" s="153" t="str">
        <f>IF('Maintenance Schedule'!H90="x","x","")</f>
        <v/>
      </c>
      <c r="F73" s="153" t="str">
        <f>IF(E73="x","All","")</f>
        <v/>
      </c>
      <c r="G73" s="154">
        <f t="shared" si="35"/>
        <v>0</v>
      </c>
      <c r="H73" s="155">
        <f t="shared" si="33"/>
        <v>0</v>
      </c>
      <c r="I73" s="156">
        <f t="shared" si="36"/>
        <v>0</v>
      </c>
      <c r="J73" s="14"/>
      <c r="K73" s="15"/>
      <c r="L73" s="32"/>
      <c r="M73" s="67" t="str">
        <f>'Description Sheet'!K72</f>
        <v>lm</v>
      </c>
      <c r="N73" s="67">
        <f>'Description Sheet'!L72</f>
        <v>0</v>
      </c>
      <c r="O73" s="73">
        <f>'Year (2021-2022)'!O73*(('Description Sheet'!M4)+1)</f>
        <v>75.600000000000009</v>
      </c>
      <c r="P73" s="68">
        <f t="shared" si="34"/>
        <v>0</v>
      </c>
      <c r="Q73" s="14"/>
      <c r="R73" s="44"/>
    </row>
    <row r="74" spans="1:19" hidden="1">
      <c r="A74" s="14"/>
      <c r="B74" s="109">
        <f>'Description Sheet'!B73</f>
        <v>7.5</v>
      </c>
      <c r="C74" s="152" t="str">
        <f>'Description Sheet'!C73</f>
        <v>Glass to Frame Sealant (Skylights)</v>
      </c>
      <c r="D74" s="107"/>
      <c r="E74" s="153" t="str">
        <f>IF('Maintenance Schedule'!H91="x","x","")</f>
        <v/>
      </c>
      <c r="F74" s="153" t="str">
        <f>IF(E74="x","All","")</f>
        <v/>
      </c>
      <c r="G74" s="154">
        <f t="shared" si="35"/>
        <v>0</v>
      </c>
      <c r="H74" s="155">
        <f t="shared" si="33"/>
        <v>0</v>
      </c>
      <c r="I74" s="156">
        <f t="shared" si="36"/>
        <v>0</v>
      </c>
      <c r="J74" s="14"/>
      <c r="K74" s="15"/>
      <c r="L74" s="32"/>
      <c r="M74" s="67" t="str">
        <f>'Description Sheet'!K73</f>
        <v>All</v>
      </c>
      <c r="N74" s="67">
        <f>'Description Sheet'!L73</f>
        <v>0</v>
      </c>
      <c r="O74" s="73">
        <f>'Year (2021-2022)'!O74*(('Description Sheet'!M4)+1)</f>
        <v>17496</v>
      </c>
      <c r="P74" s="68">
        <f>N74*O74</f>
        <v>0</v>
      </c>
      <c r="Q74" s="14"/>
      <c r="R74" s="44"/>
    </row>
    <row r="75" spans="1:19" hidden="1">
      <c r="A75" s="14"/>
      <c r="B75" s="109">
        <f>'Description Sheet'!B74</f>
        <v>7.6</v>
      </c>
      <c r="C75" s="152" t="str">
        <f>'Description Sheet'!C74</f>
        <v>Metal Windows and Putty Repairs</v>
      </c>
      <c r="D75" s="107"/>
      <c r="E75" s="153" t="str">
        <f>IF('Maintenance Schedule'!H92="x","x","")</f>
        <v/>
      </c>
      <c r="F75" s="153" t="str">
        <f t="shared" si="32"/>
        <v/>
      </c>
      <c r="G75" s="154">
        <f t="shared" si="35"/>
        <v>0</v>
      </c>
      <c r="H75" s="155">
        <f t="shared" si="33"/>
        <v>0</v>
      </c>
      <c r="I75" s="156">
        <f t="shared" si="36"/>
        <v>0</v>
      </c>
      <c r="J75" s="14"/>
      <c r="K75" s="15"/>
      <c r="L75" s="32"/>
      <c r="M75" s="67" t="str">
        <f>'Description Sheet'!K74</f>
        <v>m2</v>
      </c>
      <c r="N75" s="67">
        <f>'Description Sheet'!L74</f>
        <v>1</v>
      </c>
      <c r="O75" s="73">
        <f>'Year (2021-2022)'!O75*(('Description Sheet'!M4)+1)</f>
        <v>10800</v>
      </c>
      <c r="P75" s="68">
        <f t="shared" si="34"/>
        <v>10800</v>
      </c>
      <c r="Q75" s="14"/>
      <c r="R75" s="44"/>
      <c r="S75" s="2"/>
    </row>
    <row r="76" spans="1:19" hidden="1">
      <c r="A76" s="14"/>
      <c r="B76" s="109">
        <f>'Description Sheet'!B75</f>
        <v>7.7</v>
      </c>
      <c r="C76" s="152" t="str">
        <f>'Description Sheet'!C75</f>
        <v xml:space="preserve">External Woodwork </v>
      </c>
      <c r="D76" s="107"/>
      <c r="E76" s="153" t="str">
        <f>IF('Maintenance Schedule'!H93="x","x","")</f>
        <v/>
      </c>
      <c r="F76" s="153" t="str">
        <f t="shared" si="32"/>
        <v/>
      </c>
      <c r="G76" s="154">
        <f t="shared" si="35"/>
        <v>0</v>
      </c>
      <c r="H76" s="155">
        <f t="shared" si="33"/>
        <v>0</v>
      </c>
      <c r="I76" s="156">
        <f t="shared" si="36"/>
        <v>0</v>
      </c>
      <c r="J76" s="14"/>
      <c r="K76" s="15"/>
      <c r="L76" s="32"/>
      <c r="M76" s="67" t="str">
        <f>'Description Sheet'!K75</f>
        <v>m2</v>
      </c>
      <c r="N76" s="67">
        <f>'Description Sheet'!L75</f>
        <v>160</v>
      </c>
      <c r="O76" s="73">
        <f>'Year (2021-2022)'!O76*(('Description Sheet'!M4)+1)</f>
        <v>221.4</v>
      </c>
      <c r="P76" s="68">
        <f t="shared" si="34"/>
        <v>35424</v>
      </c>
      <c r="Q76" s="14"/>
      <c r="R76" s="44"/>
    </row>
    <row r="77" spans="1:19" hidden="1">
      <c r="A77" s="14"/>
      <c r="B77" s="109">
        <f>'Description Sheet'!B76</f>
        <v>7.8</v>
      </c>
      <c r="C77" s="152" t="str">
        <f>'Description Sheet'!C76</f>
        <v xml:space="preserve">External Steelwork </v>
      </c>
      <c r="D77" s="107"/>
      <c r="E77" s="153" t="str">
        <f>IF('Maintenance Schedule'!H94="x","x","")</f>
        <v/>
      </c>
      <c r="F77" s="153" t="str">
        <f t="shared" si="32"/>
        <v/>
      </c>
      <c r="G77" s="154">
        <f t="shared" si="35"/>
        <v>0</v>
      </c>
      <c r="H77" s="155">
        <f t="shared" si="33"/>
        <v>0</v>
      </c>
      <c r="I77" s="156">
        <f t="shared" si="36"/>
        <v>0</v>
      </c>
      <c r="J77" s="14"/>
      <c r="K77" s="15"/>
      <c r="L77" s="32"/>
      <c r="M77" s="67" t="str">
        <f>'Description Sheet'!K76</f>
        <v>m2</v>
      </c>
      <c r="N77" s="67">
        <f>'Description Sheet'!L76</f>
        <v>40</v>
      </c>
      <c r="O77" s="73">
        <f>'Year (2021-2022)'!O77*(('Description Sheet'!M4)+1)</f>
        <v>247.32000000000002</v>
      </c>
      <c r="P77" s="68">
        <f t="shared" si="34"/>
        <v>9892.8000000000011</v>
      </c>
      <c r="Q77" s="14"/>
      <c r="R77" s="44"/>
    </row>
    <row r="78" spans="1:19" hidden="1">
      <c r="A78" s="14"/>
      <c r="B78" s="109">
        <f>'Description Sheet'!B77</f>
        <v>7.9</v>
      </c>
      <c r="C78" s="152" t="str">
        <f>'Description Sheet'!C77</f>
        <v xml:space="preserve">Pointing &amp; Brickwork Repairs </v>
      </c>
      <c r="D78" s="107"/>
      <c r="E78" s="153" t="str">
        <f>IF('Maintenance Schedule'!H95="x","x","")</f>
        <v/>
      </c>
      <c r="F78" s="153" t="str">
        <f t="shared" si="32"/>
        <v/>
      </c>
      <c r="G78" s="154">
        <f t="shared" si="35"/>
        <v>0</v>
      </c>
      <c r="H78" s="155">
        <f t="shared" si="33"/>
        <v>0</v>
      </c>
      <c r="I78" s="156">
        <f t="shared" si="36"/>
        <v>0</v>
      </c>
      <c r="J78" s="14"/>
      <c r="K78" s="15"/>
      <c r="L78" s="32"/>
      <c r="M78" s="67" t="str">
        <f>'Description Sheet'!K77</f>
        <v>m2</v>
      </c>
      <c r="N78" s="67">
        <f>'Description Sheet'!L77</f>
        <v>0</v>
      </c>
      <c r="O78" s="73">
        <f>'Year (2021-2022)'!O78*(('Description Sheet'!M4)+1)</f>
        <v>52488</v>
      </c>
      <c r="P78" s="68">
        <f t="shared" si="34"/>
        <v>0</v>
      </c>
      <c r="Q78" s="14"/>
      <c r="R78" s="44"/>
    </row>
    <row r="79" spans="1:19" hidden="1">
      <c r="A79" s="14"/>
      <c r="B79" s="112">
        <f>'Description Sheet'!B78</f>
        <v>7.1</v>
      </c>
      <c r="C79" s="152" t="str">
        <f>'Description Sheet'!C78</f>
        <v>Brickwork Repairs</v>
      </c>
      <c r="D79" s="107"/>
      <c r="E79" s="153" t="str">
        <f>IF('Maintenance Schedule'!H96="x","x","")</f>
        <v/>
      </c>
      <c r="F79" s="153" t="str">
        <f t="shared" si="32"/>
        <v/>
      </c>
      <c r="G79" s="154">
        <f t="shared" si="35"/>
        <v>0</v>
      </c>
      <c r="H79" s="155">
        <f t="shared" si="33"/>
        <v>0</v>
      </c>
      <c r="I79" s="156">
        <f t="shared" si="36"/>
        <v>0</v>
      </c>
      <c r="J79" s="14"/>
      <c r="K79" s="15"/>
      <c r="L79" s="32"/>
      <c r="M79" s="67" t="str">
        <f>'Description Sheet'!K78</f>
        <v>m2</v>
      </c>
      <c r="N79" s="67">
        <f>'Description Sheet'!L78</f>
        <v>1</v>
      </c>
      <c r="O79" s="73">
        <f>'Year (2021-2022)'!O79*(('Description Sheet'!M4)+1)</f>
        <v>4447.4400000000005</v>
      </c>
      <c r="P79" s="68">
        <f>N79*O79</f>
        <v>4447.4400000000005</v>
      </c>
      <c r="Q79" s="14"/>
      <c r="R79" s="44"/>
    </row>
    <row r="80" spans="1:19" hidden="1">
      <c r="A80" s="14"/>
      <c r="B80" s="112">
        <f>'Description Sheet'!B79</f>
        <v>7.11</v>
      </c>
      <c r="C80" s="152" t="str">
        <f>'Description Sheet'!C79</f>
        <v>Painted Floors</v>
      </c>
      <c r="D80" s="107"/>
      <c r="E80" s="153" t="str">
        <f>IF('Maintenance Schedule'!H97="x","x","")</f>
        <v/>
      </c>
      <c r="F80" s="153" t="str">
        <f t="shared" si="32"/>
        <v/>
      </c>
      <c r="G80" s="154">
        <f t="shared" si="35"/>
        <v>0</v>
      </c>
      <c r="H80" s="155">
        <f t="shared" si="33"/>
        <v>0</v>
      </c>
      <c r="I80" s="156">
        <f t="shared" si="36"/>
        <v>0</v>
      </c>
      <c r="J80" s="14"/>
      <c r="K80" s="15"/>
      <c r="L80" s="32"/>
      <c r="M80" s="67" t="str">
        <f>'Description Sheet'!K79</f>
        <v>m2</v>
      </c>
      <c r="N80" s="67">
        <f>'Description Sheet'!L79</f>
        <v>680</v>
      </c>
      <c r="O80" s="73">
        <f>'Year (2021-2022)'!O80*(('Description Sheet'!M4)+1)</f>
        <v>164.16000000000003</v>
      </c>
      <c r="P80" s="68">
        <f>N80*O80</f>
        <v>111628.80000000002</v>
      </c>
      <c r="Q80" s="14"/>
      <c r="R80" s="44"/>
    </row>
    <row r="81" spans="1:18" hidden="1">
      <c r="A81" s="14"/>
      <c r="B81" s="112">
        <f>'Description Sheet'!B80</f>
        <v>7.12</v>
      </c>
      <c r="C81" s="152" t="str">
        <f>'Description Sheet'!C80</f>
        <v>Nutec Walls</v>
      </c>
      <c r="D81" s="107"/>
      <c r="E81" s="153" t="str">
        <f>IF('Maintenance Schedule'!H98="x","x","")</f>
        <v/>
      </c>
      <c r="F81" s="153" t="str">
        <f t="shared" si="32"/>
        <v/>
      </c>
      <c r="G81" s="154">
        <f t="shared" si="35"/>
        <v>0</v>
      </c>
      <c r="H81" s="155">
        <f t="shared" si="33"/>
        <v>0</v>
      </c>
      <c r="I81" s="156">
        <f t="shared" si="36"/>
        <v>0</v>
      </c>
      <c r="J81" s="14"/>
      <c r="K81" s="15"/>
      <c r="L81" s="32"/>
      <c r="M81" s="67" t="str">
        <f>'Description Sheet'!K80</f>
        <v>m2</v>
      </c>
      <c r="N81" s="67">
        <f>'Description Sheet'!L80</f>
        <v>390</v>
      </c>
      <c r="O81" s="73">
        <f>'Year (2021-2022)'!O81*(('Description Sheet'!M4)+1)</f>
        <v>119.88000000000001</v>
      </c>
      <c r="P81" s="68">
        <f>N81*O81</f>
        <v>46753.200000000004</v>
      </c>
      <c r="Q81" s="14"/>
      <c r="R81" s="44"/>
    </row>
    <row r="82" spans="1:18" hidden="1">
      <c r="A82" s="14"/>
      <c r="B82" s="112">
        <f>'Description Sheet'!B81</f>
        <v>7.13</v>
      </c>
      <c r="C82" s="152" t="str">
        <f>'Description Sheet'!C81</f>
        <v xml:space="preserve">Basement Parking Walls and Soffits Areas </v>
      </c>
      <c r="D82" s="107"/>
      <c r="E82" s="153" t="str">
        <f>IF('Maintenance Schedule'!H99="x","x","")</f>
        <v/>
      </c>
      <c r="F82" s="153" t="str">
        <f t="shared" si="32"/>
        <v/>
      </c>
      <c r="G82" s="154">
        <f t="shared" si="35"/>
        <v>0</v>
      </c>
      <c r="H82" s="155">
        <f t="shared" si="33"/>
        <v>0</v>
      </c>
      <c r="I82" s="156">
        <f t="shared" si="36"/>
        <v>0</v>
      </c>
      <c r="J82" s="14"/>
      <c r="K82" s="15"/>
      <c r="L82" s="32"/>
      <c r="M82" s="67" t="str">
        <f>'Description Sheet'!K81</f>
        <v>m2</v>
      </c>
      <c r="N82" s="67">
        <f>'Description Sheet'!L81</f>
        <v>0</v>
      </c>
      <c r="O82" s="73">
        <f>'Year (2021-2022)'!O82*(('Description Sheet'!M4)+1)</f>
        <v>158.76000000000002</v>
      </c>
      <c r="P82" s="68">
        <f>N82*O82</f>
        <v>0</v>
      </c>
      <c r="Q82" s="14"/>
      <c r="R82" s="44"/>
    </row>
    <row r="83" spans="1:18" hidden="1">
      <c r="A83" s="14"/>
      <c r="B83" s="112">
        <f>'Description Sheet'!B82</f>
        <v>7.14</v>
      </c>
      <c r="C83" s="152" t="str">
        <f>'Description Sheet'!C82</f>
        <v>Internal Common Walls and Soffit Areas</v>
      </c>
      <c r="D83" s="107"/>
      <c r="E83" s="153" t="str">
        <f>IF('Maintenance Schedule'!H100="x","x","")</f>
        <v/>
      </c>
      <c r="F83" s="153" t="str">
        <f t="shared" si="32"/>
        <v/>
      </c>
      <c r="G83" s="154">
        <f t="shared" si="35"/>
        <v>0</v>
      </c>
      <c r="H83" s="155">
        <f t="shared" si="33"/>
        <v>0</v>
      </c>
      <c r="I83" s="156">
        <f t="shared" si="36"/>
        <v>0</v>
      </c>
      <c r="J83" s="14"/>
      <c r="K83" s="15"/>
      <c r="L83" s="32"/>
      <c r="M83" s="67" t="str">
        <f>'Description Sheet'!K82</f>
        <v>m2</v>
      </c>
      <c r="N83" s="67">
        <f>'Description Sheet'!L82</f>
        <v>0</v>
      </c>
      <c r="O83" s="73">
        <f>'Year (2021-2022)'!O83*(('Description Sheet'!M4)+1)</f>
        <v>164.16000000000003</v>
      </c>
      <c r="P83" s="68">
        <f t="shared" ref="P83:P91" si="37">N83*O83</f>
        <v>0</v>
      </c>
      <c r="Q83" s="14"/>
      <c r="R83" s="44"/>
    </row>
    <row r="84" spans="1:18" hidden="1">
      <c r="A84" s="14"/>
      <c r="B84" s="112">
        <f>'Description Sheet'!B83</f>
        <v>7.15</v>
      </c>
      <c r="C84" s="152" t="str">
        <f>'Description Sheet'!C83</f>
        <v xml:space="preserve">Basement Parking Walls and Soffits Areas </v>
      </c>
      <c r="D84" s="107"/>
      <c r="E84" s="153" t="str">
        <f>IF('Maintenance Schedule'!H101="x","x","")</f>
        <v/>
      </c>
      <c r="F84" s="153" t="str">
        <f t="shared" si="32"/>
        <v/>
      </c>
      <c r="G84" s="154">
        <f t="shared" si="35"/>
        <v>0</v>
      </c>
      <c r="H84" s="155">
        <f t="shared" si="33"/>
        <v>0</v>
      </c>
      <c r="I84" s="156">
        <f t="shared" si="36"/>
        <v>0</v>
      </c>
      <c r="J84" s="14"/>
      <c r="K84" s="15"/>
      <c r="L84" s="32"/>
      <c r="M84" s="67" t="str">
        <f>'Description Sheet'!K83</f>
        <v>m2</v>
      </c>
      <c r="N84" s="67">
        <f>'Description Sheet'!L83</f>
        <v>0</v>
      </c>
      <c r="O84" s="73">
        <f>'Year (2021-2022)'!O84*(('Description Sheet'!M4)+1)</f>
        <v>158.76000000000002</v>
      </c>
      <c r="P84" s="68">
        <f t="shared" si="37"/>
        <v>0</v>
      </c>
      <c r="Q84" s="14"/>
      <c r="R84" s="44"/>
    </row>
    <row r="85" spans="1:18" hidden="1">
      <c r="A85" s="14"/>
      <c r="B85" s="112">
        <f>'Description Sheet'!B84</f>
        <v>7.16</v>
      </c>
      <c r="C85" s="152" t="str">
        <f>'Description Sheet'!C84</f>
        <v>Cleaning of Cladding Panels</v>
      </c>
      <c r="D85" s="107"/>
      <c r="E85" s="153" t="str">
        <f>IF('Maintenance Schedule'!H102="x","x","")</f>
        <v/>
      </c>
      <c r="F85" s="153" t="str">
        <f t="shared" si="32"/>
        <v/>
      </c>
      <c r="G85" s="154">
        <f t="shared" si="35"/>
        <v>0</v>
      </c>
      <c r="H85" s="155">
        <f t="shared" si="33"/>
        <v>0</v>
      </c>
      <c r="I85" s="156">
        <f t="shared" si="36"/>
        <v>0</v>
      </c>
      <c r="J85" s="14"/>
      <c r="K85" s="15"/>
      <c r="L85" s="32"/>
      <c r="M85" s="67" t="str">
        <f>'Description Sheet'!K84</f>
        <v>m2</v>
      </c>
      <c r="N85" s="67">
        <f>'Description Sheet'!L84</f>
        <v>0</v>
      </c>
      <c r="O85" s="73">
        <f>'Year (2021-2022)'!O85*(('Description Sheet'!M4)+1)</f>
        <v>110.16000000000001</v>
      </c>
      <c r="P85" s="68">
        <f t="shared" si="37"/>
        <v>0</v>
      </c>
      <c r="Q85" s="14"/>
      <c r="R85" s="44"/>
    </row>
    <row r="86" spans="1:18" hidden="1">
      <c r="A86" s="14"/>
      <c r="B86" s="112">
        <f>'Description Sheet'!B85</f>
        <v>7.17</v>
      </c>
      <c r="C86" s="152" t="str">
        <f>'Description Sheet'!C85</f>
        <v>Painting of Facais and Barge Boarding</v>
      </c>
      <c r="D86" s="107"/>
      <c r="E86" s="153" t="str">
        <f>IF('Maintenance Schedule'!H103="x","x","")</f>
        <v/>
      </c>
      <c r="F86" s="153" t="str">
        <f t="shared" si="32"/>
        <v/>
      </c>
      <c r="G86" s="154">
        <f t="shared" si="35"/>
        <v>0</v>
      </c>
      <c r="H86" s="155">
        <f t="shared" si="33"/>
        <v>0</v>
      </c>
      <c r="I86" s="156">
        <f t="shared" si="36"/>
        <v>0</v>
      </c>
      <c r="J86" s="14"/>
      <c r="K86" s="15"/>
      <c r="L86" s="32"/>
      <c r="M86" s="67" t="str">
        <f>'Description Sheet'!K85</f>
        <v>m2</v>
      </c>
      <c r="N86" s="67">
        <f>'Description Sheet'!L85</f>
        <v>0</v>
      </c>
      <c r="O86" s="73">
        <f>'Year (2021-2022)'!O86*(('Description Sheet'!M4)+1)</f>
        <v>145.80000000000001</v>
      </c>
      <c r="P86" s="68">
        <f t="shared" si="37"/>
        <v>0</v>
      </c>
      <c r="Q86" s="14"/>
      <c r="R86" s="44"/>
    </row>
    <row r="87" spans="1:18" hidden="1">
      <c r="A87" s="14"/>
      <c r="B87" s="112">
        <f>'Description Sheet'!B86</f>
        <v>7.18</v>
      </c>
      <c r="C87" s="152" t="str">
        <f>'Description Sheet'!C86</f>
        <v>Painting External Wooden Soffits</v>
      </c>
      <c r="D87" s="107"/>
      <c r="E87" s="153" t="str">
        <f>IF('Maintenance Schedule'!H104="x","x","")</f>
        <v/>
      </c>
      <c r="F87" s="153" t="str">
        <f t="shared" si="32"/>
        <v/>
      </c>
      <c r="G87" s="154">
        <f t="shared" si="35"/>
        <v>0</v>
      </c>
      <c r="H87" s="155">
        <f t="shared" si="33"/>
        <v>0</v>
      </c>
      <c r="I87" s="156">
        <f t="shared" si="36"/>
        <v>0</v>
      </c>
      <c r="J87" s="14"/>
      <c r="K87" s="15"/>
      <c r="L87" s="32"/>
      <c r="M87" s="67" t="str">
        <f>'Description Sheet'!K86</f>
        <v>m2</v>
      </c>
      <c r="N87" s="67">
        <f>'Description Sheet'!L86</f>
        <v>0</v>
      </c>
      <c r="O87" s="73">
        <f>'Year (2021-2022)'!O87*(('Description Sheet'!M4)+1)</f>
        <v>75.600000000000009</v>
      </c>
      <c r="P87" s="68">
        <f t="shared" si="37"/>
        <v>0</v>
      </c>
      <c r="Q87" s="14"/>
      <c r="R87" s="44"/>
    </row>
    <row r="88" spans="1:18" hidden="1">
      <c r="A88" s="14"/>
      <c r="B88" s="112">
        <f>'Description Sheet'!B87</f>
        <v>7.19</v>
      </c>
      <c r="C88" s="152" t="str">
        <f>'Description Sheet'!C87</f>
        <v>Painting of Palisade Fencing</v>
      </c>
      <c r="D88" s="107"/>
      <c r="E88" s="153" t="str">
        <f>IF('Maintenance Schedule'!H105="x","x","")</f>
        <v/>
      </c>
      <c r="F88" s="153" t="str">
        <f t="shared" si="32"/>
        <v/>
      </c>
      <c r="G88" s="154">
        <f t="shared" si="35"/>
        <v>0</v>
      </c>
      <c r="H88" s="155">
        <f t="shared" si="33"/>
        <v>0</v>
      </c>
      <c r="I88" s="156">
        <f t="shared" si="36"/>
        <v>0</v>
      </c>
      <c r="J88" s="14"/>
      <c r="K88" s="15"/>
      <c r="L88" s="32"/>
      <c r="M88" s="67" t="str">
        <f>'Description Sheet'!K87</f>
        <v>m2</v>
      </c>
      <c r="N88" s="67">
        <f>'Description Sheet'!L87</f>
        <v>0</v>
      </c>
      <c r="O88" s="73">
        <f>'Year (2021-2022)'!O88*(('Description Sheet'!M4)+1)</f>
        <v>75.600000000000009</v>
      </c>
      <c r="P88" s="68">
        <f t="shared" si="37"/>
        <v>0</v>
      </c>
      <c r="Q88" s="14"/>
      <c r="R88" s="44"/>
    </row>
    <row r="89" spans="1:18" hidden="1">
      <c r="A89" s="14"/>
      <c r="B89" s="112">
        <f>'Description Sheet'!B88</f>
        <v>7.2</v>
      </c>
      <c r="C89" s="152" t="str">
        <f>'Description Sheet'!C88</f>
        <v>blank</v>
      </c>
      <c r="D89" s="107"/>
      <c r="E89" s="153" t="str">
        <f>IF('Maintenance Schedule'!H106="x","x","")</f>
        <v/>
      </c>
      <c r="F89" s="153" t="str">
        <f t="shared" si="32"/>
        <v/>
      </c>
      <c r="G89" s="154">
        <f t="shared" si="35"/>
        <v>0</v>
      </c>
      <c r="H89" s="155">
        <f t="shared" si="33"/>
        <v>0</v>
      </c>
      <c r="I89" s="156">
        <f t="shared" si="36"/>
        <v>0</v>
      </c>
      <c r="J89" s="14"/>
      <c r="K89" s="15"/>
      <c r="L89" s="32"/>
      <c r="M89" s="67" t="str">
        <f>'Description Sheet'!K88</f>
        <v>m3</v>
      </c>
      <c r="N89" s="67">
        <f>'Description Sheet'!L88</f>
        <v>0</v>
      </c>
      <c r="O89" s="73">
        <f>'Year (2021-2022)'!O89*(('Description Sheet'!M4)+1)</f>
        <v>192.24</v>
      </c>
      <c r="P89" s="68">
        <f t="shared" si="37"/>
        <v>0</v>
      </c>
      <c r="Q89" s="14"/>
      <c r="R89" s="44"/>
    </row>
    <row r="90" spans="1:18" hidden="1">
      <c r="A90" s="14"/>
      <c r="B90" s="112">
        <f>'Description Sheet'!B89</f>
        <v>7.21</v>
      </c>
      <c r="C90" s="152" t="str">
        <f>'Description Sheet'!C89</f>
        <v>blank</v>
      </c>
      <c r="D90" s="107"/>
      <c r="E90" s="153" t="str">
        <f>IF('Maintenance Schedule'!H107="x","x","")</f>
        <v/>
      </c>
      <c r="F90" s="153" t="str">
        <f t="shared" si="32"/>
        <v/>
      </c>
      <c r="G90" s="154">
        <f t="shared" si="35"/>
        <v>0</v>
      </c>
      <c r="H90" s="155">
        <f t="shared" si="33"/>
        <v>0</v>
      </c>
      <c r="I90" s="156">
        <f t="shared" si="36"/>
        <v>0</v>
      </c>
      <c r="J90" s="14"/>
      <c r="K90" s="15"/>
      <c r="L90" s="32"/>
      <c r="M90" s="67" t="str">
        <f>'Description Sheet'!K89</f>
        <v>m3</v>
      </c>
      <c r="N90" s="67">
        <f>'Description Sheet'!L89</f>
        <v>0</v>
      </c>
      <c r="O90" s="73">
        <f>'Year (2021-2022)'!O90*(('Description Sheet'!M4)+1)</f>
        <v>11080.800000000001</v>
      </c>
      <c r="P90" s="68">
        <f t="shared" si="37"/>
        <v>0</v>
      </c>
      <c r="Q90" s="14"/>
      <c r="R90" s="44"/>
    </row>
    <row r="91" spans="1:18" hidden="1">
      <c r="A91" s="14"/>
      <c r="B91" s="112">
        <f>'Description Sheet'!B90</f>
        <v>7.22</v>
      </c>
      <c r="C91" s="152" t="str">
        <f>'Description Sheet'!C90</f>
        <v>blank</v>
      </c>
      <c r="D91" s="107"/>
      <c r="E91" s="153" t="str">
        <f>IF('Maintenance Schedule'!H108="x","x","")</f>
        <v/>
      </c>
      <c r="F91" s="153" t="str">
        <f t="shared" si="32"/>
        <v/>
      </c>
      <c r="G91" s="154">
        <f t="shared" si="35"/>
        <v>0</v>
      </c>
      <c r="H91" s="155">
        <f t="shared" si="33"/>
        <v>0</v>
      </c>
      <c r="I91" s="156">
        <f t="shared" si="36"/>
        <v>0</v>
      </c>
      <c r="J91" s="14"/>
      <c r="K91" s="15"/>
      <c r="L91" s="32"/>
      <c r="M91" s="67" t="str">
        <f>'Description Sheet'!K90</f>
        <v>m3</v>
      </c>
      <c r="N91" s="67">
        <f>'Description Sheet'!L90</f>
        <v>0</v>
      </c>
      <c r="O91" s="73">
        <f>'Year (2021-2022)'!O91*(('Description Sheet'!M4)+1)</f>
        <v>0</v>
      </c>
      <c r="P91" s="68">
        <f t="shared" si="37"/>
        <v>0</v>
      </c>
      <c r="Q91" s="14"/>
      <c r="R91" s="44"/>
    </row>
    <row r="92" spans="1:18" ht="17" hidden="1" thickBot="1">
      <c r="A92" s="14"/>
      <c r="B92" s="109"/>
      <c r="C92" s="152"/>
      <c r="D92" s="107"/>
      <c r="E92" s="153"/>
      <c r="F92" s="153" t="str">
        <f>IF(E92="x",M92,"")</f>
        <v/>
      </c>
      <c r="G92" s="154"/>
      <c r="H92" s="155"/>
      <c r="I92" s="156"/>
      <c r="J92" s="14"/>
      <c r="K92" s="15"/>
      <c r="L92" s="32"/>
      <c r="M92" s="70"/>
      <c r="N92" s="67"/>
      <c r="O92" s="73"/>
      <c r="P92" s="68"/>
      <c r="Q92" s="14"/>
      <c r="R92" s="44"/>
    </row>
    <row r="93" spans="1:18" s="4" customFormat="1" ht="15.75" hidden="1" customHeight="1" thickBot="1">
      <c r="A93" s="14"/>
      <c r="B93" s="109"/>
      <c r="C93" s="115"/>
      <c r="D93" s="107"/>
      <c r="E93" s="163"/>
      <c r="F93" s="528" t="s">
        <v>7</v>
      </c>
      <c r="G93" s="529"/>
      <c r="H93" s="530">
        <f>SUM(I70:I92)</f>
        <v>0</v>
      </c>
      <c r="I93" s="531"/>
      <c r="J93" s="14"/>
      <c r="K93" s="15"/>
      <c r="L93" s="33"/>
      <c r="M93" s="508" t="s">
        <v>7</v>
      </c>
      <c r="N93" s="509"/>
      <c r="O93" s="510">
        <f>SUM(P70:P92)</f>
        <v>2377324.9439999997</v>
      </c>
      <c r="P93" s="511"/>
      <c r="Q93" s="14"/>
      <c r="R93" s="31"/>
    </row>
    <row r="94" spans="1:18" ht="18" hidden="1" thickBot="1">
      <c r="A94" s="14"/>
      <c r="B94" s="179" t="s">
        <v>41</v>
      </c>
      <c r="C94" s="113" t="str">
        <f>'Description Sheet'!C93</f>
        <v xml:space="preserve">Waterproofing </v>
      </c>
      <c r="D94" s="107"/>
      <c r="E94" s="110"/>
      <c r="F94" s="110"/>
      <c r="G94" s="110"/>
      <c r="H94" s="110"/>
      <c r="I94" s="151"/>
      <c r="J94" s="32"/>
      <c r="K94" s="40"/>
      <c r="L94" s="33"/>
      <c r="M94" s="24"/>
      <c r="N94" s="25"/>
      <c r="O94" s="25"/>
      <c r="P94" s="63"/>
      <c r="Q94" s="14"/>
      <c r="R94" s="44"/>
    </row>
    <row r="95" spans="1:18" hidden="1">
      <c r="A95" s="14"/>
      <c r="B95" s="112">
        <f>'Description Sheet'!B94</f>
        <v>7.23</v>
      </c>
      <c r="C95" s="152" t="str">
        <f>'Description Sheet'!C94</f>
        <v>Waterproofing of Walkways</v>
      </c>
      <c r="D95" s="107"/>
      <c r="E95" s="153" t="str">
        <f>IF('Maintenance Schedule'!H115="x","x","")</f>
        <v/>
      </c>
      <c r="F95" s="153" t="str">
        <f t="shared" ref="F95:F102" si="38">IF(E95="x","No","")</f>
        <v/>
      </c>
      <c r="G95" s="154">
        <f>IF(E95="x",1,0)</f>
        <v>0</v>
      </c>
      <c r="H95" s="155">
        <f t="shared" ref="H95" si="39">IF(E95="x",P95,0)</f>
        <v>0</v>
      </c>
      <c r="I95" s="156">
        <f>IF(E95="x",G95*H95,0)</f>
        <v>0</v>
      </c>
      <c r="J95" s="14"/>
      <c r="K95" s="15"/>
      <c r="L95" s="32"/>
      <c r="M95" s="86" t="str">
        <f>'Description Sheet'!K94</f>
        <v>m2</v>
      </c>
      <c r="N95" s="67">
        <f>'Description Sheet'!L94</f>
        <v>1</v>
      </c>
      <c r="O95" s="73">
        <f>'Year (2021-2022)'!O95*(('Description Sheet'!M4)+1)</f>
        <v>174846.27600000001</v>
      </c>
      <c r="P95" s="69">
        <f>N95*O95</f>
        <v>174846.27600000001</v>
      </c>
      <c r="Q95" s="14"/>
      <c r="R95" s="44"/>
    </row>
    <row r="96" spans="1:18" hidden="1">
      <c r="A96" s="14"/>
      <c r="B96" s="112">
        <f>'Description Sheet'!B95</f>
        <v>7.24</v>
      </c>
      <c r="C96" s="152" t="str">
        <f>'Description Sheet'!C95</f>
        <v>Roof Repairs (Phase 2)</v>
      </c>
      <c r="D96" s="107"/>
      <c r="E96" s="153" t="str">
        <f>IF('Maintenance Schedule'!H116="x","x","")</f>
        <v/>
      </c>
      <c r="F96" s="153" t="str">
        <f t="shared" si="38"/>
        <v/>
      </c>
      <c r="G96" s="154">
        <f t="shared" ref="G96:G102" si="40">IF(E96="x",1,0)</f>
        <v>0</v>
      </c>
      <c r="H96" s="155">
        <f>IF(E96="x",P96,0)</f>
        <v>0</v>
      </c>
      <c r="I96" s="156">
        <f>IF(E96="x",G96*H96,0)</f>
        <v>0</v>
      </c>
      <c r="J96" s="14"/>
      <c r="K96" s="15"/>
      <c r="L96" s="32"/>
      <c r="M96" s="86" t="str">
        <f>'Description Sheet'!K95</f>
        <v>m2</v>
      </c>
      <c r="N96" s="67">
        <f>'Description Sheet'!L95</f>
        <v>1</v>
      </c>
      <c r="O96" s="73">
        <f>'Year (2021-2022)'!O96*(('Description Sheet'!M4)+1)</f>
        <v>540000</v>
      </c>
      <c r="P96" s="69">
        <f>N96*O96</f>
        <v>540000</v>
      </c>
      <c r="Q96" s="14"/>
      <c r="R96" s="44"/>
    </row>
    <row r="97" spans="1:18" hidden="1">
      <c r="A97" s="14"/>
      <c r="B97" s="112">
        <f>'Description Sheet'!B96</f>
        <v>7.25</v>
      </c>
      <c r="C97" s="152" t="str">
        <f>'Description Sheet'!C96</f>
        <v xml:space="preserve">Flat Roof Service </v>
      </c>
      <c r="D97" s="107"/>
      <c r="E97" s="153" t="str">
        <f>IF('Maintenance Schedule'!H117="x","x","")</f>
        <v/>
      </c>
      <c r="F97" s="153" t="str">
        <f t="shared" si="38"/>
        <v/>
      </c>
      <c r="G97" s="154">
        <f t="shared" si="40"/>
        <v>0</v>
      </c>
      <c r="H97" s="155">
        <f>IF(E97="x",P97,0)</f>
        <v>0</v>
      </c>
      <c r="I97" s="156">
        <f>IF(E97="x",G97*H97,0)</f>
        <v>0</v>
      </c>
      <c r="J97" s="14"/>
      <c r="K97" s="15"/>
      <c r="L97" s="32"/>
      <c r="M97" s="86" t="str">
        <f>'Description Sheet'!K96</f>
        <v>m2</v>
      </c>
      <c r="N97" s="67">
        <f>'Description Sheet'!L96</f>
        <v>895</v>
      </c>
      <c r="O97" s="73">
        <f>'Year (2021-2022)'!O97*(('Description Sheet'!M4)+1)</f>
        <v>70.2</v>
      </c>
      <c r="P97" s="69">
        <f>N97*O97</f>
        <v>62829</v>
      </c>
      <c r="Q97" s="14"/>
      <c r="R97" s="44"/>
    </row>
    <row r="98" spans="1:18" hidden="1">
      <c r="A98" s="14"/>
      <c r="B98" s="112">
        <f>'Description Sheet'!B97</f>
        <v>7.26</v>
      </c>
      <c r="C98" s="152" t="str">
        <f>'Description Sheet'!C97</f>
        <v>Flat Roof Replacement</v>
      </c>
      <c r="D98" s="107"/>
      <c r="E98" s="153" t="str">
        <f>IF('Maintenance Schedule'!H118="x","x","")</f>
        <v/>
      </c>
      <c r="F98" s="153" t="str">
        <f t="shared" si="38"/>
        <v/>
      </c>
      <c r="G98" s="154">
        <f t="shared" si="40"/>
        <v>0</v>
      </c>
      <c r="H98" s="155">
        <f>IF(E98="x",P98,0)</f>
        <v>0</v>
      </c>
      <c r="I98" s="156">
        <f>IF(E98="x",G98*H98,0)</f>
        <v>0</v>
      </c>
      <c r="J98" s="14"/>
      <c r="K98" s="15"/>
      <c r="L98" s="32"/>
      <c r="M98" s="86" t="str">
        <f>'Description Sheet'!K97</f>
        <v>m2</v>
      </c>
      <c r="N98" s="67">
        <f>'Description Sheet'!L97</f>
        <v>1</v>
      </c>
      <c r="O98" s="73">
        <f>'Year (2021-2022)'!O98*(('Description Sheet'!M4)+1)</f>
        <v>698918.76</v>
      </c>
      <c r="P98" s="69">
        <f>N98*O98</f>
        <v>698918.76</v>
      </c>
      <c r="Q98" s="14"/>
      <c r="R98" s="44"/>
    </row>
    <row r="99" spans="1:18" hidden="1">
      <c r="A99" s="14"/>
      <c r="B99" s="112">
        <f>'Description Sheet'!B98</f>
        <v>7.27</v>
      </c>
      <c r="C99" s="152" t="str">
        <f>'Description Sheet'!C98</f>
        <v xml:space="preserve">Walkway and Staircases (Cementitious Waterproofing) </v>
      </c>
      <c r="D99" s="107"/>
      <c r="E99" s="153" t="str">
        <f>IF('Maintenance Schedule'!H119="x","x","")</f>
        <v/>
      </c>
      <c r="F99" s="153" t="str">
        <f t="shared" si="38"/>
        <v/>
      </c>
      <c r="G99" s="154">
        <f t="shared" si="40"/>
        <v>0</v>
      </c>
      <c r="H99" s="155">
        <f>IF(E99="x",P99,0)</f>
        <v>0</v>
      </c>
      <c r="I99" s="156">
        <f>IF(E99="x",G99*H99,0)</f>
        <v>0</v>
      </c>
      <c r="J99" s="14"/>
      <c r="K99" s="15"/>
      <c r="L99" s="32"/>
      <c r="M99" s="86" t="str">
        <f>'Description Sheet'!K98</f>
        <v>m2</v>
      </c>
      <c r="N99" s="67">
        <f>'Description Sheet'!L98</f>
        <v>0</v>
      </c>
      <c r="O99" s="73">
        <f>'Year (2021-2022)'!O99*(('Description Sheet'!M4)+1)</f>
        <v>442.8</v>
      </c>
      <c r="P99" s="69">
        <f>N99*O99</f>
        <v>0</v>
      </c>
      <c r="Q99" s="14"/>
      <c r="R99" s="44"/>
    </row>
    <row r="100" spans="1:18" hidden="1">
      <c r="A100" s="14"/>
      <c r="B100" s="112">
        <f>'Description Sheet'!B99</f>
        <v>7.28</v>
      </c>
      <c r="C100" s="152" t="str">
        <f>'Description Sheet'!C99</f>
        <v>Waterproofing Servicing of Parapets</v>
      </c>
      <c r="D100" s="107"/>
      <c r="E100" s="153" t="str">
        <f>IF('Maintenance Schedule'!H120="x","x","")</f>
        <v/>
      </c>
      <c r="F100" s="153" t="str">
        <f t="shared" si="38"/>
        <v/>
      </c>
      <c r="G100" s="154">
        <f t="shared" si="40"/>
        <v>0</v>
      </c>
      <c r="H100" s="155">
        <f t="shared" ref="H100:H102" si="41">IF(E100="x",P100,0)</f>
        <v>0</v>
      </c>
      <c r="I100" s="156">
        <f t="shared" ref="I100:I102" si="42">IF(E100="x",G100*H100,0)</f>
        <v>0</v>
      </c>
      <c r="J100" s="14"/>
      <c r="K100" s="15"/>
      <c r="L100" s="32"/>
      <c r="M100" s="86" t="str">
        <f>'Description Sheet'!K99</f>
        <v>m2</v>
      </c>
      <c r="N100" s="67">
        <f>'Description Sheet'!L99</f>
        <v>0</v>
      </c>
      <c r="O100" s="73">
        <f>'Year (2021-2022)'!O100*(('Description Sheet'!M4)+1)</f>
        <v>110.16000000000001</v>
      </c>
      <c r="P100" s="69">
        <f t="shared" ref="P100:P102" si="43">N100*O100</f>
        <v>0</v>
      </c>
      <c r="Q100" s="14"/>
      <c r="R100" s="44"/>
    </row>
    <row r="101" spans="1:18" hidden="1">
      <c r="A101" s="14"/>
      <c r="B101" s="112">
        <f>'Description Sheet'!B100</f>
        <v>7.29</v>
      </c>
      <c r="C101" s="152" t="str">
        <f>'Description Sheet'!C100</f>
        <v>blank</v>
      </c>
      <c r="D101" s="107"/>
      <c r="E101" s="153" t="str">
        <f>IF('Maintenance Schedule'!H121="x","x","")</f>
        <v/>
      </c>
      <c r="F101" s="153" t="str">
        <f t="shared" si="38"/>
        <v/>
      </c>
      <c r="G101" s="154">
        <f t="shared" si="40"/>
        <v>0</v>
      </c>
      <c r="H101" s="155">
        <f t="shared" si="41"/>
        <v>0</v>
      </c>
      <c r="I101" s="156">
        <f t="shared" si="42"/>
        <v>0</v>
      </c>
      <c r="J101" s="14"/>
      <c r="K101" s="15"/>
      <c r="L101" s="32"/>
      <c r="M101" s="86" t="str">
        <f>'Description Sheet'!K100</f>
        <v>m2</v>
      </c>
      <c r="N101" s="67">
        <f>'Description Sheet'!L100</f>
        <v>0</v>
      </c>
      <c r="O101" s="73">
        <f>'Year (2021-2022)'!O101*(('Description Sheet'!M4)+1)</f>
        <v>0</v>
      </c>
      <c r="P101" s="69">
        <f t="shared" si="43"/>
        <v>0</v>
      </c>
      <c r="Q101" s="14"/>
      <c r="R101" s="44"/>
    </row>
    <row r="102" spans="1:18" hidden="1">
      <c r="A102" s="14"/>
      <c r="B102" s="112">
        <f>'Description Sheet'!B101</f>
        <v>7.3</v>
      </c>
      <c r="C102" s="152" t="str">
        <f>'Description Sheet'!C101</f>
        <v>blank</v>
      </c>
      <c r="D102" s="107"/>
      <c r="E102" s="153" t="str">
        <f>IF('Maintenance Schedule'!H122="x","x","")</f>
        <v/>
      </c>
      <c r="F102" s="153" t="str">
        <f t="shared" si="38"/>
        <v/>
      </c>
      <c r="G102" s="154">
        <f t="shared" si="40"/>
        <v>0</v>
      </c>
      <c r="H102" s="155">
        <f t="shared" si="41"/>
        <v>0</v>
      </c>
      <c r="I102" s="156">
        <f t="shared" si="42"/>
        <v>0</v>
      </c>
      <c r="J102" s="14"/>
      <c r="K102" s="15"/>
      <c r="L102" s="32"/>
      <c r="M102" s="86" t="str">
        <f>'Description Sheet'!K101</f>
        <v>m2</v>
      </c>
      <c r="N102" s="67">
        <f>'Description Sheet'!L101</f>
        <v>0</v>
      </c>
      <c r="O102" s="73">
        <f>'Year (2021-2022)'!O102*(('Description Sheet'!M4)+1)</f>
        <v>0</v>
      </c>
      <c r="P102" s="69">
        <f t="shared" si="43"/>
        <v>0</v>
      </c>
      <c r="Q102" s="14"/>
      <c r="R102" s="44"/>
    </row>
    <row r="103" spans="1:18" ht="17" hidden="1" thickBot="1">
      <c r="A103" s="14"/>
      <c r="B103" s="109"/>
      <c r="C103" s="152"/>
      <c r="D103" s="107"/>
      <c r="E103" s="153"/>
      <c r="F103" s="154"/>
      <c r="G103" s="154"/>
      <c r="H103" s="155"/>
      <c r="I103" s="156"/>
      <c r="J103" s="14"/>
      <c r="K103" s="15"/>
      <c r="L103" s="32"/>
      <c r="M103" s="70"/>
      <c r="N103" s="67"/>
      <c r="O103" s="68"/>
      <c r="P103" s="69"/>
      <c r="Q103" s="14"/>
      <c r="R103" s="44"/>
    </row>
    <row r="104" spans="1:18" s="4" customFormat="1" ht="15.75" hidden="1" customHeight="1" thickBot="1">
      <c r="A104" s="14"/>
      <c r="B104" s="109"/>
      <c r="C104" s="115"/>
      <c r="D104" s="107"/>
      <c r="E104" s="159"/>
      <c r="F104" s="528" t="s">
        <v>7</v>
      </c>
      <c r="G104" s="529"/>
      <c r="H104" s="530">
        <f>SUM(I95:I102)</f>
        <v>0</v>
      </c>
      <c r="I104" s="531"/>
      <c r="J104" s="14"/>
      <c r="K104" s="15"/>
      <c r="L104" s="33"/>
      <c r="M104" s="508" t="s">
        <v>7</v>
      </c>
      <c r="N104" s="509"/>
      <c r="O104" s="510">
        <f>SUM(P95:P103)</f>
        <v>1476594.0360000001</v>
      </c>
      <c r="P104" s="511"/>
      <c r="Q104" s="14"/>
      <c r="R104" s="31"/>
    </row>
    <row r="105" spans="1:18" ht="17" thickBot="1">
      <c r="A105" s="14"/>
      <c r="B105" s="109">
        <f>'Description Sheet'!B104</f>
        <v>8</v>
      </c>
      <c r="C105" s="113" t="str">
        <f>'Description Sheet'!C104</f>
        <v>Communication and Service Supply Systems</v>
      </c>
      <c r="D105" s="107"/>
      <c r="E105" s="110"/>
      <c r="F105" s="110"/>
      <c r="G105" s="110"/>
      <c r="H105" s="110"/>
      <c r="I105" s="151"/>
      <c r="J105" s="32"/>
      <c r="K105" s="40"/>
      <c r="L105" s="33"/>
      <c r="M105" s="24"/>
      <c r="N105" s="25"/>
      <c r="O105" s="25"/>
      <c r="P105" s="63"/>
      <c r="Q105" s="14"/>
      <c r="R105" s="44"/>
    </row>
    <row r="106" spans="1:18" ht="17" hidden="1">
      <c r="A106" s="14"/>
      <c r="B106" s="109">
        <f>'Description Sheet'!B105</f>
        <v>8.1</v>
      </c>
      <c r="C106" s="164" t="str">
        <f>'Description Sheet'!C105</f>
        <v>Communication Systems (Service &amp; Upgrade Savings)</v>
      </c>
      <c r="D106" s="107"/>
      <c r="E106" s="153" t="str">
        <f>IF('Maintenance Schedule'!H129="x","x","")</f>
        <v/>
      </c>
      <c r="F106" s="153" t="str">
        <f>IF(E106="x","No","")</f>
        <v/>
      </c>
      <c r="G106" s="154">
        <f>IF(E106="x",1,0)</f>
        <v>0</v>
      </c>
      <c r="H106" s="155">
        <f t="shared" ref="H106:H109" si="44">IF(E106="x",P106,0)</f>
        <v>0</v>
      </c>
      <c r="I106" s="156">
        <f>IF(E106="x",G106*H106,0)</f>
        <v>0</v>
      </c>
      <c r="J106" s="14"/>
      <c r="K106" s="15"/>
      <c r="L106" s="32"/>
      <c r="M106" s="67" t="str">
        <f>'Description Sheet'!K105</f>
        <v>No</v>
      </c>
      <c r="N106" s="67">
        <f>'Description Sheet'!L105</f>
        <v>0</v>
      </c>
      <c r="O106" s="73">
        <f>'Year (2021-2022)'!O106*(('Description Sheet'!M4)+1)</f>
        <v>3176.28</v>
      </c>
      <c r="P106" s="69">
        <f>N106*O106</f>
        <v>0</v>
      </c>
      <c r="Q106" s="14"/>
      <c r="R106" s="44"/>
    </row>
    <row r="107" spans="1:18" ht="17">
      <c r="A107" s="14"/>
      <c r="B107" s="109">
        <f>'Description Sheet'!B106</f>
        <v>8.1999999999999993</v>
      </c>
      <c r="C107" s="164" t="str">
        <f>'Description Sheet'!C106</f>
        <v>Intercom Systems (Replacement Maintenance/Savings)</v>
      </c>
      <c r="D107" s="107"/>
      <c r="E107" s="153" t="str">
        <f>IF('Maintenance Schedule'!H130="x","x","")</f>
        <v>x</v>
      </c>
      <c r="F107" s="153" t="str">
        <f t="shared" ref="F107:F109" si="45">IF(E107="x","No","")</f>
        <v>No</v>
      </c>
      <c r="G107" s="154">
        <f t="shared" ref="G107:G109" si="46">IF(E107="x",1,0)</f>
        <v>1</v>
      </c>
      <c r="H107" s="155">
        <f t="shared" si="44"/>
        <v>4447.4400000000005</v>
      </c>
      <c r="I107" s="156">
        <f t="shared" ref="I107:I109" si="47">IF(E107="x",G107*H107,0)</f>
        <v>4447.4400000000005</v>
      </c>
      <c r="J107" s="14"/>
      <c r="K107" s="15"/>
      <c r="L107" s="32"/>
      <c r="M107" s="67" t="str">
        <f>'Description Sheet'!K106</f>
        <v>No</v>
      </c>
      <c r="N107" s="67">
        <f>'Description Sheet'!L106</f>
        <v>1</v>
      </c>
      <c r="O107" s="73">
        <f>'Year (2021-2022)'!O107*(('Description Sheet'!M4)+1)</f>
        <v>4447.4400000000005</v>
      </c>
      <c r="P107" s="69">
        <f t="shared" ref="P107:P109" si="48">N107*O107</f>
        <v>4447.4400000000005</v>
      </c>
      <c r="Q107" s="14"/>
      <c r="R107" s="44"/>
    </row>
    <row r="108" spans="1:18" ht="17" hidden="1">
      <c r="A108" s="14"/>
      <c r="B108" s="109">
        <f>'Description Sheet'!B107</f>
        <v>8.3000000000000007</v>
      </c>
      <c r="C108" s="164" t="str">
        <f>'Description Sheet'!C107</f>
        <v xml:space="preserve">Intercom System Replacement </v>
      </c>
      <c r="D108" s="107"/>
      <c r="E108" s="153" t="str">
        <f>IF('Maintenance Schedule'!H131="x","x","")</f>
        <v/>
      </c>
      <c r="F108" s="153" t="str">
        <f t="shared" si="45"/>
        <v/>
      </c>
      <c r="G108" s="154">
        <f t="shared" si="46"/>
        <v>0</v>
      </c>
      <c r="H108" s="155">
        <f t="shared" si="44"/>
        <v>0</v>
      </c>
      <c r="I108" s="156">
        <f t="shared" si="47"/>
        <v>0</v>
      </c>
      <c r="J108" s="14"/>
      <c r="K108" s="15"/>
      <c r="L108" s="32"/>
      <c r="M108" s="67" t="str">
        <f>'Description Sheet'!K107</f>
        <v>No</v>
      </c>
      <c r="N108" s="67">
        <f>'Description Sheet'!L107</f>
        <v>1</v>
      </c>
      <c r="O108" s="73">
        <f>'Year (2021-2022)'!O108*(('Description Sheet'!M4)+1)</f>
        <v>45360</v>
      </c>
      <c r="P108" s="69">
        <f t="shared" si="48"/>
        <v>45360</v>
      </c>
      <c r="Q108" s="14"/>
      <c r="R108" s="44"/>
    </row>
    <row r="109" spans="1:18" ht="17" hidden="1">
      <c r="A109" s="14"/>
      <c r="B109" s="109">
        <f>'Description Sheet'!B108</f>
        <v>8.4</v>
      </c>
      <c r="C109" s="164" t="str">
        <f>'Description Sheet'!C108</f>
        <v>blank</v>
      </c>
      <c r="D109" s="107"/>
      <c r="E109" s="153" t="str">
        <f>IF('Maintenance Schedule'!H132="x","x","")</f>
        <v/>
      </c>
      <c r="F109" s="153" t="str">
        <f t="shared" si="45"/>
        <v/>
      </c>
      <c r="G109" s="154">
        <f t="shared" si="46"/>
        <v>0</v>
      </c>
      <c r="H109" s="155">
        <f t="shared" si="44"/>
        <v>0</v>
      </c>
      <c r="I109" s="156">
        <f t="shared" si="47"/>
        <v>0</v>
      </c>
      <c r="J109" s="14"/>
      <c r="K109" s="15"/>
      <c r="L109" s="32"/>
      <c r="M109" s="67" t="str">
        <f>'Description Sheet'!K108</f>
        <v>No</v>
      </c>
      <c r="N109" s="67">
        <f>'Description Sheet'!L108</f>
        <v>0</v>
      </c>
      <c r="O109" s="73">
        <f>'Year (2021-2022)'!O109*(('Description Sheet'!M4)+1)</f>
        <v>0</v>
      </c>
      <c r="P109" s="69">
        <f t="shared" si="48"/>
        <v>0</v>
      </c>
      <c r="Q109" s="14"/>
      <c r="R109" s="44"/>
    </row>
    <row r="110" spans="1:18" ht="17" thickBot="1">
      <c r="A110" s="14"/>
      <c r="B110" s="109"/>
      <c r="C110" s="164"/>
      <c r="D110" s="107"/>
      <c r="E110" s="162"/>
      <c r="F110" s="154"/>
      <c r="G110" s="154"/>
      <c r="H110" s="155"/>
      <c r="I110" s="155"/>
      <c r="J110" s="14"/>
      <c r="K110" s="15"/>
      <c r="L110" s="32"/>
      <c r="M110" s="67"/>
      <c r="N110" s="67"/>
      <c r="O110" s="73"/>
      <c r="P110" s="68"/>
      <c r="Q110" s="14"/>
      <c r="R110" s="44"/>
    </row>
    <row r="111" spans="1:18" s="4" customFormat="1" ht="15.75" customHeight="1" thickBot="1">
      <c r="A111" s="14"/>
      <c r="B111" s="109"/>
      <c r="C111" s="158"/>
      <c r="D111" s="107"/>
      <c r="E111" s="159"/>
      <c r="F111" s="528" t="s">
        <v>7</v>
      </c>
      <c r="G111" s="529"/>
      <c r="H111" s="530">
        <f>SUM(I106:I110)</f>
        <v>4447.4400000000005</v>
      </c>
      <c r="I111" s="531"/>
      <c r="J111" s="14"/>
      <c r="K111" s="15"/>
      <c r="L111" s="33"/>
      <c r="M111" s="508" t="s">
        <v>7</v>
      </c>
      <c r="N111" s="509"/>
      <c r="O111" s="510">
        <f>SUM(P106:P110)</f>
        <v>49807.44</v>
      </c>
      <c r="P111" s="511"/>
      <c r="Q111" s="14"/>
      <c r="R111" s="31"/>
    </row>
    <row r="112" spans="1:18" ht="17" hidden="1" thickBot="1">
      <c r="A112" s="14"/>
      <c r="B112" s="109">
        <f>'Description Sheet'!B111</f>
        <v>9</v>
      </c>
      <c r="C112" s="113" t="str">
        <f>'Description Sheet'!C111</f>
        <v>Parking Facilities</v>
      </c>
      <c r="D112" s="107"/>
      <c r="E112" s="110"/>
      <c r="F112" s="110"/>
      <c r="G112" s="110"/>
      <c r="H112" s="110"/>
      <c r="I112" s="151"/>
      <c r="J112" s="32"/>
      <c r="K112" s="40"/>
      <c r="L112" s="33"/>
      <c r="M112" s="24"/>
      <c r="N112" s="25"/>
      <c r="O112" s="25"/>
      <c r="P112" s="63"/>
      <c r="Q112" s="14"/>
      <c r="R112" s="44"/>
    </row>
    <row r="113" spans="1:18" ht="17" hidden="1">
      <c r="A113" s="14"/>
      <c r="B113" s="109">
        <f>'Description Sheet'!B112</f>
        <v>9.1</v>
      </c>
      <c r="C113" s="164" t="str">
        <f>'Description Sheet'!C112</f>
        <v>Painting of Demarcation Lines</v>
      </c>
      <c r="D113" s="107"/>
      <c r="E113" s="153" t="str">
        <f>IF('Maintenance Schedule'!H139="x","x","")</f>
        <v/>
      </c>
      <c r="F113" s="153" t="str">
        <f>IF(E113="x","No","")</f>
        <v/>
      </c>
      <c r="G113" s="154">
        <f>IF(E113="x",1,0)</f>
        <v>0</v>
      </c>
      <c r="H113" s="155">
        <f t="shared" ref="H113:H116" si="49">IF(E113="x",P113,0)</f>
        <v>0</v>
      </c>
      <c r="I113" s="156">
        <f>IF(E113="x",G113*H113,0)</f>
        <v>0</v>
      </c>
      <c r="J113" s="14"/>
      <c r="K113" s="15"/>
      <c r="L113" s="32"/>
      <c r="M113" s="67" t="str">
        <f>'Description Sheet'!K112</f>
        <v>lm</v>
      </c>
      <c r="N113" s="67">
        <f>'Description Sheet'!L112</f>
        <v>1</v>
      </c>
      <c r="O113" s="73">
        <f>'Year (2021-2022)'!O113*(('Description Sheet'!M4)+1)</f>
        <v>7020.0000000000009</v>
      </c>
      <c r="P113" s="68">
        <f>N113*O113</f>
        <v>7020.0000000000009</v>
      </c>
      <c r="Q113" s="14"/>
      <c r="R113" s="44"/>
    </row>
    <row r="114" spans="1:18" ht="17" hidden="1">
      <c r="A114" s="14"/>
      <c r="B114" s="109">
        <f>'Description Sheet'!B113</f>
        <v>9.1999999999999993</v>
      </c>
      <c r="C114" s="164" t="str">
        <f>'Description Sheet'!C113</f>
        <v>Shade Port Netting (Replacement and Maintanance)</v>
      </c>
      <c r="D114" s="107"/>
      <c r="E114" s="153" t="str">
        <f>IF('Maintenance Schedule'!H140="x","x","")</f>
        <v/>
      </c>
      <c r="F114" s="153" t="str">
        <f t="shared" ref="F114:F116" si="50">IF(E114="x","No","")</f>
        <v/>
      </c>
      <c r="G114" s="154">
        <f t="shared" ref="G114:G116" si="51">IF(E114="x",1,0)</f>
        <v>0</v>
      </c>
      <c r="H114" s="155">
        <f t="shared" si="49"/>
        <v>0</v>
      </c>
      <c r="I114" s="156">
        <f t="shared" ref="I114:I116" si="52">IF(E114="x",G114*H114,0)</f>
        <v>0</v>
      </c>
      <c r="J114" s="14"/>
      <c r="K114" s="15"/>
      <c r="L114" s="32"/>
      <c r="M114" s="67" t="str">
        <f>'Description Sheet'!K113</f>
        <v>No</v>
      </c>
      <c r="N114" s="67">
        <f>'Description Sheet'!L113</f>
        <v>0</v>
      </c>
      <c r="O114" s="73">
        <f>'Year (2021-2022)'!O114*(('Description Sheet'!M4)+1)</f>
        <v>8259.84</v>
      </c>
      <c r="P114" s="68">
        <f t="shared" ref="P114:P116" si="53">N114*O114</f>
        <v>0</v>
      </c>
      <c r="Q114" s="14"/>
      <c r="R114" s="44"/>
    </row>
    <row r="115" spans="1:18" ht="17" hidden="1">
      <c r="A115" s="14"/>
      <c r="B115" s="109">
        <f>'Description Sheet'!B114</f>
        <v>9.3000000000000007</v>
      </c>
      <c r="C115" s="164" t="str">
        <f>'Description Sheet'!C114</f>
        <v>Garages (Maintanance)</v>
      </c>
      <c r="D115" s="107"/>
      <c r="E115" s="153" t="str">
        <f>IF('Maintenance Schedule'!H141="x","x","")</f>
        <v/>
      </c>
      <c r="F115" s="153" t="str">
        <f t="shared" si="50"/>
        <v/>
      </c>
      <c r="G115" s="154">
        <f t="shared" si="51"/>
        <v>0</v>
      </c>
      <c r="H115" s="155">
        <f t="shared" si="49"/>
        <v>0</v>
      </c>
      <c r="I115" s="156">
        <f t="shared" si="52"/>
        <v>0</v>
      </c>
      <c r="J115" s="14"/>
      <c r="K115" s="15"/>
      <c r="L115" s="32"/>
      <c r="M115" s="67" t="str">
        <f>'Description Sheet'!K114</f>
        <v>No</v>
      </c>
      <c r="N115" s="67">
        <f>'Description Sheet'!L114</f>
        <v>0</v>
      </c>
      <c r="O115" s="73">
        <f>'Year (2021-2022)'!O115*(('Description Sheet'!M4)+1)</f>
        <v>583.20000000000005</v>
      </c>
      <c r="P115" s="68">
        <f t="shared" si="53"/>
        <v>0</v>
      </c>
      <c r="Q115" s="14"/>
      <c r="R115" s="44"/>
    </row>
    <row r="116" spans="1:18" ht="17" hidden="1">
      <c r="A116" s="14"/>
      <c r="B116" s="109">
        <f>'Description Sheet'!B115</f>
        <v>9.4</v>
      </c>
      <c r="C116" s="164" t="str">
        <f>'Description Sheet'!C115</f>
        <v>Parking Facilities</v>
      </c>
      <c r="D116" s="107"/>
      <c r="E116" s="153" t="str">
        <f>IF('Maintenance Schedule'!H142="x","x","")</f>
        <v/>
      </c>
      <c r="F116" s="153" t="str">
        <f t="shared" si="50"/>
        <v/>
      </c>
      <c r="G116" s="154">
        <f t="shared" si="51"/>
        <v>0</v>
      </c>
      <c r="H116" s="155">
        <f t="shared" si="49"/>
        <v>0</v>
      </c>
      <c r="I116" s="156">
        <f t="shared" si="52"/>
        <v>0</v>
      </c>
      <c r="J116" s="14"/>
      <c r="K116" s="15"/>
      <c r="L116" s="32"/>
      <c r="M116" s="67" t="str">
        <f>'Description Sheet'!K115</f>
        <v>No</v>
      </c>
      <c r="N116" s="67">
        <f>'Description Sheet'!L115</f>
        <v>0</v>
      </c>
      <c r="O116" s="73">
        <f>'Year (2021-2022)'!O116*(('Description Sheet'!M4)+1)</f>
        <v>5248.8</v>
      </c>
      <c r="P116" s="68">
        <f t="shared" si="53"/>
        <v>0</v>
      </c>
      <c r="Q116" s="14"/>
      <c r="R116" s="44"/>
    </row>
    <row r="117" spans="1:18" ht="17" hidden="1" thickBot="1">
      <c r="A117" s="14"/>
      <c r="B117" s="109"/>
      <c r="C117" s="164"/>
      <c r="D117" s="107"/>
      <c r="E117" s="162"/>
      <c r="F117" s="154"/>
      <c r="G117" s="154"/>
      <c r="H117" s="155"/>
      <c r="I117" s="155"/>
      <c r="J117" s="14"/>
      <c r="K117" s="15"/>
      <c r="L117" s="32"/>
      <c r="M117" s="67"/>
      <c r="N117" s="67"/>
      <c r="O117" s="73"/>
      <c r="P117" s="68"/>
      <c r="Q117" s="14"/>
      <c r="R117" s="44"/>
    </row>
    <row r="118" spans="1:18" s="4" customFormat="1" ht="15.75" hidden="1" customHeight="1" thickBot="1">
      <c r="A118" s="14"/>
      <c r="B118" s="109"/>
      <c r="C118" s="158"/>
      <c r="D118" s="107"/>
      <c r="E118" s="159"/>
      <c r="F118" s="528" t="s">
        <v>7</v>
      </c>
      <c r="G118" s="529"/>
      <c r="H118" s="530">
        <f>SUM(I113:I117)</f>
        <v>0</v>
      </c>
      <c r="I118" s="531"/>
      <c r="J118" s="14"/>
      <c r="K118" s="15"/>
      <c r="L118" s="33"/>
      <c r="M118" s="508" t="s">
        <v>7</v>
      </c>
      <c r="N118" s="509"/>
      <c r="O118" s="510">
        <f>SUM(P113:P117)</f>
        <v>7020.0000000000009</v>
      </c>
      <c r="P118" s="511"/>
      <c r="Q118" s="14"/>
      <c r="R118" s="31"/>
    </row>
    <row r="119" spans="1:18" ht="17" hidden="1" thickBot="1">
      <c r="A119" s="14"/>
      <c r="B119" s="109">
        <f>'Description Sheet'!B118</f>
        <v>10</v>
      </c>
      <c r="C119" s="113" t="str">
        <f>'Description Sheet'!C118</f>
        <v>Roadways and Paved Areas</v>
      </c>
      <c r="D119" s="107"/>
      <c r="E119" s="110"/>
      <c r="F119" s="110"/>
      <c r="G119" s="110"/>
      <c r="H119" s="110"/>
      <c r="I119" s="151"/>
      <c r="J119" s="32"/>
      <c r="K119" s="40"/>
      <c r="L119" s="33"/>
      <c r="M119" s="24"/>
      <c r="N119" s="25"/>
      <c r="O119" s="25"/>
      <c r="P119" s="63"/>
      <c r="Q119" s="14"/>
      <c r="R119" s="44"/>
    </row>
    <row r="120" spans="1:18" ht="17" hidden="1">
      <c r="A120" s="14"/>
      <c r="B120" s="109">
        <f>'Description Sheet'!B119</f>
        <v>10.1</v>
      </c>
      <c r="C120" s="114" t="str">
        <f>'Description Sheet'!C119</f>
        <v>Tarmac Areas (Reinstatement)</v>
      </c>
      <c r="D120" s="107"/>
      <c r="E120" s="153" t="str">
        <f>IF('Maintenance Schedule'!H149="x","x","")</f>
        <v/>
      </c>
      <c r="F120" s="153" t="str">
        <f>IF(E120="x","No","")</f>
        <v/>
      </c>
      <c r="G120" s="154">
        <f>IF(E120="x",1,0)</f>
        <v>0</v>
      </c>
      <c r="H120" s="155">
        <f t="shared" ref="H120" si="54">IF(E120="x",P120,0)</f>
        <v>0</v>
      </c>
      <c r="I120" s="156">
        <f>IF(E120="x",G120*H120,0)</f>
        <v>0</v>
      </c>
      <c r="J120" s="14"/>
      <c r="K120" s="15"/>
      <c r="L120" s="32"/>
      <c r="M120" s="67" t="str">
        <f>'Description Sheet'!K119</f>
        <v>No</v>
      </c>
      <c r="N120" s="67">
        <f>'Description Sheet'!L119</f>
        <v>0</v>
      </c>
      <c r="O120" s="73">
        <f>'Year (2021-2022)'!O120*(('Description Sheet'!M4)+1)</f>
        <v>5248.8</v>
      </c>
      <c r="P120" s="68">
        <f>N120*O120</f>
        <v>0</v>
      </c>
      <c r="Q120" s="14"/>
      <c r="R120" s="44"/>
    </row>
    <row r="121" spans="1:18" ht="17" hidden="1">
      <c r="A121" s="14"/>
      <c r="B121" s="109">
        <f>'Description Sheet'!B120</f>
        <v>10.199999999999999</v>
      </c>
      <c r="C121" s="114" t="str">
        <f>'Description Sheet'!C120</f>
        <v>Concrete Areas (Reinstatement)</v>
      </c>
      <c r="D121" s="107"/>
      <c r="E121" s="153" t="str">
        <f>IF('Maintenance Schedule'!H150="x","x","")</f>
        <v/>
      </c>
      <c r="F121" s="153" t="str">
        <f t="shared" ref="F121:F126" si="55">IF(E121="x","No","")</f>
        <v/>
      </c>
      <c r="G121" s="154">
        <f t="shared" ref="G121:G126" si="56">IF(E121="x",1,0)</f>
        <v>0</v>
      </c>
      <c r="H121" s="155">
        <f>IF(E121="x",P121,0)</f>
        <v>0</v>
      </c>
      <c r="I121" s="156">
        <f>IF(E121="x",G121*H121,0)</f>
        <v>0</v>
      </c>
      <c r="J121" s="14"/>
      <c r="K121" s="15"/>
      <c r="L121" s="32"/>
      <c r="M121" s="67" t="str">
        <f>'Description Sheet'!K120</f>
        <v>No</v>
      </c>
      <c r="N121" s="67">
        <f>'Description Sheet'!L120</f>
        <v>1</v>
      </c>
      <c r="O121" s="73">
        <f>'Year (2021-2022)'!O121*(('Description Sheet'!M4)+1)</f>
        <v>2541.2400000000002</v>
      </c>
      <c r="P121" s="68">
        <f>N121*O121</f>
        <v>2541.2400000000002</v>
      </c>
      <c r="Q121" s="14"/>
      <c r="R121" s="44"/>
    </row>
    <row r="122" spans="1:18" ht="17" hidden="1">
      <c r="A122" s="14"/>
      <c r="B122" s="109">
        <f>'Description Sheet'!B121</f>
        <v>10.3</v>
      </c>
      <c r="C122" s="114" t="str">
        <f>'Description Sheet'!C121</f>
        <v>Paving  Areas (Reinstatement)</v>
      </c>
      <c r="D122" s="107"/>
      <c r="E122" s="153" t="str">
        <f>IF('Maintenance Schedule'!H151="x","x","")</f>
        <v/>
      </c>
      <c r="F122" s="153" t="str">
        <f t="shared" si="55"/>
        <v/>
      </c>
      <c r="G122" s="154">
        <f t="shared" si="56"/>
        <v>0</v>
      </c>
      <c r="H122" s="155">
        <f>IF(E122="x",P122,0)</f>
        <v>0</v>
      </c>
      <c r="I122" s="156">
        <f>IF(E122="x",G122*H122,0)</f>
        <v>0</v>
      </c>
      <c r="J122" s="14"/>
      <c r="K122" s="15"/>
      <c r="L122" s="32"/>
      <c r="M122" s="67" t="str">
        <f>'Description Sheet'!K121</f>
        <v>No</v>
      </c>
      <c r="N122" s="67">
        <f>'Description Sheet'!L121</f>
        <v>1</v>
      </c>
      <c r="O122" s="73">
        <f>'Year (2021-2022)'!O122*(('Description Sheet'!M4)+1)</f>
        <v>2541.2400000000002</v>
      </c>
      <c r="P122" s="68">
        <f>N122*O122</f>
        <v>2541.2400000000002</v>
      </c>
      <c r="Q122" s="14"/>
      <c r="R122" s="44"/>
    </row>
    <row r="123" spans="1:18" ht="17" hidden="1">
      <c r="A123" s="14"/>
      <c r="B123" s="109">
        <f>'Description Sheet'!B122</f>
        <v>10.4</v>
      </c>
      <c r="C123" s="114" t="str">
        <f>'Description Sheet'!C122</f>
        <v>Reinstatement of Walkways (Grouting and Tiles)</v>
      </c>
      <c r="D123" s="107"/>
      <c r="E123" s="153" t="str">
        <f>IF('Maintenance Schedule'!H152="x","x","")</f>
        <v/>
      </c>
      <c r="F123" s="153" t="str">
        <f t="shared" si="55"/>
        <v/>
      </c>
      <c r="G123" s="154">
        <f t="shared" si="56"/>
        <v>0</v>
      </c>
      <c r="H123" s="155">
        <f>IF(E123="x",P123,0)</f>
        <v>0</v>
      </c>
      <c r="I123" s="156">
        <f>IF(E123="x",G123*H123,0)</f>
        <v>0</v>
      </c>
      <c r="J123" s="14"/>
      <c r="K123" s="15"/>
      <c r="L123" s="32"/>
      <c r="M123" s="67" t="str">
        <f>'Description Sheet'!K122</f>
        <v>No</v>
      </c>
      <c r="N123" s="67">
        <f>'Description Sheet'!L122</f>
        <v>1</v>
      </c>
      <c r="O123" s="73">
        <f>'Year (2021-2022)'!O123*(('Description Sheet'!M4)+1)</f>
        <v>2541.2400000000002</v>
      </c>
      <c r="P123" s="68">
        <f>N123*O123</f>
        <v>2541.2400000000002</v>
      </c>
      <c r="Q123" s="14"/>
      <c r="R123" s="44"/>
    </row>
    <row r="124" spans="1:18" ht="17" hidden="1">
      <c r="A124" s="14"/>
      <c r="B124" s="109">
        <f>'Description Sheet'!B123</f>
        <v>10.5</v>
      </c>
      <c r="C124" s="114" t="str">
        <f>'Description Sheet'!C123</f>
        <v>Tarmac Damaged Areas (Replacement)</v>
      </c>
      <c r="D124" s="107"/>
      <c r="E124" s="153" t="str">
        <f>IF('Maintenance Schedule'!H153="x","x","")</f>
        <v/>
      </c>
      <c r="F124" s="153" t="str">
        <f t="shared" si="55"/>
        <v/>
      </c>
      <c r="G124" s="154">
        <f t="shared" si="56"/>
        <v>0</v>
      </c>
      <c r="H124" s="155">
        <f t="shared" ref="H124:H126" si="57">IF(E124="x",P124,0)</f>
        <v>0</v>
      </c>
      <c r="I124" s="156">
        <f t="shared" ref="I124:I126" si="58">IF(E124="x",G124*H124,0)</f>
        <v>0</v>
      </c>
      <c r="J124" s="14"/>
      <c r="K124" s="15"/>
      <c r="L124" s="32"/>
      <c r="M124" s="67" t="str">
        <f>'Description Sheet'!K123</f>
        <v>No</v>
      </c>
      <c r="N124" s="67">
        <f>'Description Sheet'!L123</f>
        <v>0</v>
      </c>
      <c r="O124" s="73">
        <f>'Year (2021-2022)'!O124*(('Description Sheet'!M4)+1)</f>
        <v>0</v>
      </c>
      <c r="P124" s="68">
        <f t="shared" ref="P124:P126" si="59">N124*O124</f>
        <v>0</v>
      </c>
      <c r="Q124" s="14"/>
      <c r="R124" s="44"/>
    </row>
    <row r="125" spans="1:18" ht="17" hidden="1">
      <c r="A125" s="14"/>
      <c r="B125" s="109">
        <f>'Description Sheet'!B124</f>
        <v>10.6</v>
      </c>
      <c r="C125" s="114" t="str">
        <f>'Description Sheet'!C124</f>
        <v>blank</v>
      </c>
      <c r="D125" s="107"/>
      <c r="E125" s="153" t="str">
        <f>IF('Maintenance Schedule'!H154="x","x","")</f>
        <v/>
      </c>
      <c r="F125" s="153" t="str">
        <f t="shared" si="55"/>
        <v/>
      </c>
      <c r="G125" s="154">
        <f t="shared" si="56"/>
        <v>0</v>
      </c>
      <c r="H125" s="155">
        <f t="shared" si="57"/>
        <v>0</v>
      </c>
      <c r="I125" s="156">
        <f t="shared" si="58"/>
        <v>0</v>
      </c>
      <c r="J125" s="14"/>
      <c r="K125" s="15"/>
      <c r="L125" s="32"/>
      <c r="M125" s="67" t="str">
        <f>'Description Sheet'!K124</f>
        <v>No</v>
      </c>
      <c r="N125" s="67">
        <f>'Description Sheet'!L124</f>
        <v>0</v>
      </c>
      <c r="O125" s="73">
        <f>'Year (2021-2022)'!O125*(('Description Sheet'!M4)+1)</f>
        <v>0</v>
      </c>
      <c r="P125" s="68">
        <f t="shared" si="59"/>
        <v>0</v>
      </c>
      <c r="Q125" s="14"/>
      <c r="R125" s="44"/>
    </row>
    <row r="126" spans="1:18" ht="17" hidden="1">
      <c r="A126" s="14"/>
      <c r="B126" s="109">
        <f>'Description Sheet'!B125</f>
        <v>10.7</v>
      </c>
      <c r="C126" s="114" t="str">
        <f>'Description Sheet'!C125</f>
        <v>blank</v>
      </c>
      <c r="D126" s="107"/>
      <c r="E126" s="153" t="str">
        <f>IF('Maintenance Schedule'!H155="x","x","")</f>
        <v/>
      </c>
      <c r="F126" s="153" t="str">
        <f t="shared" si="55"/>
        <v/>
      </c>
      <c r="G126" s="154">
        <f t="shared" si="56"/>
        <v>0</v>
      </c>
      <c r="H126" s="155">
        <f t="shared" si="57"/>
        <v>0</v>
      </c>
      <c r="I126" s="156">
        <f t="shared" si="58"/>
        <v>0</v>
      </c>
      <c r="J126" s="14"/>
      <c r="K126" s="15"/>
      <c r="L126" s="32"/>
      <c r="M126" s="67" t="str">
        <f>'Description Sheet'!K125</f>
        <v>No</v>
      </c>
      <c r="N126" s="67">
        <f>'Description Sheet'!L125</f>
        <v>0</v>
      </c>
      <c r="O126" s="73">
        <f>'Year (2021-2022)'!O126*(('Description Sheet'!M4)+1)</f>
        <v>0</v>
      </c>
      <c r="P126" s="68">
        <f t="shared" si="59"/>
        <v>0</v>
      </c>
      <c r="Q126" s="14"/>
      <c r="R126" s="44"/>
    </row>
    <row r="127" spans="1:18" ht="17" hidden="1" thickBot="1">
      <c r="A127" s="14"/>
      <c r="B127" s="109"/>
      <c r="C127" s="164"/>
      <c r="D127" s="107"/>
      <c r="E127" s="162"/>
      <c r="F127" s="154"/>
      <c r="G127" s="154"/>
      <c r="H127" s="155"/>
      <c r="I127" s="155"/>
      <c r="J127" s="14"/>
      <c r="K127" s="15"/>
      <c r="L127" s="32"/>
      <c r="M127" s="67"/>
      <c r="N127" s="67"/>
      <c r="O127" s="73"/>
      <c r="P127" s="68"/>
      <c r="Q127" s="14"/>
      <c r="R127" s="44"/>
    </row>
    <row r="128" spans="1:18" s="4" customFormat="1" ht="15.75" hidden="1" customHeight="1" thickBot="1">
      <c r="A128" s="14"/>
      <c r="B128" s="109"/>
      <c r="C128" s="165"/>
      <c r="D128" s="107"/>
      <c r="E128" s="159"/>
      <c r="F128" s="528" t="s">
        <v>7</v>
      </c>
      <c r="G128" s="529"/>
      <c r="H128" s="530">
        <f>SUM(I120:I127)</f>
        <v>0</v>
      </c>
      <c r="I128" s="531"/>
      <c r="J128" s="14"/>
      <c r="K128" s="15"/>
      <c r="L128" s="33"/>
      <c r="M128" s="508" t="s">
        <v>7</v>
      </c>
      <c r="N128" s="509"/>
      <c r="O128" s="510">
        <f>SUM(P120:P127)</f>
        <v>7623.7200000000012</v>
      </c>
      <c r="P128" s="511"/>
      <c r="Q128" s="14"/>
      <c r="R128" s="31"/>
    </row>
    <row r="129" spans="1:23" ht="17" thickBot="1">
      <c r="A129" s="14"/>
      <c r="B129" s="109">
        <f>'Description Sheet'!B128</f>
        <v>11</v>
      </c>
      <c r="C129" s="113" t="str">
        <f>'Description Sheet'!C128</f>
        <v>Security Systems and Facilities</v>
      </c>
      <c r="D129" s="107"/>
      <c r="E129" s="110"/>
      <c r="F129" s="110"/>
      <c r="G129" s="110"/>
      <c r="H129" s="110"/>
      <c r="I129" s="151"/>
      <c r="J129" s="32"/>
      <c r="K129" s="40"/>
      <c r="L129" s="33"/>
      <c r="M129" s="24"/>
      <c r="N129" s="25"/>
      <c r="O129" s="25"/>
      <c r="P129" s="63"/>
      <c r="Q129" s="14"/>
      <c r="R129" s="44"/>
    </row>
    <row r="130" spans="1:23" ht="17">
      <c r="A130" s="14"/>
      <c r="B130" s="109">
        <f>'Description Sheet'!B129</f>
        <v>11.1</v>
      </c>
      <c r="C130" s="164" t="str">
        <f>'Description Sheet'!C129</f>
        <v>Security Equipment (Replacement/Upgrade Savings)</v>
      </c>
      <c r="D130" s="107"/>
      <c r="E130" s="153" t="str">
        <f>IF('Maintenance Schedule'!H162="x","x","")</f>
        <v>x</v>
      </c>
      <c r="F130" s="153" t="str">
        <f>IF(E130="x","No","")</f>
        <v>No</v>
      </c>
      <c r="G130" s="154">
        <f>IF(E130="x",1,0)</f>
        <v>1</v>
      </c>
      <c r="H130" s="155">
        <f t="shared" ref="H130:H133" si="60">IF(E130="x",P130,0)</f>
        <v>7020.0000000000009</v>
      </c>
      <c r="I130" s="156">
        <f>IF(E130="x",G130*H130,0)</f>
        <v>7020.0000000000009</v>
      </c>
      <c r="J130" s="14"/>
      <c r="K130" s="15"/>
      <c r="L130" s="32"/>
      <c r="M130" s="67" t="str">
        <f>'Description Sheet'!K129</f>
        <v>No</v>
      </c>
      <c r="N130" s="67">
        <f>'Description Sheet'!L129</f>
        <v>1</v>
      </c>
      <c r="O130" s="73">
        <f>'Year (2021-2022)'!O130*(('Description Sheet'!M4)+1)</f>
        <v>7020.0000000000009</v>
      </c>
      <c r="P130" s="68">
        <f>N130*O130</f>
        <v>7020.0000000000009</v>
      </c>
      <c r="Q130" s="14"/>
      <c r="R130" s="44"/>
    </row>
    <row r="131" spans="1:23" ht="17" hidden="1">
      <c r="A131" s="14"/>
      <c r="B131" s="109">
        <f>'Description Sheet'!B130</f>
        <v>11.2</v>
      </c>
      <c r="C131" s="164" t="str">
        <f>'Description Sheet'!C130</f>
        <v>CCTV Installation</v>
      </c>
      <c r="D131" s="107"/>
      <c r="E131" s="153" t="str">
        <f>IF('Maintenance Schedule'!H163="x","x","")</f>
        <v/>
      </c>
      <c r="F131" s="153" t="str">
        <f t="shared" ref="F131:F133" si="61">IF(E131="x","No","")</f>
        <v/>
      </c>
      <c r="G131" s="154">
        <f t="shared" ref="G131:G133" si="62">IF(E131="x",1,0)</f>
        <v>0</v>
      </c>
      <c r="H131" s="155">
        <f t="shared" si="60"/>
        <v>0</v>
      </c>
      <c r="I131" s="156">
        <f t="shared" ref="I131:I133" si="63">IF(E131="x",G131*H131,0)</f>
        <v>0</v>
      </c>
      <c r="J131" s="14"/>
      <c r="K131" s="15"/>
      <c r="L131" s="32"/>
      <c r="M131" s="67" t="str">
        <f>'Description Sheet'!K130</f>
        <v>No</v>
      </c>
      <c r="N131" s="67">
        <f>'Description Sheet'!L130</f>
        <v>1</v>
      </c>
      <c r="O131" s="73">
        <f>'Year (2021-2022)'!O131*(('Description Sheet'!M4)+1)</f>
        <v>45360</v>
      </c>
      <c r="P131" s="68">
        <f t="shared" ref="P131:P133" si="64">N131*O131</f>
        <v>45360</v>
      </c>
      <c r="Q131" s="14"/>
      <c r="R131" s="44"/>
    </row>
    <row r="132" spans="1:23" ht="17" hidden="1">
      <c r="A132" s="14"/>
      <c r="B132" s="109">
        <f>'Description Sheet'!B131</f>
        <v>11.3</v>
      </c>
      <c r="C132" s="164" t="str">
        <f>'Description Sheet'!C131</f>
        <v>blank</v>
      </c>
      <c r="D132" s="107"/>
      <c r="E132" s="153" t="str">
        <f>IF('Maintenance Schedule'!H164="x","x","")</f>
        <v/>
      </c>
      <c r="F132" s="153" t="str">
        <f t="shared" si="61"/>
        <v/>
      </c>
      <c r="G132" s="154">
        <f t="shared" si="62"/>
        <v>0</v>
      </c>
      <c r="H132" s="155">
        <f t="shared" si="60"/>
        <v>0</v>
      </c>
      <c r="I132" s="156">
        <f t="shared" si="63"/>
        <v>0</v>
      </c>
      <c r="J132" s="14"/>
      <c r="K132" s="15"/>
      <c r="L132" s="32"/>
      <c r="M132" s="67" t="str">
        <f>'Description Sheet'!K131</f>
        <v>No</v>
      </c>
      <c r="N132" s="67">
        <f>'Description Sheet'!L131</f>
        <v>0</v>
      </c>
      <c r="O132" s="73">
        <f>'Year (2021-2022)'!O132*(('Description Sheet'!M4)+1)</f>
        <v>0</v>
      </c>
      <c r="P132" s="68">
        <f t="shared" si="64"/>
        <v>0</v>
      </c>
      <c r="Q132" s="14"/>
      <c r="R132" s="44"/>
    </row>
    <row r="133" spans="1:23" ht="17" hidden="1">
      <c r="A133" s="14"/>
      <c r="B133" s="109">
        <f>'Description Sheet'!B132</f>
        <v>11.4</v>
      </c>
      <c r="C133" s="164" t="str">
        <f>'Description Sheet'!C132</f>
        <v>blank</v>
      </c>
      <c r="D133" s="107"/>
      <c r="E133" s="153" t="str">
        <f>IF('Maintenance Schedule'!H165="x","x","")</f>
        <v/>
      </c>
      <c r="F133" s="153" t="str">
        <f t="shared" si="61"/>
        <v/>
      </c>
      <c r="G133" s="154">
        <f t="shared" si="62"/>
        <v>0</v>
      </c>
      <c r="H133" s="155">
        <f t="shared" si="60"/>
        <v>0</v>
      </c>
      <c r="I133" s="156">
        <f t="shared" si="63"/>
        <v>0</v>
      </c>
      <c r="J133" s="14"/>
      <c r="K133" s="15"/>
      <c r="L133" s="32"/>
      <c r="M133" s="67" t="str">
        <f>'Description Sheet'!K132</f>
        <v>No</v>
      </c>
      <c r="N133" s="67">
        <f>'Description Sheet'!L132</f>
        <v>0</v>
      </c>
      <c r="O133" s="73">
        <f>'Year (2021-2022)'!O133*(('Description Sheet'!M4)+1)</f>
        <v>0</v>
      </c>
      <c r="P133" s="68">
        <f t="shared" si="64"/>
        <v>0</v>
      </c>
      <c r="Q133" s="14"/>
      <c r="R133" s="44"/>
    </row>
    <row r="134" spans="1:23" ht="17" thickBot="1">
      <c r="A134" s="14"/>
      <c r="B134" s="109"/>
      <c r="C134" s="164"/>
      <c r="D134" s="107"/>
      <c r="E134" s="162"/>
      <c r="F134" s="154"/>
      <c r="G134" s="154"/>
      <c r="H134" s="155"/>
      <c r="I134" s="155"/>
      <c r="J134" s="14"/>
      <c r="K134" s="15"/>
      <c r="L134" s="32"/>
      <c r="M134" s="67"/>
      <c r="N134" s="67"/>
      <c r="O134" s="73"/>
      <c r="P134" s="68"/>
      <c r="Q134" s="14"/>
      <c r="R134" s="44"/>
    </row>
    <row r="135" spans="1:23" s="4" customFormat="1" ht="15.75" customHeight="1" thickBot="1">
      <c r="A135" s="14"/>
      <c r="B135" s="109"/>
      <c r="C135" s="158"/>
      <c r="D135" s="107"/>
      <c r="E135" s="159"/>
      <c r="F135" s="528" t="s">
        <v>7</v>
      </c>
      <c r="G135" s="529"/>
      <c r="H135" s="530">
        <f>SUM(I130:I134)</f>
        <v>7020.0000000000009</v>
      </c>
      <c r="I135" s="531"/>
      <c r="J135" s="14"/>
      <c r="K135" s="15"/>
      <c r="L135" s="33"/>
      <c r="M135" s="508" t="s">
        <v>7</v>
      </c>
      <c r="N135" s="509"/>
      <c r="O135" s="510">
        <f>SUM(P130:P134)</f>
        <v>52380</v>
      </c>
      <c r="P135" s="511"/>
      <c r="Q135" s="14"/>
      <c r="R135" s="31"/>
    </row>
    <row r="136" spans="1:23" ht="17" thickBot="1">
      <c r="A136" s="14"/>
      <c r="B136" s="109">
        <f>'Description Sheet'!B135</f>
        <v>12</v>
      </c>
      <c r="C136" s="113" t="str">
        <f>'Description Sheet'!C135</f>
        <v>Community and Recreational Facilities</v>
      </c>
      <c r="D136" s="107"/>
      <c r="E136" s="110"/>
      <c r="F136" s="110"/>
      <c r="G136" s="110"/>
      <c r="H136" s="110"/>
      <c r="I136" s="151"/>
      <c r="J136" s="32"/>
      <c r="K136" s="40"/>
      <c r="L136" s="33"/>
      <c r="M136" s="24"/>
      <c r="N136" s="25"/>
      <c r="O136" s="25"/>
      <c r="P136" s="63"/>
      <c r="Q136" s="14"/>
      <c r="R136" s="44"/>
    </row>
    <row r="137" spans="1:23">
      <c r="A137" s="14"/>
      <c r="B137" s="109">
        <f>'Description Sheet'!B136</f>
        <v>12.1</v>
      </c>
      <c r="C137" s="111" t="str">
        <f>'Description Sheet'!C136</f>
        <v>Fire Equipment and Signage (Replace)</v>
      </c>
      <c r="D137" s="107"/>
      <c r="E137" s="153" t="str">
        <f>IF('Maintenance Schedule'!H172="x","x","")</f>
        <v>x</v>
      </c>
      <c r="F137" s="153" t="str">
        <f>IF(E137="x","No","")</f>
        <v>No</v>
      </c>
      <c r="G137" s="154">
        <f>IF(E137="x",1,0)</f>
        <v>1</v>
      </c>
      <c r="H137" s="155">
        <f>IF(E137="x",P137,0)</f>
        <v>3240</v>
      </c>
      <c r="I137" s="156">
        <f>IF(E137="x",G137*H137,0)</f>
        <v>3240</v>
      </c>
      <c r="J137" s="14"/>
      <c r="K137" s="15"/>
      <c r="L137" s="32"/>
      <c r="M137" s="67" t="str">
        <f>'Description Sheet'!K136</f>
        <v>No</v>
      </c>
      <c r="N137" s="67">
        <f>'Description Sheet'!L136</f>
        <v>1</v>
      </c>
      <c r="O137" s="73">
        <f>'Year (2021-2022)'!O137*(('Description Sheet'!M4)+1)</f>
        <v>3240</v>
      </c>
      <c r="P137" s="68">
        <f>N137*O137</f>
        <v>3240</v>
      </c>
      <c r="Q137" s="14"/>
      <c r="R137" s="44"/>
      <c r="W137" s="1"/>
    </row>
    <row r="138" spans="1:23" hidden="1">
      <c r="A138" s="14"/>
      <c r="B138" s="109">
        <f>'Description Sheet'!B137</f>
        <v>12.2</v>
      </c>
      <c r="C138" s="111" t="str">
        <f>'Description Sheet'!C137</f>
        <v>Communal Areas (Pool, Gym Areas, ablutions etc Upgrade/Replacment of Fixtures &amp; Equipment)</v>
      </c>
      <c r="D138" s="107"/>
      <c r="E138" s="153" t="str">
        <f>IF('Maintenance Schedule'!H173="x","x","")</f>
        <v/>
      </c>
      <c r="F138" s="153" t="str">
        <f t="shared" ref="F138:F144" si="65">IF(E138="x","No","")</f>
        <v/>
      </c>
      <c r="G138" s="154">
        <f t="shared" ref="G138:G144" si="66">IF(E138="x",1,0)</f>
        <v>0</v>
      </c>
      <c r="H138" s="155">
        <f>IF(E138="x",P138,0)</f>
        <v>0</v>
      </c>
      <c r="I138" s="156">
        <f>IF(E138="x",G138*H138,0)</f>
        <v>0</v>
      </c>
      <c r="J138" s="14"/>
      <c r="K138" s="15"/>
      <c r="L138" s="32"/>
      <c r="M138" s="67" t="str">
        <f>'Description Sheet'!K137</f>
        <v>No</v>
      </c>
      <c r="N138" s="67">
        <f>'Description Sheet'!L137</f>
        <v>0</v>
      </c>
      <c r="O138" s="73">
        <f>'Year (2021-2022)'!O138*(('Description Sheet'!M4)+1)</f>
        <v>8259.84</v>
      </c>
      <c r="P138" s="68">
        <f>N138*O138</f>
        <v>0</v>
      </c>
      <c r="Q138" s="14"/>
      <c r="R138" s="44"/>
    </row>
    <row r="139" spans="1:23" hidden="1">
      <c r="A139" s="14"/>
      <c r="B139" s="109">
        <f>'Description Sheet'!B138</f>
        <v>12.3</v>
      </c>
      <c r="C139" s="111" t="str">
        <f>'Description Sheet'!C138</f>
        <v>Laundry Room (Maintain/Replace)</v>
      </c>
      <c r="D139" s="107"/>
      <c r="E139" s="153" t="str">
        <f>IF('Maintenance Schedule'!H174="x","x","")</f>
        <v/>
      </c>
      <c r="F139" s="153" t="str">
        <f t="shared" si="65"/>
        <v/>
      </c>
      <c r="G139" s="154">
        <f t="shared" si="66"/>
        <v>0</v>
      </c>
      <c r="H139" s="155">
        <f>IF(E139="x",P139,0)</f>
        <v>0</v>
      </c>
      <c r="I139" s="156">
        <f>IF(E139="x",G139*H139,0)</f>
        <v>0</v>
      </c>
      <c r="J139" s="14"/>
      <c r="K139" s="15"/>
      <c r="L139" s="32"/>
      <c r="M139" s="67" t="str">
        <f>'Description Sheet'!K138</f>
        <v>lm</v>
      </c>
      <c r="N139" s="67">
        <f>'Description Sheet'!L138</f>
        <v>0</v>
      </c>
      <c r="O139" s="73">
        <f>'Year (2021-2022)'!O139*(('Description Sheet'!M4)+1)</f>
        <v>3176.28</v>
      </c>
      <c r="P139" s="68">
        <f>N139*O139</f>
        <v>0</v>
      </c>
      <c r="Q139" s="14"/>
      <c r="R139" s="44"/>
    </row>
    <row r="140" spans="1:23" hidden="1">
      <c r="A140" s="14"/>
      <c r="B140" s="109">
        <f>'Description Sheet'!B139</f>
        <v>12.4</v>
      </c>
      <c r="C140" s="111" t="str">
        <f>'Description Sheet'!C139</f>
        <v>Bin Room</v>
      </c>
      <c r="D140" s="107"/>
      <c r="E140" s="153" t="str">
        <f>IF('Maintenance Schedule'!H175="x","x","")</f>
        <v/>
      </c>
      <c r="F140" s="153" t="str">
        <f t="shared" si="65"/>
        <v/>
      </c>
      <c r="G140" s="154">
        <f t="shared" si="66"/>
        <v>0</v>
      </c>
      <c r="H140" s="155">
        <f>IF(E140="x",P140,0)</f>
        <v>0</v>
      </c>
      <c r="I140" s="156">
        <f>IF(E140="x",G140*H140,0)</f>
        <v>0</v>
      </c>
      <c r="J140" s="14"/>
      <c r="K140" s="15"/>
      <c r="L140" s="32"/>
      <c r="M140" s="67" t="str">
        <f>'Description Sheet'!K139</f>
        <v>No</v>
      </c>
      <c r="N140" s="67">
        <f>'Description Sheet'!L139</f>
        <v>0</v>
      </c>
      <c r="O140" s="73">
        <f>'Year (2021-2022)'!O140*(('Description Sheet'!M4)+1)</f>
        <v>4082.4</v>
      </c>
      <c r="P140" s="68">
        <f>N140*O140</f>
        <v>0</v>
      </c>
      <c r="Q140" s="14"/>
      <c r="R140" s="44"/>
    </row>
    <row r="141" spans="1:23" hidden="1">
      <c r="A141" s="14"/>
      <c r="B141" s="109">
        <f>'Description Sheet'!B140</f>
        <v>12.5</v>
      </c>
      <c r="C141" s="111" t="str">
        <f>'Description Sheet'!C140</f>
        <v>Pool Area (Re-Surfacing)</v>
      </c>
      <c r="D141" s="107"/>
      <c r="E141" s="153" t="str">
        <f>IF('Maintenance Schedule'!H176="x","x","")</f>
        <v/>
      </c>
      <c r="F141" s="153" t="str">
        <f t="shared" si="65"/>
        <v/>
      </c>
      <c r="G141" s="154">
        <f t="shared" si="66"/>
        <v>0</v>
      </c>
      <c r="H141" s="155">
        <f>IF(E141="x",P141,0)</f>
        <v>0</v>
      </c>
      <c r="I141" s="156">
        <f>IF(E141="x",G141*H141,0)</f>
        <v>0</v>
      </c>
      <c r="J141" s="14"/>
      <c r="K141" s="15"/>
      <c r="L141" s="32"/>
      <c r="M141" s="67" t="str">
        <f>'Description Sheet'!K140</f>
        <v>No</v>
      </c>
      <c r="N141" s="67">
        <f>'Description Sheet'!L140</f>
        <v>0</v>
      </c>
      <c r="O141" s="73">
        <f>'Year (2021-2022)'!O141*(('Description Sheet'!M4)+1)</f>
        <v>18230.400000000001</v>
      </c>
      <c r="P141" s="68">
        <f>N141*O141</f>
        <v>0</v>
      </c>
      <c r="Q141" s="14"/>
      <c r="R141" s="44"/>
    </row>
    <row r="142" spans="1:23" hidden="1">
      <c r="A142" s="14"/>
      <c r="B142" s="109">
        <f>'Description Sheet'!B141</f>
        <v>12.6</v>
      </c>
      <c r="C142" s="111" t="str">
        <f>'Description Sheet'!C141</f>
        <v>Pool Area (Maintenance/Repairs Savings)</v>
      </c>
      <c r="D142" s="107"/>
      <c r="E142" s="153" t="str">
        <f>IF('Maintenance Schedule'!H177="x","x","")</f>
        <v/>
      </c>
      <c r="F142" s="153" t="str">
        <f t="shared" si="65"/>
        <v/>
      </c>
      <c r="G142" s="154">
        <f t="shared" si="66"/>
        <v>0</v>
      </c>
      <c r="H142" s="155">
        <f t="shared" ref="H142:H144" si="67">IF(E142="x",P142,0)</f>
        <v>0</v>
      </c>
      <c r="I142" s="156">
        <f t="shared" ref="I142:I144" si="68">IF(E142="x",G142*H142,0)</f>
        <v>0</v>
      </c>
      <c r="J142" s="14"/>
      <c r="K142" s="15"/>
      <c r="L142" s="32"/>
      <c r="M142" s="67" t="str">
        <f>'Description Sheet'!K141</f>
        <v>No</v>
      </c>
      <c r="N142" s="67">
        <f>'Description Sheet'!L141</f>
        <v>0</v>
      </c>
      <c r="O142" s="73">
        <f>'Year (2021-2022)'!O142*(('Description Sheet'!M4)+1)</f>
        <v>3974.4</v>
      </c>
      <c r="P142" s="68">
        <f t="shared" ref="P142:P144" si="69">N142*O142</f>
        <v>0</v>
      </c>
      <c r="Q142" s="14"/>
      <c r="R142" s="44"/>
    </row>
    <row r="143" spans="1:23" hidden="1">
      <c r="A143" s="14"/>
      <c r="B143" s="109">
        <f>'Description Sheet'!B142</f>
        <v>12.7</v>
      </c>
      <c r="C143" s="111" t="str">
        <f>'Description Sheet'!C142</f>
        <v>blank</v>
      </c>
      <c r="D143" s="107"/>
      <c r="E143" s="153" t="str">
        <f>IF('Maintenance Schedule'!H178="x","x","")</f>
        <v/>
      </c>
      <c r="F143" s="153" t="str">
        <f t="shared" si="65"/>
        <v/>
      </c>
      <c r="G143" s="154">
        <f t="shared" si="66"/>
        <v>0</v>
      </c>
      <c r="H143" s="155">
        <f t="shared" si="67"/>
        <v>0</v>
      </c>
      <c r="I143" s="156">
        <f t="shared" si="68"/>
        <v>0</v>
      </c>
      <c r="J143" s="14"/>
      <c r="K143" s="15"/>
      <c r="L143" s="32"/>
      <c r="M143" s="67" t="str">
        <f>'Description Sheet'!K142</f>
        <v>No</v>
      </c>
      <c r="N143" s="67">
        <f>'Description Sheet'!L142</f>
        <v>0</v>
      </c>
      <c r="O143" s="73">
        <f>'Year (2021-2022)'!O143*(('Description Sheet'!M4)+1)</f>
        <v>0</v>
      </c>
      <c r="P143" s="68">
        <f t="shared" si="69"/>
        <v>0</v>
      </c>
      <c r="Q143" s="14"/>
      <c r="R143" s="44"/>
    </row>
    <row r="144" spans="1:23" hidden="1">
      <c r="A144" s="14"/>
      <c r="B144" s="109">
        <f>'Description Sheet'!B143</f>
        <v>12.8</v>
      </c>
      <c r="C144" s="111" t="str">
        <f>'Description Sheet'!C143</f>
        <v>blank</v>
      </c>
      <c r="D144" s="107"/>
      <c r="E144" s="153" t="str">
        <f>IF('Maintenance Schedule'!H179="x","x","")</f>
        <v/>
      </c>
      <c r="F144" s="153" t="str">
        <f t="shared" si="65"/>
        <v/>
      </c>
      <c r="G144" s="154">
        <f t="shared" si="66"/>
        <v>0</v>
      </c>
      <c r="H144" s="155">
        <f t="shared" si="67"/>
        <v>0</v>
      </c>
      <c r="I144" s="156">
        <f t="shared" si="68"/>
        <v>0</v>
      </c>
      <c r="J144" s="14"/>
      <c r="K144" s="15"/>
      <c r="L144" s="32"/>
      <c r="M144" s="67" t="str">
        <f>'Description Sheet'!K143</f>
        <v>No</v>
      </c>
      <c r="N144" s="67">
        <f>'Description Sheet'!L143</f>
        <v>0</v>
      </c>
      <c r="O144" s="73">
        <f>'Year (2021-2022)'!O144*(('Description Sheet'!M4)+1)</f>
        <v>0</v>
      </c>
      <c r="P144" s="68">
        <f t="shared" si="69"/>
        <v>0</v>
      </c>
      <c r="Q144" s="14"/>
      <c r="R144" s="44"/>
    </row>
    <row r="145" spans="1:72" ht="17" thickBot="1">
      <c r="A145" s="14"/>
      <c r="B145" s="105"/>
      <c r="C145" s="111"/>
      <c r="D145" s="107"/>
      <c r="E145" s="153"/>
      <c r="F145" s="153" t="str">
        <f>IF(E145="x",M145,"")</f>
        <v/>
      </c>
      <c r="G145" s="154"/>
      <c r="H145" s="155"/>
      <c r="I145" s="166"/>
      <c r="J145" s="14"/>
      <c r="K145" s="15"/>
      <c r="L145" s="32"/>
      <c r="M145" s="67"/>
      <c r="N145" s="78"/>
      <c r="O145" s="77"/>
      <c r="P145" s="79"/>
      <c r="Q145" s="14"/>
      <c r="R145" s="44"/>
    </row>
    <row r="146" spans="1:72" s="4" customFormat="1" ht="15.75" customHeight="1" thickBot="1">
      <c r="A146" s="14"/>
      <c r="B146" s="105"/>
      <c r="C146" s="115"/>
      <c r="D146" s="107"/>
      <c r="E146" s="163"/>
      <c r="F146" s="528" t="s">
        <v>7</v>
      </c>
      <c r="G146" s="529"/>
      <c r="H146" s="530">
        <f>SUM(I137:I144)</f>
        <v>3240</v>
      </c>
      <c r="I146" s="531"/>
      <c r="J146" s="14"/>
      <c r="K146" s="15"/>
      <c r="L146" s="33"/>
      <c r="M146" s="508" t="s">
        <v>7</v>
      </c>
      <c r="N146" s="509"/>
      <c r="O146" s="510">
        <f>SUM(P137:P144)</f>
        <v>3240</v>
      </c>
      <c r="P146" s="511"/>
      <c r="Q146" s="14"/>
      <c r="R146" s="31"/>
    </row>
    <row r="147" spans="1:72" ht="7.5" customHeight="1" thickBot="1">
      <c r="A147" s="14" t="s">
        <v>57</v>
      </c>
      <c r="B147" s="105"/>
      <c r="C147" s="189"/>
      <c r="D147" s="190"/>
      <c r="E147" s="190"/>
      <c r="F147" s="190"/>
      <c r="G147" s="190"/>
      <c r="H147" s="190"/>
      <c r="I147" s="190"/>
      <c r="J147" s="190"/>
      <c r="K147" s="191"/>
      <c r="L147" s="192"/>
      <c r="M147" s="192"/>
      <c r="N147" s="192"/>
      <c r="O147" s="190"/>
      <c r="P147" s="193"/>
      <c r="Q147" s="14"/>
      <c r="R147" s="44"/>
    </row>
    <row r="148" spans="1:72" ht="17" thickBot="1">
      <c r="A148" s="14" t="s">
        <v>57</v>
      </c>
      <c r="B148" s="116"/>
      <c r="C148" s="167" t="s">
        <v>9</v>
      </c>
      <c r="D148" s="168"/>
      <c r="E148" s="553" t="s">
        <v>7</v>
      </c>
      <c r="F148" s="554"/>
      <c r="G148" s="555"/>
      <c r="H148" s="530">
        <f>H16+H26+H34+H41+H48+H68+H93+H111+H118+H128+H135++H146+H104</f>
        <v>56968.92</v>
      </c>
      <c r="I148" s="531"/>
      <c r="J148" s="14"/>
      <c r="K148" s="35"/>
      <c r="L148" s="34"/>
      <c r="M148" s="87"/>
      <c r="N148" s="87"/>
      <c r="O148" s="87"/>
      <c r="P148" s="88"/>
      <c r="Q148" s="14"/>
      <c r="R148" s="44"/>
    </row>
    <row r="149" spans="1:72" ht="17.25" customHeight="1">
      <c r="A149" s="14"/>
      <c r="B149" s="478" t="str">
        <f>'Description Sheet'!B148</f>
        <v>Please Note: The above figures are estimates only based on our experience, measures taken and current rates.  An 8% escalation has been allowed for per anum .  This pricing includes 15% VAT.  Some rates have furthermore been adjusted to try and accommodate P&amp;G's.  An allowance for THC to undertake an annual inspection in order to update the maintenance plan and budget should be allowed for.</v>
      </c>
      <c r="C149" s="479"/>
      <c r="D149" s="479"/>
      <c r="E149" s="479"/>
      <c r="F149" s="479"/>
      <c r="G149" s="479"/>
      <c r="H149" s="479"/>
      <c r="I149" s="480"/>
      <c r="J149" s="14"/>
      <c r="K149" s="40"/>
      <c r="L149" s="14"/>
      <c r="M149" s="89"/>
      <c r="N149" s="89"/>
      <c r="O149" s="89"/>
      <c r="P149" s="89"/>
      <c r="Q149" s="14"/>
      <c r="R149" s="89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</row>
    <row r="150" spans="1:72">
      <c r="A150" s="14"/>
      <c r="B150" s="534"/>
      <c r="C150" s="535"/>
      <c r="D150" s="535"/>
      <c r="E150" s="535"/>
      <c r="F150" s="535"/>
      <c r="G150" s="535"/>
      <c r="H150" s="535"/>
      <c r="I150" s="536"/>
      <c r="J150" s="14"/>
      <c r="K150" s="40"/>
      <c r="L150" s="14"/>
      <c r="M150" s="89"/>
      <c r="N150" s="89"/>
      <c r="O150" s="89"/>
      <c r="P150" s="89"/>
      <c r="Q150" s="14"/>
      <c r="R150" s="89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</row>
    <row r="151" spans="1:72" ht="28.5" customHeight="1">
      <c r="A151" s="14"/>
      <c r="B151" s="534"/>
      <c r="C151" s="535"/>
      <c r="D151" s="535"/>
      <c r="E151" s="535"/>
      <c r="F151" s="535"/>
      <c r="G151" s="535"/>
      <c r="H151" s="535"/>
      <c r="I151" s="536"/>
      <c r="J151" s="14"/>
      <c r="K151" s="31"/>
      <c r="L151" s="14"/>
      <c r="M151" s="44"/>
      <c r="N151" s="44"/>
      <c r="O151" s="44"/>
      <c r="P151" s="44"/>
      <c r="Q151" s="14"/>
      <c r="R151" s="44"/>
    </row>
    <row r="152" spans="1:72">
      <c r="A152" s="44"/>
      <c r="B152" s="172"/>
      <c r="C152" s="117"/>
      <c r="D152" s="117"/>
      <c r="E152" s="139"/>
      <c r="F152" s="117"/>
      <c r="G152" s="117"/>
      <c r="H152" s="117"/>
      <c r="I152" s="117"/>
      <c r="J152" s="44"/>
      <c r="K152" s="31"/>
      <c r="L152" s="44"/>
      <c r="M152" s="44"/>
      <c r="N152" s="44"/>
      <c r="O152" s="44"/>
      <c r="P152" s="44"/>
      <c r="Q152" s="44"/>
      <c r="R152" s="44"/>
    </row>
  </sheetData>
  <sheetProtection algorithmName="SHA-512" hashValue="Jfql+EWQYNKy80O1qnUvH8HJr8AHE7Mhka6mjUm++i874a4R30RhoflaDZnKoSswes8KrGtB/miX2LY6M4frJA==" saltValue="Vomo54AaoV7dX299sGdWzA==" spinCount="100000" sheet="1" objects="1" scenarios="1"/>
  <mergeCells count="60">
    <mergeCell ref="E5:I5"/>
    <mergeCell ref="B2:F3"/>
    <mergeCell ref="B4:I4"/>
    <mergeCell ref="M104:N104"/>
    <mergeCell ref="O104:P104"/>
    <mergeCell ref="M93:N93"/>
    <mergeCell ref="O93:P93"/>
    <mergeCell ref="F104:G104"/>
    <mergeCell ref="H104:I104"/>
    <mergeCell ref="M111:N111"/>
    <mergeCell ref="O111:P111"/>
    <mergeCell ref="M2:P3"/>
    <mergeCell ref="M7:P7"/>
    <mergeCell ref="M16:N16"/>
    <mergeCell ref="O16:P16"/>
    <mergeCell ref="M26:N26"/>
    <mergeCell ref="O26:P26"/>
    <mergeCell ref="M34:N34"/>
    <mergeCell ref="O34:P34"/>
    <mergeCell ref="M41:N41"/>
    <mergeCell ref="O41:P41"/>
    <mergeCell ref="M48:N48"/>
    <mergeCell ref="O48:P48"/>
    <mergeCell ref="M68:N68"/>
    <mergeCell ref="O68:P68"/>
    <mergeCell ref="M118:N118"/>
    <mergeCell ref="O118:P118"/>
    <mergeCell ref="M128:N128"/>
    <mergeCell ref="O128:P128"/>
    <mergeCell ref="M135:N135"/>
    <mergeCell ref="O135:P135"/>
    <mergeCell ref="M146:N146"/>
    <mergeCell ref="O146:P146"/>
    <mergeCell ref="F16:G16"/>
    <mergeCell ref="H16:I16"/>
    <mergeCell ref="F26:G26"/>
    <mergeCell ref="H26:I26"/>
    <mergeCell ref="F34:G34"/>
    <mergeCell ref="H34:I34"/>
    <mergeCell ref="F41:G41"/>
    <mergeCell ref="H41:I41"/>
    <mergeCell ref="F48:G48"/>
    <mergeCell ref="H48:I48"/>
    <mergeCell ref="F68:G68"/>
    <mergeCell ref="H68:I68"/>
    <mergeCell ref="F93:G93"/>
    <mergeCell ref="H93:I93"/>
    <mergeCell ref="F111:G111"/>
    <mergeCell ref="F118:G118"/>
    <mergeCell ref="H118:I118"/>
    <mergeCell ref="H111:I111"/>
    <mergeCell ref="E148:G148"/>
    <mergeCell ref="H148:I148"/>
    <mergeCell ref="B149:I151"/>
    <mergeCell ref="F128:G128"/>
    <mergeCell ref="H128:I128"/>
    <mergeCell ref="F135:G135"/>
    <mergeCell ref="H135:I135"/>
    <mergeCell ref="F146:G146"/>
    <mergeCell ref="H146:I146"/>
  </mergeCells>
  <conditionalFormatting sqref="E18:E24 E9:E15">
    <cfRule type="expression" priority="1">
      <formula>$H$9:$H$10&gt;x</formula>
    </cfRule>
    <cfRule type="expression" priority="2">
      <formula>$H$9&lt;x</formula>
    </cfRule>
  </conditionalFormatting>
  <pageMargins left="0.70866141732283472" right="0.70866141732283472" top="0.74803149606299213" bottom="0.74803149606299213" header="0.31496062992125984" footer="0.31496062992125984"/>
  <pageSetup scale="70" orientation="portrait" horizontalDpi="4294967293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BT152"/>
  <sheetViews>
    <sheetView view="pageBreakPreview" zoomScale="70" zoomScaleNormal="70" zoomScaleSheetLayoutView="70" workbookViewId="0">
      <pane xSplit="16" ySplit="6" topLeftCell="Q7" activePane="bottomRight" state="frozen"/>
      <selection pane="topRight"/>
      <selection pane="bottomLeft"/>
      <selection pane="bottomRight" activeCell="U47" sqref="U47"/>
    </sheetView>
  </sheetViews>
  <sheetFormatPr baseColWidth="10" defaultColWidth="8.83203125" defaultRowHeight="16"/>
  <cols>
    <col min="1" max="1" width="2.33203125" customWidth="1"/>
    <col min="2" max="2" width="6.5" style="173" hidden="1" customWidth="1"/>
    <col min="3" max="3" width="62.5" style="169" customWidth="1"/>
    <col min="4" max="4" width="1.5" style="169" customWidth="1"/>
    <col min="5" max="5" width="12.83203125" style="170" hidden="1" customWidth="1"/>
    <col min="6" max="6" width="6.5" style="169" customWidth="1"/>
    <col min="7" max="7" width="11.33203125" style="169" customWidth="1"/>
    <col min="8" max="8" width="17.5" style="169" bestFit="1" customWidth="1"/>
    <col min="9" max="9" width="17.5" style="169" customWidth="1"/>
    <col min="10" max="10" width="2.33203125" customWidth="1"/>
    <col min="11" max="11" width="11" style="4" hidden="1" customWidth="1"/>
    <col min="12" max="12" width="17.6640625" hidden="1" customWidth="1"/>
    <col min="13" max="13" width="24.33203125" hidden="1" customWidth="1"/>
    <col min="14" max="14" width="26.6640625" hidden="1" customWidth="1"/>
    <col min="15" max="15" width="33.83203125" hidden="1" customWidth="1"/>
    <col min="16" max="16" width="16.5" hidden="1" customWidth="1"/>
    <col min="17" max="17" width="17.5" hidden="1" customWidth="1"/>
    <col min="18" max="18" width="9.1640625" customWidth="1"/>
    <col min="19" max="19" width="13.5" bestFit="1" customWidth="1"/>
  </cols>
  <sheetData>
    <row r="1" spans="1:18" ht="17" thickBot="1">
      <c r="A1" s="30"/>
      <c r="B1" s="171"/>
      <c r="C1" s="117"/>
      <c r="D1" s="118"/>
      <c r="E1" s="139"/>
      <c r="F1" s="117"/>
      <c r="G1" s="117"/>
      <c r="H1" s="117"/>
      <c r="I1" s="117"/>
      <c r="J1" s="30"/>
      <c r="K1" s="41"/>
      <c r="L1" s="30"/>
      <c r="M1" s="30"/>
      <c r="N1" s="44"/>
      <c r="O1" s="44"/>
      <c r="P1" s="44"/>
      <c r="Q1" s="30"/>
      <c r="R1" s="44"/>
    </row>
    <row r="2" spans="1:18" ht="15" customHeight="1">
      <c r="A2" s="34"/>
      <c r="B2" s="543" t="str">
        <f>'Maintenance Schedule'!D1</f>
        <v>KNIGHTSBRIDGE - DESK REVIEW MAINTENANCE SCHEDULE (2021)</v>
      </c>
      <c r="C2" s="544"/>
      <c r="D2" s="544"/>
      <c r="E2" s="544"/>
      <c r="F2" s="545"/>
      <c r="G2" s="140"/>
      <c r="H2" s="140"/>
      <c r="I2" s="140"/>
      <c r="J2" s="14"/>
      <c r="K2" s="15"/>
      <c r="L2" s="33"/>
      <c r="M2" s="537" t="s">
        <v>22</v>
      </c>
      <c r="N2" s="538"/>
      <c r="O2" s="538"/>
      <c r="P2" s="539"/>
      <c r="Q2" s="34"/>
      <c r="R2" s="44"/>
    </row>
    <row r="3" spans="1:18" ht="37.5" customHeight="1" thickBot="1">
      <c r="A3" s="38"/>
      <c r="B3" s="546"/>
      <c r="C3" s="547"/>
      <c r="D3" s="547"/>
      <c r="E3" s="547"/>
      <c r="F3" s="548"/>
      <c r="G3" s="141"/>
      <c r="H3" s="141"/>
      <c r="I3" s="141"/>
      <c r="J3" s="14"/>
      <c r="K3" s="15"/>
      <c r="L3" s="33"/>
      <c r="M3" s="540"/>
      <c r="N3" s="541"/>
      <c r="O3" s="541"/>
      <c r="P3" s="542"/>
      <c r="Q3" s="14"/>
      <c r="R3" s="44"/>
    </row>
    <row r="4" spans="1:18" ht="32.25" customHeight="1" thickBot="1">
      <c r="A4" s="14"/>
      <c r="B4" s="460" t="s">
        <v>1</v>
      </c>
      <c r="C4" s="461"/>
      <c r="D4" s="461"/>
      <c r="E4" s="461"/>
      <c r="F4" s="461"/>
      <c r="G4" s="461"/>
      <c r="H4" s="461"/>
      <c r="I4" s="549"/>
      <c r="J4" s="14"/>
      <c r="K4" s="40"/>
      <c r="L4" s="33"/>
      <c r="M4" s="51" t="s">
        <v>26</v>
      </c>
      <c r="N4" s="51"/>
      <c r="O4" s="51"/>
      <c r="P4" s="52"/>
      <c r="Q4" s="14"/>
      <c r="R4" s="44"/>
    </row>
    <row r="5" spans="1:18" ht="19" thickBot="1">
      <c r="A5" s="14"/>
      <c r="B5" s="105"/>
      <c r="C5" s="106" t="str">
        <f>'Maintenance Schedule'!E4</f>
        <v>WORK DUE IN FINANCIAL YEAR</v>
      </c>
      <c r="D5" s="107"/>
      <c r="E5" s="550" t="str">
        <f>'Maintenance Schedule'!J4</f>
        <v>2023/2024</v>
      </c>
      <c r="F5" s="551"/>
      <c r="G5" s="551"/>
      <c r="H5" s="551"/>
      <c r="I5" s="552"/>
      <c r="J5" s="14"/>
      <c r="K5" s="40"/>
      <c r="L5" s="33"/>
      <c r="M5" s="53"/>
      <c r="N5" s="53"/>
      <c r="O5" s="53"/>
      <c r="P5" s="54"/>
      <c r="Q5" s="14"/>
      <c r="R5" s="44"/>
    </row>
    <row r="6" spans="1:18" ht="18" thickBot="1">
      <c r="A6" s="14"/>
      <c r="B6" s="108" t="s">
        <v>19</v>
      </c>
      <c r="C6" s="142" t="s">
        <v>0</v>
      </c>
      <c r="D6" s="107"/>
      <c r="E6" s="143" t="s">
        <v>23</v>
      </c>
      <c r="F6" s="144" t="s">
        <v>2</v>
      </c>
      <c r="G6" s="145" t="s">
        <v>3</v>
      </c>
      <c r="H6" s="144" t="s">
        <v>4</v>
      </c>
      <c r="I6" s="144" t="s">
        <v>5</v>
      </c>
      <c r="J6" s="32"/>
      <c r="K6" s="40"/>
      <c r="L6" s="33"/>
      <c r="M6" s="59" t="s">
        <v>2</v>
      </c>
      <c r="N6" s="59" t="s">
        <v>3</v>
      </c>
      <c r="O6" s="59" t="s">
        <v>4</v>
      </c>
      <c r="P6" s="59" t="s">
        <v>5</v>
      </c>
      <c r="Q6" s="14"/>
      <c r="R6" s="44"/>
    </row>
    <row r="7" spans="1:18" ht="8.25" hidden="1" customHeight="1" thickBot="1">
      <c r="A7" s="14"/>
      <c r="B7" s="109"/>
      <c r="C7" s="146"/>
      <c r="D7" s="147"/>
      <c r="E7" s="148"/>
      <c r="F7" s="148"/>
      <c r="G7" s="148"/>
      <c r="H7" s="148"/>
      <c r="I7" s="149"/>
      <c r="J7" s="60"/>
      <c r="K7" s="84"/>
      <c r="L7" s="60"/>
      <c r="M7" s="505"/>
      <c r="N7" s="506"/>
      <c r="O7" s="506"/>
      <c r="P7" s="507"/>
      <c r="Q7" s="14"/>
      <c r="R7" s="44"/>
    </row>
    <row r="8" spans="1:18" ht="17" thickBot="1">
      <c r="A8" s="14"/>
      <c r="B8" s="108">
        <f>'Description Sheet'!B7</f>
        <v>1</v>
      </c>
      <c r="C8" s="150" t="str">
        <f>'Description Sheet'!C7</f>
        <v>Electrical Areas</v>
      </c>
      <c r="D8" s="107"/>
      <c r="E8" s="110"/>
      <c r="F8" s="110"/>
      <c r="G8" s="110"/>
      <c r="H8" s="110"/>
      <c r="I8" s="151"/>
      <c r="J8" s="32"/>
      <c r="K8" s="40"/>
      <c r="L8" s="33"/>
      <c r="M8" s="24"/>
      <c r="N8" s="25"/>
      <c r="O8" s="25"/>
      <c r="P8" s="63"/>
      <c r="Q8" s="14"/>
      <c r="R8" s="44"/>
    </row>
    <row r="9" spans="1:18">
      <c r="A9" s="14"/>
      <c r="B9" s="109">
        <f>'Description Sheet'!B8</f>
        <v>1.1000000000000001</v>
      </c>
      <c r="C9" s="152" t="str">
        <f>'Description Sheet'!C8</f>
        <v>General Electrics and Lighting (Replacement/Repairs)</v>
      </c>
      <c r="D9" s="107"/>
      <c r="E9" s="153" t="str">
        <f>IF('Maintenance Schedule'!J8="x","x","")</f>
        <v>x</v>
      </c>
      <c r="F9" s="153" t="str">
        <f>IF(E9="x","No","")</f>
        <v>No</v>
      </c>
      <c r="G9" s="154">
        <f>IF(E9="x",1,0)</f>
        <v>1</v>
      </c>
      <c r="H9" s="155">
        <f>IF(E9="x",P9,0)</f>
        <v>5248.8</v>
      </c>
      <c r="I9" s="156">
        <f>IF(E9="x",G9*H9,0)</f>
        <v>5248.8</v>
      </c>
      <c r="J9" s="14"/>
      <c r="K9" s="85"/>
      <c r="L9" s="32"/>
      <c r="M9" s="66" t="str">
        <f>'Description Sheet'!K8</f>
        <v>No</v>
      </c>
      <c r="N9" s="67">
        <f>'Description Sheet'!L8</f>
        <v>1</v>
      </c>
      <c r="O9" s="68">
        <f>'Year (2022-2023)'!O9*(('Description Sheet'!M4)+1)</f>
        <v>5248.8</v>
      </c>
      <c r="P9" s="69">
        <f>N9*O9</f>
        <v>5248.8</v>
      </c>
      <c r="Q9" s="14"/>
      <c r="R9" s="44"/>
    </row>
    <row r="10" spans="1:18" hidden="1">
      <c r="A10" s="14"/>
      <c r="B10" s="109">
        <f>'Description Sheet'!B9</f>
        <v>1.2</v>
      </c>
      <c r="C10" s="152" t="str">
        <f>'Description Sheet'!C9</f>
        <v>Generators (Maintenance Savings)</v>
      </c>
      <c r="D10" s="107"/>
      <c r="E10" s="153" t="str">
        <f>IF('Maintenance Schedule'!J9="x","x","")</f>
        <v/>
      </c>
      <c r="F10" s="153" t="str">
        <f t="shared" ref="F10:F14" si="0">IF(E10="x","No","")</f>
        <v/>
      </c>
      <c r="G10" s="154">
        <f t="shared" ref="G10:G14" si="1">IF(E10="x",1,0)</f>
        <v>0</v>
      </c>
      <c r="H10" s="155">
        <f>IF(E10="x",P10,0)</f>
        <v>0</v>
      </c>
      <c r="I10" s="156">
        <f>IF(E10="x",G10*H10,0)</f>
        <v>0</v>
      </c>
      <c r="J10" s="14"/>
      <c r="K10" s="85"/>
      <c r="L10" s="32"/>
      <c r="M10" s="66" t="str">
        <f>'Description Sheet'!K9</f>
        <v>No</v>
      </c>
      <c r="N10" s="67">
        <f>'Description Sheet'!L9</f>
        <v>0</v>
      </c>
      <c r="O10" s="68">
        <f>'Year (2022-2023)'!O10*(('Description Sheet'!M4)+1)</f>
        <v>5489.0784000000012</v>
      </c>
      <c r="P10" s="69">
        <f>N10*O10</f>
        <v>0</v>
      </c>
      <c r="Q10" s="14"/>
      <c r="R10" s="44"/>
    </row>
    <row r="11" spans="1:18">
      <c r="A11" s="14"/>
      <c r="B11" s="109">
        <f>'Description Sheet'!B10</f>
        <v>1.3</v>
      </c>
      <c r="C11" s="152" t="str">
        <f>'Description Sheet'!C10</f>
        <v>Main Gate &amp; Motor (Replacement Savings)</v>
      </c>
      <c r="D11" s="107"/>
      <c r="E11" s="153" t="str">
        <f>IF('Maintenance Schedule'!J10="x","x","")</f>
        <v>x</v>
      </c>
      <c r="F11" s="153" t="str">
        <f t="shared" si="0"/>
        <v>No</v>
      </c>
      <c r="G11" s="154">
        <f t="shared" si="1"/>
        <v>1</v>
      </c>
      <c r="H11" s="155">
        <f>IF(E11="x",P11,0)</f>
        <v>3430.3824000000004</v>
      </c>
      <c r="I11" s="156">
        <f>IF(E11="x",G11*H11,0)</f>
        <v>3430.3824000000004</v>
      </c>
      <c r="J11" s="14"/>
      <c r="K11" s="85"/>
      <c r="L11" s="32"/>
      <c r="M11" s="66" t="str">
        <f>'Description Sheet'!K10</f>
        <v>No</v>
      </c>
      <c r="N11" s="67">
        <f>'Description Sheet'!L10</f>
        <v>1</v>
      </c>
      <c r="O11" s="68">
        <f>'Year (2022-2023)'!O11*(('Description Sheet'!M4)+1)</f>
        <v>3430.3824000000004</v>
      </c>
      <c r="P11" s="69">
        <f>N11*O11</f>
        <v>3430.3824000000004</v>
      </c>
      <c r="Q11" s="14"/>
      <c r="R11" s="44"/>
    </row>
    <row r="12" spans="1:18" hidden="1">
      <c r="A12" s="14"/>
      <c r="B12" s="109">
        <f>'Description Sheet'!B11</f>
        <v>1.4</v>
      </c>
      <c r="C12" s="152" t="str">
        <f>'Description Sheet'!C11</f>
        <v>Tranformers (Service Interval 3 Years)</v>
      </c>
      <c r="D12" s="107"/>
      <c r="E12" s="153" t="str">
        <f>IF('Maintenance Schedule'!J11="x","x","")</f>
        <v/>
      </c>
      <c r="F12" s="153" t="str">
        <f t="shared" si="0"/>
        <v/>
      </c>
      <c r="G12" s="154">
        <f t="shared" si="1"/>
        <v>0</v>
      </c>
      <c r="H12" s="155">
        <f t="shared" ref="H12:H14" si="2">IF(E12="x",P12,0)</f>
        <v>0</v>
      </c>
      <c r="I12" s="156">
        <f t="shared" ref="I12:I14" si="3">IF(E12="x",G12*H12,0)</f>
        <v>0</v>
      </c>
      <c r="J12" s="14"/>
      <c r="K12" s="85"/>
      <c r="L12" s="32"/>
      <c r="M12" s="66" t="str">
        <f>'Description Sheet'!K11</f>
        <v>No</v>
      </c>
      <c r="N12" s="67">
        <f>'Description Sheet'!L11</f>
        <v>0</v>
      </c>
      <c r="O12" s="68">
        <f>'Year (2022-2023)'!O12*(('Description Sheet'!M4)+1)</f>
        <v>33004.454400000002</v>
      </c>
      <c r="P12" s="69">
        <f t="shared" ref="P12:P14" si="4">N12*O12</f>
        <v>0</v>
      </c>
      <c r="Q12" s="14"/>
      <c r="R12" s="44"/>
    </row>
    <row r="13" spans="1:18" hidden="1">
      <c r="A13" s="14"/>
      <c r="B13" s="109">
        <f>'Description Sheet'!B12</f>
        <v>1.5</v>
      </c>
      <c r="C13" s="152" t="str">
        <f>'Description Sheet'!C12</f>
        <v>blank</v>
      </c>
      <c r="D13" s="107"/>
      <c r="E13" s="153" t="str">
        <f>IF('Maintenance Schedule'!J12="x","x","")</f>
        <v/>
      </c>
      <c r="F13" s="153" t="str">
        <f t="shared" si="0"/>
        <v/>
      </c>
      <c r="G13" s="154">
        <f t="shared" si="1"/>
        <v>0</v>
      </c>
      <c r="H13" s="155">
        <f t="shared" si="2"/>
        <v>0</v>
      </c>
      <c r="I13" s="156">
        <f t="shared" si="3"/>
        <v>0</v>
      </c>
      <c r="J13" s="14"/>
      <c r="K13" s="85"/>
      <c r="L13" s="32"/>
      <c r="M13" s="66" t="str">
        <f>'Description Sheet'!K12</f>
        <v>No</v>
      </c>
      <c r="N13" s="67">
        <f>'Description Sheet'!L12</f>
        <v>0</v>
      </c>
      <c r="O13" s="68">
        <f>'Year (2022-2023)'!O13*(('Description Sheet'!M4)+1)</f>
        <v>0</v>
      </c>
      <c r="P13" s="69">
        <f t="shared" si="4"/>
        <v>0</v>
      </c>
      <c r="Q13" s="14"/>
      <c r="R13" s="44"/>
    </row>
    <row r="14" spans="1:18" hidden="1">
      <c r="A14" s="14"/>
      <c r="B14" s="109">
        <f>'Description Sheet'!B13</f>
        <v>1.6</v>
      </c>
      <c r="C14" s="152" t="str">
        <f>'Description Sheet'!C13</f>
        <v>blank</v>
      </c>
      <c r="D14" s="107"/>
      <c r="E14" s="153" t="str">
        <f>IF('Maintenance Schedule'!J13="x","x","")</f>
        <v/>
      </c>
      <c r="F14" s="153" t="str">
        <f t="shared" si="0"/>
        <v/>
      </c>
      <c r="G14" s="154">
        <f t="shared" si="1"/>
        <v>0</v>
      </c>
      <c r="H14" s="155">
        <f t="shared" si="2"/>
        <v>0</v>
      </c>
      <c r="I14" s="156">
        <f t="shared" si="3"/>
        <v>0</v>
      </c>
      <c r="J14" s="14"/>
      <c r="K14" s="85"/>
      <c r="L14" s="32"/>
      <c r="M14" s="66" t="str">
        <f>'Description Sheet'!K13</f>
        <v>No</v>
      </c>
      <c r="N14" s="67">
        <f>'Description Sheet'!L13</f>
        <v>0</v>
      </c>
      <c r="O14" s="68">
        <f>'Year (2022-2023)'!O14*(('Description Sheet'!M4)+1)</f>
        <v>0</v>
      </c>
      <c r="P14" s="69">
        <f t="shared" si="4"/>
        <v>0</v>
      </c>
      <c r="Q14" s="14"/>
      <c r="R14" s="44"/>
    </row>
    <row r="15" spans="1:18" ht="17" thickBot="1">
      <c r="A15" s="14"/>
      <c r="B15" s="109"/>
      <c r="C15" s="152"/>
      <c r="D15" s="107"/>
      <c r="E15" s="153"/>
      <c r="F15" s="153"/>
      <c r="G15" s="154"/>
      <c r="H15" s="155"/>
      <c r="I15" s="157"/>
      <c r="J15" s="14"/>
      <c r="K15" s="85"/>
      <c r="L15" s="32"/>
      <c r="M15" s="70"/>
      <c r="N15" s="67"/>
      <c r="O15" s="68"/>
      <c r="P15" s="73"/>
      <c r="Q15" s="14"/>
      <c r="R15" s="44"/>
    </row>
    <row r="16" spans="1:18" s="4" customFormat="1" ht="15.75" customHeight="1" thickBot="1">
      <c r="A16" s="14"/>
      <c r="B16" s="109"/>
      <c r="C16" s="158"/>
      <c r="D16" s="107"/>
      <c r="E16" s="159"/>
      <c r="F16" s="528" t="s">
        <v>7</v>
      </c>
      <c r="G16" s="529"/>
      <c r="H16" s="530">
        <f>SUM(I9:I14)</f>
        <v>8679.1824000000015</v>
      </c>
      <c r="I16" s="531"/>
      <c r="J16" s="14"/>
      <c r="K16" s="15"/>
      <c r="L16" s="33"/>
      <c r="M16" s="508" t="s">
        <v>7</v>
      </c>
      <c r="N16" s="509"/>
      <c r="O16" s="510">
        <f>SUM(P9:P14)</f>
        <v>8679.1824000000015</v>
      </c>
      <c r="P16" s="511"/>
      <c r="Q16" s="14"/>
      <c r="R16" s="31"/>
    </row>
    <row r="17" spans="1:18" ht="17" thickBot="1">
      <c r="A17" s="14"/>
      <c r="B17" s="109">
        <f>'Description Sheet'!B16</f>
        <v>2</v>
      </c>
      <c r="C17" s="113" t="str">
        <f>'Description Sheet'!C16</f>
        <v>External Plumbing Areas</v>
      </c>
      <c r="D17" s="107"/>
      <c r="E17" s="110"/>
      <c r="F17" s="110"/>
      <c r="G17" s="110"/>
      <c r="H17" s="110"/>
      <c r="I17" s="151"/>
      <c r="J17" s="32"/>
      <c r="K17" s="40"/>
      <c r="L17" s="33"/>
      <c r="M17" s="24"/>
      <c r="N17" s="25"/>
      <c r="O17" s="25"/>
      <c r="P17" s="63"/>
      <c r="Q17" s="14"/>
      <c r="R17" s="44"/>
    </row>
    <row r="18" spans="1:18">
      <c r="A18" s="14"/>
      <c r="B18" s="109">
        <f>'Description Sheet'!B17</f>
        <v>2.1</v>
      </c>
      <c r="C18" s="152" t="str">
        <f>'Description Sheet'!C17</f>
        <v>General Plumbing Repairs/Upgrade (Stacks, Valves etc.)</v>
      </c>
      <c r="D18" s="107"/>
      <c r="E18" s="153" t="str">
        <f>IF('Maintenance Schedule'!J20="x","x","")</f>
        <v>x</v>
      </c>
      <c r="F18" s="153" t="str">
        <f>IF(E18="x","No","")</f>
        <v>No</v>
      </c>
      <c r="G18" s="154">
        <f>IF(E18="x",1,0)</f>
        <v>1</v>
      </c>
      <c r="H18" s="155">
        <f t="shared" ref="H18:H24" si="5">IF(E18="x",P18,0)</f>
        <v>29160.000000000004</v>
      </c>
      <c r="I18" s="156">
        <f>IF(E18="x",G18*H18,0)</f>
        <v>29160.000000000004</v>
      </c>
      <c r="J18" s="14"/>
      <c r="K18" s="15"/>
      <c r="L18" s="32"/>
      <c r="M18" s="70" t="str">
        <f>'Description Sheet'!K17</f>
        <v>No</v>
      </c>
      <c r="N18" s="67">
        <f>'Description Sheet'!L17</f>
        <v>1</v>
      </c>
      <c r="O18" s="68">
        <f>'Year (2022-2023)'!O18*(('Description Sheet'!M4)+1)</f>
        <v>29160.000000000004</v>
      </c>
      <c r="P18" s="68">
        <f>N18*O18</f>
        <v>29160.000000000004</v>
      </c>
      <c r="Q18" s="14"/>
      <c r="R18" s="44"/>
    </row>
    <row r="19" spans="1:18" hidden="1">
      <c r="A19" s="14"/>
      <c r="B19" s="109">
        <f>'Description Sheet'!B18</f>
        <v>2.2000000000000002</v>
      </c>
      <c r="C19" s="152" t="str">
        <f>'Description Sheet'!C18</f>
        <v>Rectify Reticalation Connections at Fire Hydrants</v>
      </c>
      <c r="D19" s="107"/>
      <c r="E19" s="153" t="str">
        <f>IF('Maintenance Schedule'!J21="x","x","")</f>
        <v/>
      </c>
      <c r="F19" s="153" t="str">
        <f t="shared" ref="F19:F24" si="6">IF(E19="x","No","")</f>
        <v/>
      </c>
      <c r="G19" s="154">
        <f t="shared" ref="G19:G24" si="7">IF(E19="x",1,0)</f>
        <v>0</v>
      </c>
      <c r="H19" s="155">
        <f t="shared" si="5"/>
        <v>0</v>
      </c>
      <c r="I19" s="156">
        <f>IF(E19="x",G19*H19,0)</f>
        <v>0</v>
      </c>
      <c r="J19" s="14"/>
      <c r="K19" s="15"/>
      <c r="L19" s="32"/>
      <c r="M19" s="70" t="str">
        <f>'Description Sheet'!K18</f>
        <v>No</v>
      </c>
      <c r="N19" s="67">
        <f>'Description Sheet'!L18</f>
        <v>0</v>
      </c>
      <c r="O19" s="68">
        <f>'Year (2022-2023)'!O19*(('Description Sheet'!M4)+1)</f>
        <v>62985.600000000013</v>
      </c>
      <c r="P19" s="68">
        <f>N19*O19</f>
        <v>0</v>
      </c>
      <c r="Q19" s="14"/>
      <c r="R19" s="44"/>
    </row>
    <row r="20" spans="1:18" hidden="1">
      <c r="A20" s="14"/>
      <c r="B20" s="109">
        <f>'Description Sheet'!B19</f>
        <v>2.2999999999999998</v>
      </c>
      <c r="C20" s="152" t="str">
        <f>'Description Sheet'!C19</f>
        <v>Repairs to Storm Water Gullies</v>
      </c>
      <c r="D20" s="107"/>
      <c r="E20" s="153" t="str">
        <f>IF('Maintenance Schedule'!J22="x","x","")</f>
        <v/>
      </c>
      <c r="F20" s="153" t="str">
        <f t="shared" si="6"/>
        <v/>
      </c>
      <c r="G20" s="154">
        <f t="shared" si="7"/>
        <v>0</v>
      </c>
      <c r="H20" s="155">
        <f t="shared" si="5"/>
        <v>0</v>
      </c>
      <c r="I20" s="156">
        <f>IF(E20="x",G20*H20,0)</f>
        <v>0</v>
      </c>
      <c r="J20" s="14"/>
      <c r="K20" s="15"/>
      <c r="L20" s="32"/>
      <c r="M20" s="70" t="str">
        <f>'Description Sheet'!K19</f>
        <v>No</v>
      </c>
      <c r="N20" s="67">
        <f>'Description Sheet'!L19</f>
        <v>0</v>
      </c>
      <c r="O20" s="68">
        <f>'Year (2022-2023)'!O20*(('Description Sheet'!M4)+1)</f>
        <v>5668.7040000000006</v>
      </c>
      <c r="P20" s="68">
        <f>N20*O20</f>
        <v>0</v>
      </c>
      <c r="Q20" s="14"/>
      <c r="R20" s="44"/>
    </row>
    <row r="21" spans="1:18" hidden="1">
      <c r="A21" s="14"/>
      <c r="B21" s="109">
        <f>'Description Sheet'!B20</f>
        <v>2.4</v>
      </c>
      <c r="C21" s="152" t="str">
        <f>'Description Sheet'!C20</f>
        <v>Servicing of Full-Bore Piping</v>
      </c>
      <c r="D21" s="107"/>
      <c r="E21" s="153" t="str">
        <f>IF('Maintenance Schedule'!J23="x","x","")</f>
        <v/>
      </c>
      <c r="F21" s="153" t="str">
        <f t="shared" si="6"/>
        <v/>
      </c>
      <c r="G21" s="154">
        <f t="shared" si="7"/>
        <v>0</v>
      </c>
      <c r="H21" s="155">
        <f t="shared" si="5"/>
        <v>0</v>
      </c>
      <c r="I21" s="156">
        <f>IF(E21="x",G21*H21,0)</f>
        <v>0</v>
      </c>
      <c r="J21" s="14"/>
      <c r="K21" s="15"/>
      <c r="L21" s="32"/>
      <c r="M21" s="70" t="str">
        <f>'Description Sheet'!K20</f>
        <v>No</v>
      </c>
      <c r="N21" s="67">
        <f>'Description Sheet'!L20</f>
        <v>1</v>
      </c>
      <c r="O21" s="68">
        <f>'Year (2022-2023)'!O21*(('Description Sheet'!M4)+1)</f>
        <v>5489.0784000000012</v>
      </c>
      <c r="P21" s="68">
        <f>O21*N21</f>
        <v>5489.0784000000012</v>
      </c>
      <c r="Q21" s="14"/>
      <c r="R21" s="44"/>
    </row>
    <row r="22" spans="1:18" hidden="1">
      <c r="A22" s="14"/>
      <c r="B22" s="109">
        <f>'Description Sheet'!B21</f>
        <v>2.5</v>
      </c>
      <c r="C22" s="152" t="str">
        <f>'Description Sheet'!C21</f>
        <v>Replacing of Cast Iron Stack Pipes with PVC</v>
      </c>
      <c r="D22" s="107"/>
      <c r="E22" s="153" t="str">
        <f>IF('Maintenance Schedule'!J24="x","x","")</f>
        <v/>
      </c>
      <c r="F22" s="153" t="str">
        <f t="shared" si="6"/>
        <v/>
      </c>
      <c r="G22" s="154">
        <f t="shared" si="7"/>
        <v>0</v>
      </c>
      <c r="H22" s="155">
        <f t="shared" si="5"/>
        <v>0</v>
      </c>
      <c r="I22" s="156">
        <f t="shared" ref="I22:I24" si="8">IF(E22="x",G22*H22,0)</f>
        <v>0</v>
      </c>
      <c r="J22" s="14"/>
      <c r="K22" s="15"/>
      <c r="L22" s="33"/>
      <c r="M22" s="70" t="str">
        <f>'Description Sheet'!K21</f>
        <v>lm</v>
      </c>
      <c r="N22" s="67">
        <f>'Description Sheet'!L21</f>
        <v>1</v>
      </c>
      <c r="O22" s="68">
        <f>'Year (2022-2023)'!O22*(('Description Sheet'!M4)+1)</f>
        <v>130380.19200000002</v>
      </c>
      <c r="P22" s="68">
        <f t="shared" ref="P22:P24" si="9">O22*N22</f>
        <v>130380.19200000002</v>
      </c>
      <c r="Q22" s="14"/>
      <c r="R22" s="44"/>
    </row>
    <row r="23" spans="1:18" hidden="1">
      <c r="A23" s="14"/>
      <c r="B23" s="109">
        <f>'Description Sheet'!B22</f>
        <v>2.6</v>
      </c>
      <c r="C23" s="152" t="str">
        <f>'Description Sheet'!C22</f>
        <v>Water Tanks and Pumps (Maintenance/Repairs Savings)</v>
      </c>
      <c r="D23" s="107"/>
      <c r="E23" s="153" t="str">
        <f>IF('Maintenance Schedule'!J25="x","x","")</f>
        <v/>
      </c>
      <c r="F23" s="153" t="str">
        <f t="shared" si="6"/>
        <v/>
      </c>
      <c r="G23" s="154">
        <f t="shared" si="7"/>
        <v>0</v>
      </c>
      <c r="H23" s="155">
        <f t="shared" si="5"/>
        <v>0</v>
      </c>
      <c r="I23" s="156">
        <f t="shared" si="8"/>
        <v>0</v>
      </c>
      <c r="J23" s="14"/>
      <c r="K23" s="15"/>
      <c r="L23" s="33"/>
      <c r="M23" s="70" t="str">
        <f>'Description Sheet'!K22</f>
        <v>No</v>
      </c>
      <c r="N23" s="67">
        <f>'Description Sheet'!L22</f>
        <v>0</v>
      </c>
      <c r="O23" s="68">
        <f>'Year (2022-2023)'!O23*(('Description Sheet'!M4)+1)</f>
        <v>12597.12</v>
      </c>
      <c r="P23" s="68">
        <f t="shared" si="9"/>
        <v>0</v>
      </c>
      <c r="Q23" s="14"/>
      <c r="R23" s="44"/>
    </row>
    <row r="24" spans="1:18" hidden="1">
      <c r="A24" s="14"/>
      <c r="B24" s="109">
        <f>'Description Sheet'!B23</f>
        <v>2.7</v>
      </c>
      <c r="C24" s="152" t="str">
        <f>'Description Sheet'!C23</f>
        <v>Asbestos Water Tanks (Replace)</v>
      </c>
      <c r="D24" s="107"/>
      <c r="E24" s="153" t="str">
        <f>IF('Maintenance Schedule'!J26="x","x","")</f>
        <v/>
      </c>
      <c r="F24" s="153" t="str">
        <f t="shared" si="6"/>
        <v/>
      </c>
      <c r="G24" s="154">
        <f t="shared" si="7"/>
        <v>0</v>
      </c>
      <c r="H24" s="155">
        <f t="shared" si="5"/>
        <v>0</v>
      </c>
      <c r="I24" s="156">
        <f t="shared" si="8"/>
        <v>0</v>
      </c>
      <c r="J24" s="14"/>
      <c r="K24" s="15"/>
      <c r="L24" s="33"/>
      <c r="M24" s="70" t="str">
        <f>'Description Sheet'!K23</f>
        <v>No</v>
      </c>
      <c r="N24" s="67">
        <f>'Description Sheet'!L23</f>
        <v>0</v>
      </c>
      <c r="O24" s="68">
        <f>'Year (2022-2023)'!O24*(('Description Sheet'!M4)+1)</f>
        <v>36191.059200000011</v>
      </c>
      <c r="P24" s="68">
        <f t="shared" si="9"/>
        <v>0</v>
      </c>
      <c r="Q24" s="14"/>
      <c r="R24" s="44"/>
    </row>
    <row r="25" spans="1:18" ht="17" thickBot="1">
      <c r="A25" s="14"/>
      <c r="B25" s="109"/>
      <c r="C25" s="152"/>
      <c r="D25" s="107"/>
      <c r="E25" s="160"/>
      <c r="F25" s="161"/>
      <c r="G25" s="161"/>
      <c r="H25" s="155"/>
      <c r="I25" s="155"/>
      <c r="J25" s="14"/>
      <c r="K25" s="15"/>
      <c r="L25" s="33"/>
      <c r="M25" s="76"/>
      <c r="N25" s="76"/>
      <c r="O25" s="77"/>
      <c r="P25" s="77"/>
      <c r="Q25" s="14"/>
      <c r="R25" s="44"/>
    </row>
    <row r="26" spans="1:18" s="4" customFormat="1" ht="15.75" customHeight="1" thickBot="1">
      <c r="A26" s="14"/>
      <c r="B26" s="109"/>
      <c r="C26" s="152"/>
      <c r="D26" s="107"/>
      <c r="E26" s="159"/>
      <c r="F26" s="532" t="s">
        <v>7</v>
      </c>
      <c r="G26" s="533"/>
      <c r="H26" s="530">
        <f>SUM(I18:I24)</f>
        <v>29160.000000000004</v>
      </c>
      <c r="I26" s="531"/>
      <c r="J26" s="14"/>
      <c r="K26" s="15"/>
      <c r="L26" s="33"/>
      <c r="M26" s="508" t="s">
        <v>7</v>
      </c>
      <c r="N26" s="509"/>
      <c r="O26" s="510">
        <f>SUM(P18:P24)</f>
        <v>165029.27040000004</v>
      </c>
      <c r="P26" s="511"/>
      <c r="Q26" s="14"/>
      <c r="R26" s="31"/>
    </row>
    <row r="27" spans="1:18" ht="17" hidden="1" thickBot="1">
      <c r="A27" s="14"/>
      <c r="B27" s="109">
        <f>'Description Sheet'!B26</f>
        <v>3</v>
      </c>
      <c r="C27" s="113" t="str">
        <f>'Description Sheet'!C26</f>
        <v>Heating and Cooling Systems</v>
      </c>
      <c r="D27" s="107"/>
      <c r="E27" s="110"/>
      <c r="F27" s="110"/>
      <c r="G27" s="110"/>
      <c r="H27" s="110"/>
      <c r="I27" s="151"/>
      <c r="J27" s="32"/>
      <c r="K27" s="40"/>
      <c r="L27" s="33"/>
      <c r="M27" s="24"/>
      <c r="N27" s="25"/>
      <c r="O27" s="25"/>
      <c r="P27" s="63"/>
      <c r="Q27" s="14"/>
      <c r="R27" s="44"/>
    </row>
    <row r="28" spans="1:18" hidden="1">
      <c r="A28" s="14"/>
      <c r="B28" s="109">
        <f>'Description Sheet'!B27</f>
        <v>3.1</v>
      </c>
      <c r="C28" s="152" t="str">
        <f>'Description Sheet'!C27</f>
        <v>Ventilation Shafts (Maintenance &amp; Upgrade Savings)</v>
      </c>
      <c r="D28" s="107"/>
      <c r="E28" s="153" t="str">
        <f>IF('Maintenance Schedule'!J33="x","x","")</f>
        <v/>
      </c>
      <c r="F28" s="153" t="str">
        <f>IF(E28="x","No","")</f>
        <v/>
      </c>
      <c r="G28" s="154">
        <f>IF(E28="x",1,0)</f>
        <v>0</v>
      </c>
      <c r="H28" s="155">
        <f t="shared" ref="H28:H32" si="10">IF(E28="x",P28,0)</f>
        <v>0</v>
      </c>
      <c r="I28" s="156">
        <f>IF(E28="x",G28*H28,0)</f>
        <v>0</v>
      </c>
      <c r="J28" s="14"/>
      <c r="K28" s="15"/>
      <c r="L28" s="32"/>
      <c r="M28" s="70" t="str">
        <f>'Description Sheet'!K27</f>
        <v>No</v>
      </c>
      <c r="N28" s="67">
        <f>'Description Sheet'!L27</f>
        <v>0</v>
      </c>
      <c r="O28" s="68">
        <f>'Year (2022-2023)'!O28*(('Description Sheet'!M4)+1)</f>
        <v>6861.9312000000009</v>
      </c>
      <c r="P28" s="68">
        <f>N28*O28</f>
        <v>0</v>
      </c>
      <c r="Q28" s="14"/>
      <c r="R28" s="44"/>
    </row>
    <row r="29" spans="1:18" hidden="1">
      <c r="A29" s="14"/>
      <c r="B29" s="109">
        <f>'Description Sheet'!B28</f>
        <v>3.2</v>
      </c>
      <c r="C29" s="152" t="str">
        <f>'Description Sheet'!C28</f>
        <v>Air Conditioning Units (Maintenance &amp; Upgrade Savings)</v>
      </c>
      <c r="D29" s="107"/>
      <c r="E29" s="153" t="str">
        <f>IF('Maintenance Schedule'!J34="x","x","")</f>
        <v/>
      </c>
      <c r="F29" s="153" t="str">
        <f>IF(E29="x","No","")</f>
        <v/>
      </c>
      <c r="G29" s="154">
        <f>IF(E29="x",1,0)</f>
        <v>0</v>
      </c>
      <c r="H29" s="155">
        <f t="shared" si="10"/>
        <v>0</v>
      </c>
      <c r="I29" s="156">
        <f>IF(E29="x",G29*H29,0)</f>
        <v>0</v>
      </c>
      <c r="J29" s="14"/>
      <c r="K29" s="15"/>
      <c r="L29" s="32"/>
      <c r="M29" s="70" t="str">
        <f>'Description Sheet'!K28</f>
        <v>No</v>
      </c>
      <c r="N29" s="67">
        <f>'Description Sheet'!L28</f>
        <v>0</v>
      </c>
      <c r="O29" s="73">
        <f>'Year (2022-2023)'!O29*(('Description Sheet'!M4)+1)</f>
        <v>13723.862400000002</v>
      </c>
      <c r="P29" s="68">
        <f>N29*O29</f>
        <v>0</v>
      </c>
      <c r="Q29" s="14"/>
      <c r="R29" s="44"/>
    </row>
    <row r="30" spans="1:18" hidden="1">
      <c r="A30" s="14"/>
      <c r="B30" s="109">
        <f>'Description Sheet'!B29</f>
        <v>3.3</v>
      </c>
      <c r="C30" s="152" t="str">
        <f>'Description Sheet'!C29</f>
        <v>Solar Panels (Maintenance &amp; Upgrade Savings)</v>
      </c>
      <c r="D30" s="107"/>
      <c r="E30" s="153" t="str">
        <f>IF('Maintenance Schedule'!J35="x","x","")</f>
        <v/>
      </c>
      <c r="F30" s="153" t="str">
        <f t="shared" ref="F30:F32" si="11">IF(E30="x","No","")</f>
        <v/>
      </c>
      <c r="G30" s="154">
        <f t="shared" ref="G30:G32" si="12">IF(E30="x",1,0)</f>
        <v>0</v>
      </c>
      <c r="H30" s="155">
        <f t="shared" si="10"/>
        <v>0</v>
      </c>
      <c r="I30" s="156">
        <f t="shared" ref="I30:I32" si="13">IF(E30="x",G30*H30,0)</f>
        <v>0</v>
      </c>
      <c r="J30" s="14"/>
      <c r="K30" s="15"/>
      <c r="L30" s="32"/>
      <c r="M30" s="70" t="str">
        <f>'Description Sheet'!K29</f>
        <v>No</v>
      </c>
      <c r="N30" s="67">
        <f>'Description Sheet'!L29</f>
        <v>0</v>
      </c>
      <c r="O30" s="73">
        <f>'Year (2022-2023)'!O30*(('Description Sheet'!M4)+1)</f>
        <v>7581.6000000000013</v>
      </c>
      <c r="P30" s="68">
        <f t="shared" ref="P30:P32" si="14">N30*O30</f>
        <v>0</v>
      </c>
      <c r="Q30" s="14"/>
      <c r="R30" s="44"/>
    </row>
    <row r="31" spans="1:18" hidden="1">
      <c r="A31" s="14"/>
      <c r="B31" s="109">
        <f>'Description Sheet'!B30</f>
        <v>3.4</v>
      </c>
      <c r="C31" s="152" t="str">
        <f>'Description Sheet'!C30</f>
        <v>blank</v>
      </c>
      <c r="D31" s="107"/>
      <c r="E31" s="153" t="str">
        <f>IF('Maintenance Schedule'!J36="x","x","")</f>
        <v/>
      </c>
      <c r="F31" s="153" t="str">
        <f t="shared" si="11"/>
        <v/>
      </c>
      <c r="G31" s="154">
        <f t="shared" si="12"/>
        <v>0</v>
      </c>
      <c r="H31" s="155">
        <f t="shared" si="10"/>
        <v>0</v>
      </c>
      <c r="I31" s="156">
        <f t="shared" si="13"/>
        <v>0</v>
      </c>
      <c r="J31" s="14"/>
      <c r="K31" s="15"/>
      <c r="L31" s="32"/>
      <c r="M31" s="70" t="str">
        <f>'Description Sheet'!K30</f>
        <v>No</v>
      </c>
      <c r="N31" s="67">
        <f>'Description Sheet'!L30</f>
        <v>0</v>
      </c>
      <c r="O31" s="73">
        <f>'Year (2022-2023)'!O31*(('Description Sheet'!M4)+1)</f>
        <v>0</v>
      </c>
      <c r="P31" s="68">
        <f t="shared" si="14"/>
        <v>0</v>
      </c>
      <c r="Q31" s="14"/>
      <c r="R31" s="44"/>
    </row>
    <row r="32" spans="1:18" hidden="1">
      <c r="A32" s="14"/>
      <c r="B32" s="109">
        <f>'Description Sheet'!B31</f>
        <v>3.5</v>
      </c>
      <c r="C32" s="152" t="str">
        <f>'Description Sheet'!C31</f>
        <v>blank</v>
      </c>
      <c r="D32" s="107"/>
      <c r="E32" s="153" t="str">
        <f>IF('Maintenance Schedule'!J37="x","x","")</f>
        <v/>
      </c>
      <c r="F32" s="153" t="str">
        <f t="shared" si="11"/>
        <v/>
      </c>
      <c r="G32" s="154">
        <f t="shared" si="12"/>
        <v>0</v>
      </c>
      <c r="H32" s="155">
        <f t="shared" si="10"/>
        <v>0</v>
      </c>
      <c r="I32" s="156">
        <f t="shared" si="13"/>
        <v>0</v>
      </c>
      <c r="J32" s="14"/>
      <c r="K32" s="15"/>
      <c r="L32" s="32"/>
      <c r="M32" s="70" t="str">
        <f>'Description Sheet'!K31</f>
        <v>No</v>
      </c>
      <c r="N32" s="67">
        <f>'Description Sheet'!L31</f>
        <v>0</v>
      </c>
      <c r="O32" s="73">
        <f>'Year (2022-2023)'!O32*(('Description Sheet'!M4)+1)</f>
        <v>0</v>
      </c>
      <c r="P32" s="68">
        <f t="shared" si="14"/>
        <v>0</v>
      </c>
      <c r="Q32" s="14"/>
      <c r="R32" s="44"/>
    </row>
    <row r="33" spans="1:18" ht="17" hidden="1" thickBot="1">
      <c r="A33" s="14"/>
      <c r="B33" s="109"/>
      <c r="C33" s="152"/>
      <c r="D33" s="107"/>
      <c r="E33" s="162"/>
      <c r="F33" s="154"/>
      <c r="G33" s="154"/>
      <c r="H33" s="155"/>
      <c r="I33" s="155"/>
      <c r="J33" s="14"/>
      <c r="K33" s="15"/>
      <c r="L33" s="32"/>
      <c r="M33" s="67"/>
      <c r="N33" s="67"/>
      <c r="O33" s="73"/>
      <c r="P33" s="68"/>
      <c r="Q33" s="14"/>
      <c r="R33" s="44"/>
    </row>
    <row r="34" spans="1:18" s="4" customFormat="1" ht="15.75" hidden="1" customHeight="1" thickBot="1">
      <c r="A34" s="14"/>
      <c r="B34" s="109"/>
      <c r="C34" s="152"/>
      <c r="D34" s="107"/>
      <c r="E34" s="159"/>
      <c r="F34" s="528" t="s">
        <v>7</v>
      </c>
      <c r="G34" s="529"/>
      <c r="H34" s="530">
        <f>SUM(I28:I32)</f>
        <v>0</v>
      </c>
      <c r="I34" s="531"/>
      <c r="J34" s="14"/>
      <c r="K34" s="15"/>
      <c r="L34" s="33"/>
      <c r="M34" s="508" t="s">
        <v>7</v>
      </c>
      <c r="N34" s="509"/>
      <c r="O34" s="510">
        <f>SUM(P28:P33)</f>
        <v>0</v>
      </c>
      <c r="P34" s="511"/>
      <c r="Q34" s="14"/>
      <c r="R34" s="31"/>
    </row>
    <row r="35" spans="1:18" ht="17" hidden="1" thickBot="1">
      <c r="A35" s="14"/>
      <c r="B35" s="109">
        <f>'Description Sheet'!B34</f>
        <v>4</v>
      </c>
      <c r="C35" s="113" t="str">
        <f>'Description Sheet'!C34</f>
        <v>Lifts</v>
      </c>
      <c r="D35" s="107"/>
      <c r="E35" s="110"/>
      <c r="F35" s="110"/>
      <c r="G35" s="110"/>
      <c r="H35" s="110"/>
      <c r="I35" s="151"/>
      <c r="J35" s="32"/>
      <c r="K35" s="40"/>
      <c r="L35" s="33"/>
      <c r="M35" s="24"/>
      <c r="N35" s="25"/>
      <c r="O35" s="25"/>
      <c r="P35" s="63"/>
      <c r="Q35" s="14"/>
      <c r="R35" s="44"/>
    </row>
    <row r="36" spans="1:18" hidden="1">
      <c r="A36" s="14"/>
      <c r="B36" s="109">
        <f>'Description Sheet'!B35</f>
        <v>4.0999999999999996</v>
      </c>
      <c r="C36" s="152" t="str">
        <f>'Description Sheet'!C35</f>
        <v>Lift Upgrade Savings</v>
      </c>
      <c r="D36" s="107"/>
      <c r="E36" s="153" t="str">
        <f>IF('Maintenance Schedule'!J44="x","x","")</f>
        <v/>
      </c>
      <c r="F36" s="153" t="str">
        <f>IF(E36="x","No","")</f>
        <v/>
      </c>
      <c r="G36" s="154">
        <f>IF(E36="x",1,0)</f>
        <v>0</v>
      </c>
      <c r="H36" s="155">
        <f t="shared" ref="H36:H39" si="15">IF(E36="x",P36,0)</f>
        <v>0</v>
      </c>
      <c r="I36" s="156">
        <f>IF(E36="x",G36*H36,0)</f>
        <v>0</v>
      </c>
      <c r="J36" s="14"/>
      <c r="K36" s="15"/>
      <c r="L36" s="32"/>
      <c r="M36" s="70" t="str">
        <f>'Description Sheet'!K35</f>
        <v>No</v>
      </c>
      <c r="N36" s="67">
        <f>'Description Sheet'!L35</f>
        <v>1</v>
      </c>
      <c r="O36" s="73">
        <f>'Year (2022-2023)'!O36*(('Description Sheet'!M4)+1)</f>
        <v>102931.30080000001</v>
      </c>
      <c r="P36" s="68">
        <f>N36*O36</f>
        <v>102931.30080000001</v>
      </c>
      <c r="Q36" s="14"/>
      <c r="R36" s="44"/>
    </row>
    <row r="37" spans="1:18" hidden="1">
      <c r="A37" s="14"/>
      <c r="B37" s="109">
        <f>'Description Sheet'!B36</f>
        <v>4.2</v>
      </c>
      <c r="C37" s="152" t="str">
        <f>'Description Sheet'!C36</f>
        <v>Lift Replacement (Only in 12-15 years)</v>
      </c>
      <c r="D37" s="107"/>
      <c r="E37" s="153" t="str">
        <f>IF('Maintenance Schedule'!J45="x","x","")</f>
        <v/>
      </c>
      <c r="F37" s="153" t="str">
        <f t="shared" ref="F37:F39" si="16">IF(E37="x","No","")</f>
        <v/>
      </c>
      <c r="G37" s="154">
        <f t="shared" ref="G37:G39" si="17">IF(E37="x",1,0)</f>
        <v>0</v>
      </c>
      <c r="H37" s="155">
        <f t="shared" si="15"/>
        <v>0</v>
      </c>
      <c r="I37" s="156">
        <f t="shared" ref="I37:I39" si="18">IF(E37="x",G37*H37,0)</f>
        <v>0</v>
      </c>
      <c r="J37" s="14"/>
      <c r="K37" s="15"/>
      <c r="L37" s="32"/>
      <c r="M37" s="70" t="str">
        <f>'Description Sheet'!K36</f>
        <v>No</v>
      </c>
      <c r="N37" s="67">
        <f>'Description Sheet'!L36</f>
        <v>0</v>
      </c>
      <c r="O37" s="73">
        <f>'Year (2022-2023)'!O37*(('Description Sheet'!M4)+1)</f>
        <v>953324.38080000004</v>
      </c>
      <c r="P37" s="68">
        <f t="shared" ref="P37:P39" si="19">N37*O37</f>
        <v>0</v>
      </c>
      <c r="Q37" s="14"/>
      <c r="R37" s="44"/>
    </row>
    <row r="38" spans="1:18" hidden="1">
      <c r="A38" s="14"/>
      <c r="B38" s="109">
        <f>'Description Sheet'!B37</f>
        <v>4.3</v>
      </c>
      <c r="C38" s="152" t="str">
        <f>'Description Sheet'!C37</f>
        <v>blank</v>
      </c>
      <c r="D38" s="107"/>
      <c r="E38" s="153" t="str">
        <f>IF('Maintenance Schedule'!J46="x","x","")</f>
        <v/>
      </c>
      <c r="F38" s="153" t="str">
        <f t="shared" si="16"/>
        <v/>
      </c>
      <c r="G38" s="154">
        <f t="shared" si="17"/>
        <v>0</v>
      </c>
      <c r="H38" s="155">
        <f t="shared" si="15"/>
        <v>0</v>
      </c>
      <c r="I38" s="156">
        <f t="shared" si="18"/>
        <v>0</v>
      </c>
      <c r="J38" s="14"/>
      <c r="K38" s="15"/>
      <c r="L38" s="32"/>
      <c r="M38" s="70" t="str">
        <f>'Description Sheet'!K37</f>
        <v>No</v>
      </c>
      <c r="N38" s="67">
        <f>'Description Sheet'!L37</f>
        <v>0</v>
      </c>
      <c r="O38" s="73">
        <f>'Year (2022-2023)'!O38*(('Description Sheet'!M4)+1)</f>
        <v>0</v>
      </c>
      <c r="P38" s="68">
        <f t="shared" si="19"/>
        <v>0</v>
      </c>
      <c r="Q38" s="14"/>
      <c r="R38" s="44"/>
    </row>
    <row r="39" spans="1:18" hidden="1">
      <c r="A39" s="14"/>
      <c r="B39" s="109">
        <f>'Description Sheet'!B38</f>
        <v>4.4000000000000004</v>
      </c>
      <c r="C39" s="152" t="str">
        <f>'Description Sheet'!C38</f>
        <v>blank</v>
      </c>
      <c r="D39" s="107"/>
      <c r="E39" s="153" t="str">
        <f>IF('Maintenance Schedule'!J47="x","x","")</f>
        <v/>
      </c>
      <c r="F39" s="153" t="str">
        <f t="shared" si="16"/>
        <v/>
      </c>
      <c r="G39" s="154">
        <f t="shared" si="17"/>
        <v>0</v>
      </c>
      <c r="H39" s="155">
        <f t="shared" si="15"/>
        <v>0</v>
      </c>
      <c r="I39" s="156">
        <f t="shared" si="18"/>
        <v>0</v>
      </c>
      <c r="J39" s="14"/>
      <c r="K39" s="15"/>
      <c r="L39" s="32"/>
      <c r="M39" s="70" t="str">
        <f>'Description Sheet'!K38</f>
        <v>No</v>
      </c>
      <c r="N39" s="67">
        <f>'Description Sheet'!L38</f>
        <v>0</v>
      </c>
      <c r="O39" s="73">
        <f>'Year (2022-2023)'!O39*(('Description Sheet'!M4)+1)</f>
        <v>0</v>
      </c>
      <c r="P39" s="68">
        <f t="shared" si="19"/>
        <v>0</v>
      </c>
      <c r="Q39" s="14"/>
      <c r="R39" s="44"/>
    </row>
    <row r="40" spans="1:18" ht="17" hidden="1" thickBot="1">
      <c r="A40" s="14"/>
      <c r="B40" s="109"/>
      <c r="C40" s="152"/>
      <c r="D40" s="107"/>
      <c r="E40" s="162"/>
      <c r="F40" s="154"/>
      <c r="G40" s="154"/>
      <c r="H40" s="155"/>
      <c r="I40" s="155"/>
      <c r="J40" s="14"/>
      <c r="K40" s="15"/>
      <c r="L40" s="32"/>
      <c r="M40" s="67"/>
      <c r="N40" s="67"/>
      <c r="O40" s="73"/>
      <c r="P40" s="68"/>
      <c r="Q40" s="14"/>
      <c r="R40" s="44"/>
    </row>
    <row r="41" spans="1:18" s="4" customFormat="1" ht="15.75" hidden="1" customHeight="1" thickBot="1">
      <c r="A41" s="14"/>
      <c r="B41" s="109"/>
      <c r="C41" s="152"/>
      <c r="D41" s="107"/>
      <c r="E41" s="159"/>
      <c r="F41" s="528" t="s">
        <v>7</v>
      </c>
      <c r="G41" s="529"/>
      <c r="H41" s="530">
        <f>SUM(I36:I40)</f>
        <v>0</v>
      </c>
      <c r="I41" s="531"/>
      <c r="J41" s="14"/>
      <c r="K41" s="15"/>
      <c r="L41" s="33"/>
      <c r="M41" s="508" t="s">
        <v>7</v>
      </c>
      <c r="N41" s="509"/>
      <c r="O41" s="510">
        <f>SUM(P36:P40)</f>
        <v>102931.30080000001</v>
      </c>
      <c r="P41" s="511"/>
      <c r="Q41" s="14"/>
      <c r="R41" s="31"/>
    </row>
    <row r="42" spans="1:18" ht="17" thickBot="1">
      <c r="A42" s="14"/>
      <c r="B42" s="109">
        <f>'Description Sheet'!B41</f>
        <v>5</v>
      </c>
      <c r="C42" s="150" t="str">
        <f>'Description Sheet'!C41</f>
        <v>Carpeting and Furnishing</v>
      </c>
      <c r="D42" s="107"/>
      <c r="E42" s="110"/>
      <c r="F42" s="110"/>
      <c r="G42" s="110"/>
      <c r="H42" s="110"/>
      <c r="I42" s="151"/>
      <c r="J42" s="32"/>
      <c r="K42" s="40"/>
      <c r="L42" s="33"/>
      <c r="M42" s="24"/>
      <c r="N42" s="25"/>
      <c r="O42" s="25"/>
      <c r="P42" s="63"/>
      <c r="Q42" s="14"/>
      <c r="R42" s="44"/>
    </row>
    <row r="43" spans="1:18">
      <c r="A43" s="14"/>
      <c r="B43" s="109">
        <f>'Description Sheet'!B42</f>
        <v>5.0999999999999996</v>
      </c>
      <c r="C43" s="152" t="str">
        <f>'Description Sheet'!C42</f>
        <v>Common Area Equipment/Furnishings (Replacement/Maintenance)</v>
      </c>
      <c r="D43" s="107"/>
      <c r="E43" s="153" t="str">
        <f>IF('Maintenance Schedule'!J54="x","x","")</f>
        <v>x</v>
      </c>
      <c r="F43" s="153" t="str">
        <f>IF(E43="x","No","")</f>
        <v>No</v>
      </c>
      <c r="G43" s="154">
        <f>IF(E43="x",1,0)</f>
        <v>1</v>
      </c>
      <c r="H43" s="155">
        <f t="shared" ref="H43:H46" si="20">IF(E43="x",P43,0)</f>
        <v>4082.4000000000005</v>
      </c>
      <c r="I43" s="156">
        <f>IF(E43="x",G43*H43,0)</f>
        <v>4082.4000000000005</v>
      </c>
      <c r="J43" s="14"/>
      <c r="K43" s="15"/>
      <c r="L43" s="32"/>
      <c r="M43" s="70" t="str">
        <f>'Description Sheet'!K42</f>
        <v>No</v>
      </c>
      <c r="N43" s="67">
        <f>'Description Sheet'!L42</f>
        <v>1</v>
      </c>
      <c r="O43" s="73">
        <f>'Year (2022-2023)'!O43*(('Description Sheet'!M4)+1)</f>
        <v>4082.4000000000005</v>
      </c>
      <c r="P43" s="68">
        <f>N43*O43</f>
        <v>4082.4000000000005</v>
      </c>
      <c r="Q43" s="14"/>
      <c r="R43" s="44"/>
    </row>
    <row r="44" spans="1:18" hidden="1">
      <c r="A44" s="14"/>
      <c r="B44" s="109">
        <f>'Description Sheet'!B43</f>
        <v>5.2</v>
      </c>
      <c r="C44" s="152" t="str">
        <f>'Description Sheet'!C43</f>
        <v>blank</v>
      </c>
      <c r="D44" s="107"/>
      <c r="E44" s="153" t="str">
        <f>IF('Maintenance Schedule'!J55="x","x","")</f>
        <v/>
      </c>
      <c r="F44" s="153" t="str">
        <f t="shared" ref="F44:F46" si="21">IF(E44="x","No","")</f>
        <v/>
      </c>
      <c r="G44" s="154">
        <f t="shared" ref="G44:G46" si="22">IF(E44="x",1,0)</f>
        <v>0</v>
      </c>
      <c r="H44" s="155">
        <f t="shared" si="20"/>
        <v>0</v>
      </c>
      <c r="I44" s="156">
        <f t="shared" ref="I44:I46" si="23">IF(E44="x",G44*H44,0)</f>
        <v>0</v>
      </c>
      <c r="J44" s="14"/>
      <c r="K44" s="15"/>
      <c r="L44" s="32"/>
      <c r="M44" s="70" t="str">
        <f>'Description Sheet'!K43</f>
        <v>No</v>
      </c>
      <c r="N44" s="67">
        <f>'Description Sheet'!L43</f>
        <v>0</v>
      </c>
      <c r="O44" s="73">
        <f>'Year (2022-2023)'!O44*(('Description Sheet'!M4)+1)</f>
        <v>0</v>
      </c>
      <c r="P44" s="68">
        <f t="shared" ref="P44:P46" si="24">N44*O44</f>
        <v>0</v>
      </c>
      <c r="Q44" s="14"/>
      <c r="R44" s="44"/>
    </row>
    <row r="45" spans="1:18" hidden="1">
      <c r="A45" s="14"/>
      <c r="B45" s="109">
        <f>'Description Sheet'!B44</f>
        <v>5.3</v>
      </c>
      <c r="C45" s="152" t="str">
        <f>'Description Sheet'!C44</f>
        <v>blank</v>
      </c>
      <c r="D45" s="107"/>
      <c r="E45" s="153" t="str">
        <f>IF('Maintenance Schedule'!J56="x","x","")</f>
        <v/>
      </c>
      <c r="F45" s="153" t="str">
        <f t="shared" si="21"/>
        <v/>
      </c>
      <c r="G45" s="154">
        <f t="shared" si="22"/>
        <v>0</v>
      </c>
      <c r="H45" s="155">
        <f t="shared" si="20"/>
        <v>0</v>
      </c>
      <c r="I45" s="156">
        <f t="shared" si="23"/>
        <v>0</v>
      </c>
      <c r="J45" s="14"/>
      <c r="K45" s="15"/>
      <c r="L45" s="32"/>
      <c r="M45" s="70" t="str">
        <f>'Description Sheet'!K44</f>
        <v>No</v>
      </c>
      <c r="N45" s="67">
        <f>'Description Sheet'!L44</f>
        <v>0</v>
      </c>
      <c r="O45" s="73">
        <f>'Year (2022-2023)'!O45*(('Description Sheet'!M4)+1)</f>
        <v>0</v>
      </c>
      <c r="P45" s="68">
        <f t="shared" si="24"/>
        <v>0</v>
      </c>
      <c r="Q45" s="14"/>
      <c r="R45" s="44"/>
    </row>
    <row r="46" spans="1:18" hidden="1">
      <c r="A46" s="14"/>
      <c r="B46" s="109">
        <f>'Description Sheet'!B45</f>
        <v>5.4</v>
      </c>
      <c r="C46" s="152" t="str">
        <f>'Description Sheet'!C45</f>
        <v>blank</v>
      </c>
      <c r="D46" s="107"/>
      <c r="E46" s="153" t="str">
        <f>IF('Maintenance Schedule'!J57="x","x","")</f>
        <v/>
      </c>
      <c r="F46" s="153" t="str">
        <f t="shared" si="21"/>
        <v/>
      </c>
      <c r="G46" s="154">
        <f t="shared" si="22"/>
        <v>0</v>
      </c>
      <c r="H46" s="155">
        <f t="shared" si="20"/>
        <v>0</v>
      </c>
      <c r="I46" s="156">
        <f t="shared" si="23"/>
        <v>0</v>
      </c>
      <c r="J46" s="14"/>
      <c r="K46" s="15"/>
      <c r="L46" s="32"/>
      <c r="M46" s="70" t="str">
        <f>'Description Sheet'!K45</f>
        <v>No</v>
      </c>
      <c r="N46" s="67">
        <f>'Description Sheet'!L45</f>
        <v>0</v>
      </c>
      <c r="O46" s="73">
        <f>'Year (2022-2023)'!O46*(('Description Sheet'!M4)+1)</f>
        <v>0</v>
      </c>
      <c r="P46" s="68">
        <f t="shared" si="24"/>
        <v>0</v>
      </c>
      <c r="Q46" s="14"/>
      <c r="R46" s="44"/>
    </row>
    <row r="47" spans="1:18" ht="17" thickBot="1">
      <c r="A47" s="14"/>
      <c r="B47" s="109"/>
      <c r="C47" s="152"/>
      <c r="D47" s="107"/>
      <c r="E47" s="162"/>
      <c r="F47" s="154"/>
      <c r="G47" s="154"/>
      <c r="H47" s="155"/>
      <c r="I47" s="155"/>
      <c r="J47" s="14"/>
      <c r="K47" s="15"/>
      <c r="L47" s="32"/>
      <c r="M47" s="67"/>
      <c r="N47" s="67"/>
      <c r="O47" s="73"/>
      <c r="P47" s="68"/>
      <c r="Q47" s="14"/>
      <c r="R47" s="44"/>
    </row>
    <row r="48" spans="1:18" s="4" customFormat="1" ht="15.75" customHeight="1" thickBot="1">
      <c r="A48" s="14"/>
      <c r="B48" s="109"/>
      <c r="C48" s="115"/>
      <c r="D48" s="107"/>
      <c r="E48" s="159"/>
      <c r="F48" s="528" t="s">
        <v>7</v>
      </c>
      <c r="G48" s="529"/>
      <c r="H48" s="530">
        <f>SUM(I43:I47)</f>
        <v>4082.4000000000005</v>
      </c>
      <c r="I48" s="531"/>
      <c r="J48" s="14"/>
      <c r="K48" s="15"/>
      <c r="L48" s="33"/>
      <c r="M48" s="508" t="s">
        <v>7</v>
      </c>
      <c r="N48" s="509"/>
      <c r="O48" s="510">
        <f>SUM(P43:P47)</f>
        <v>4082.4000000000005</v>
      </c>
      <c r="P48" s="511"/>
      <c r="Q48" s="14"/>
      <c r="R48" s="31"/>
    </row>
    <row r="49" spans="1:18" ht="17" thickBot="1">
      <c r="A49" s="14"/>
      <c r="B49" s="109">
        <f>'Description Sheet'!B48</f>
        <v>6</v>
      </c>
      <c r="C49" s="113" t="str">
        <f>'Description Sheet'!C48</f>
        <v>Roof  Areas</v>
      </c>
      <c r="D49" s="107"/>
      <c r="E49" s="110"/>
      <c r="F49" s="110"/>
      <c r="G49" s="110"/>
      <c r="H49" s="110"/>
      <c r="I49" s="151"/>
      <c r="J49" s="32"/>
      <c r="K49" s="40"/>
      <c r="L49" s="33"/>
      <c r="M49" s="24"/>
      <c r="N49" s="25"/>
      <c r="O49" s="25"/>
      <c r="P49" s="63"/>
      <c r="Q49" s="14"/>
      <c r="R49" s="44"/>
    </row>
    <row r="50" spans="1:18" hidden="1">
      <c r="A50" s="14"/>
      <c r="B50" s="109">
        <f>'Description Sheet'!B49</f>
        <v>6.1</v>
      </c>
      <c r="C50" s="152" t="str">
        <f>'Description Sheet'!C49</f>
        <v xml:space="preserve">Flashings/Counter Flashings </v>
      </c>
      <c r="D50" s="107"/>
      <c r="E50" s="153" t="str">
        <f>IF('Maintenance Schedule'!J64="x","x","")</f>
        <v/>
      </c>
      <c r="F50" s="153" t="str">
        <f>IF(E50="x","No","")</f>
        <v/>
      </c>
      <c r="G50" s="154">
        <f>IF(E50="x",1,0)</f>
        <v>0</v>
      </c>
      <c r="H50" s="155">
        <f t="shared" ref="H50:H66" si="25">IF(E50="x",P50,0)</f>
        <v>0</v>
      </c>
      <c r="I50" s="156">
        <f t="shared" ref="I50:I66" si="26">IF(E50="x",G50*H50,0)</f>
        <v>0</v>
      </c>
      <c r="J50" s="14"/>
      <c r="K50" s="15"/>
      <c r="L50" s="32"/>
      <c r="M50" s="67" t="str">
        <f>'Description Sheet'!K49</f>
        <v>No</v>
      </c>
      <c r="N50" s="67">
        <f>'Description Sheet'!L49</f>
        <v>0</v>
      </c>
      <c r="O50" s="73">
        <f>'Year (2022-2023)'!O50*(('Description Sheet'!M4)+1)</f>
        <v>11337.408000000001</v>
      </c>
      <c r="P50" s="69">
        <f t="shared" ref="P50:P66" si="27">N50*O50</f>
        <v>0</v>
      </c>
      <c r="Q50" s="14"/>
      <c r="R50" s="44"/>
    </row>
    <row r="51" spans="1:18" hidden="1">
      <c r="A51" s="14"/>
      <c r="B51" s="109">
        <f>'Description Sheet'!B50</f>
        <v>6.2</v>
      </c>
      <c r="C51" s="152" t="str">
        <f>'Description Sheet'!C50</f>
        <v>General Roof Repairs</v>
      </c>
      <c r="D51" s="107"/>
      <c r="E51" s="153" t="str">
        <f>IF('Maintenance Schedule'!J65="x","x","")</f>
        <v/>
      </c>
      <c r="F51" s="153" t="str">
        <f t="shared" ref="F51:F62" si="28">IF(E51="x","No","")</f>
        <v/>
      </c>
      <c r="G51" s="154">
        <f t="shared" ref="G51:G66" si="29">IF(E51="x",1,0)</f>
        <v>0</v>
      </c>
      <c r="H51" s="155">
        <f t="shared" si="25"/>
        <v>0</v>
      </c>
      <c r="I51" s="156">
        <f t="shared" si="26"/>
        <v>0</v>
      </c>
      <c r="J51" s="14"/>
      <c r="K51" s="15"/>
      <c r="L51" s="32"/>
      <c r="M51" s="67" t="str">
        <f>'Description Sheet'!K50</f>
        <v>No</v>
      </c>
      <c r="N51" s="67">
        <f>'Description Sheet'!L50</f>
        <v>0</v>
      </c>
      <c r="O51" s="73">
        <f>'Year (2022-2023)'!O51*(('Description Sheet'!M4)+1)</f>
        <v>12.597120000000002</v>
      </c>
      <c r="P51" s="69">
        <f t="shared" si="27"/>
        <v>0</v>
      </c>
      <c r="Q51" s="14"/>
      <c r="R51" s="44"/>
    </row>
    <row r="52" spans="1:18">
      <c r="A52" s="14"/>
      <c r="B52" s="109">
        <f>'Description Sheet'!B51</f>
        <v>6.3</v>
      </c>
      <c r="C52" s="152" t="str">
        <f>'Description Sheet'!C51</f>
        <v>Cleaning &amp; Maintenance &amp; Repairs of Gutters and Downpipes</v>
      </c>
      <c r="D52" s="107"/>
      <c r="E52" s="153" t="str">
        <f>IF('Maintenance Schedule'!J66="x","x","")</f>
        <v>x</v>
      </c>
      <c r="F52" s="153" t="str">
        <f t="shared" si="28"/>
        <v>No</v>
      </c>
      <c r="G52" s="154">
        <f t="shared" si="29"/>
        <v>1</v>
      </c>
      <c r="H52" s="155">
        <f t="shared" si="25"/>
        <v>3720.8160000000003</v>
      </c>
      <c r="I52" s="156">
        <f t="shared" si="26"/>
        <v>3720.8160000000003</v>
      </c>
      <c r="J52" s="14"/>
      <c r="K52" s="15"/>
      <c r="L52" s="32"/>
      <c r="M52" s="67" t="str">
        <f>'Description Sheet'!K51</f>
        <v>lm</v>
      </c>
      <c r="N52" s="67">
        <f>'Description Sheet'!L51</f>
        <v>110</v>
      </c>
      <c r="O52" s="73">
        <f>'Year (2022-2023)'!O52*(('Description Sheet'!M4)+1)</f>
        <v>33.825600000000001</v>
      </c>
      <c r="P52" s="69">
        <f t="shared" si="27"/>
        <v>3720.8160000000003</v>
      </c>
      <c r="Q52" s="14"/>
      <c r="R52" s="44"/>
    </row>
    <row r="53" spans="1:18" hidden="1">
      <c r="A53" s="14"/>
      <c r="B53" s="109">
        <f>'Description Sheet'!B52</f>
        <v>6.4</v>
      </c>
      <c r="C53" s="152" t="str">
        <f>'Description Sheet'!C52</f>
        <v xml:space="preserve">Painting &amp; Repair of Metal Roof Areas </v>
      </c>
      <c r="D53" s="107"/>
      <c r="E53" s="153" t="str">
        <f>IF('Maintenance Schedule'!J67="x","x","")</f>
        <v/>
      </c>
      <c r="F53" s="153" t="str">
        <f>IF(E53="x","item","")</f>
        <v/>
      </c>
      <c r="G53" s="154">
        <f t="shared" si="29"/>
        <v>0</v>
      </c>
      <c r="H53" s="155">
        <f t="shared" si="25"/>
        <v>0</v>
      </c>
      <c r="I53" s="156">
        <f t="shared" si="26"/>
        <v>0</v>
      </c>
      <c r="J53" s="14"/>
      <c r="K53" s="15"/>
      <c r="L53" s="32"/>
      <c r="M53" s="67" t="str">
        <f>'Description Sheet'!K52</f>
        <v>m2</v>
      </c>
      <c r="N53" s="67">
        <f>'Description Sheet'!L52</f>
        <v>0</v>
      </c>
      <c r="O53" s="73">
        <f>'Year (2022-2023)'!O53*(('Description Sheet'!M4)+1)</f>
        <v>194.78880000000004</v>
      </c>
      <c r="P53" s="69">
        <f t="shared" si="27"/>
        <v>0</v>
      </c>
      <c r="Q53" s="14"/>
      <c r="R53" s="44"/>
    </row>
    <row r="54" spans="1:18" hidden="1">
      <c r="A54" s="14"/>
      <c r="B54" s="109">
        <f>'Description Sheet'!B53</f>
        <v>6.5</v>
      </c>
      <c r="C54" s="152" t="str">
        <f>'Description Sheet'!C53</f>
        <v xml:space="preserve">Painting &amp; Repair of Tile Roof Areas </v>
      </c>
      <c r="D54" s="107"/>
      <c r="E54" s="153" t="str">
        <f>IF('Maintenance Schedule'!J68="x","x","")</f>
        <v/>
      </c>
      <c r="F54" s="153" t="str">
        <f>IF(E54="x","item","")</f>
        <v/>
      </c>
      <c r="G54" s="154">
        <f t="shared" si="29"/>
        <v>0</v>
      </c>
      <c r="H54" s="155">
        <f t="shared" si="25"/>
        <v>0</v>
      </c>
      <c r="I54" s="156">
        <f t="shared" si="26"/>
        <v>0</v>
      </c>
      <c r="J54" s="14"/>
      <c r="K54" s="15"/>
      <c r="L54" s="32"/>
      <c r="M54" s="67" t="str">
        <f>'Description Sheet'!K53</f>
        <v>m2</v>
      </c>
      <c r="N54" s="67">
        <f>'Description Sheet'!L53</f>
        <v>0</v>
      </c>
      <c r="O54" s="73">
        <f>'Year (2022-2023)'!O54*(('Description Sheet'!M4)+1)</f>
        <v>106.14240000000001</v>
      </c>
      <c r="P54" s="69">
        <f t="shared" si="27"/>
        <v>0</v>
      </c>
      <c r="Q54" s="14"/>
      <c r="R54" s="44"/>
    </row>
    <row r="55" spans="1:18" hidden="1">
      <c r="A55" s="14"/>
      <c r="B55" s="109">
        <f>'Description Sheet'!B54</f>
        <v>6.6</v>
      </c>
      <c r="C55" s="152" t="str">
        <f>'Description Sheet'!C54</f>
        <v xml:space="preserve">Painting &amp; Repairs of Asbestos Roof Areas </v>
      </c>
      <c r="D55" s="107"/>
      <c r="E55" s="153" t="str">
        <f>IF('Maintenance Schedule'!J69="x","x","")</f>
        <v/>
      </c>
      <c r="F55" s="153" t="str">
        <f t="shared" si="28"/>
        <v/>
      </c>
      <c r="G55" s="154">
        <f t="shared" si="29"/>
        <v>0</v>
      </c>
      <c r="H55" s="155">
        <f t="shared" si="25"/>
        <v>0</v>
      </c>
      <c r="I55" s="156">
        <f t="shared" si="26"/>
        <v>0</v>
      </c>
      <c r="J55" s="14"/>
      <c r="K55" s="15"/>
      <c r="L55" s="32"/>
      <c r="M55" s="67" t="str">
        <f>'Description Sheet'!K54</f>
        <v>m2</v>
      </c>
      <c r="N55" s="67">
        <f>'Description Sheet'!L54</f>
        <v>0</v>
      </c>
      <c r="O55" s="73">
        <f>'Year (2022-2023)'!O55*(('Description Sheet'!M4)+1)</f>
        <v>220.44960000000003</v>
      </c>
      <c r="P55" s="69">
        <f t="shared" si="27"/>
        <v>0</v>
      </c>
      <c r="Q55" s="14"/>
      <c r="R55" s="44"/>
    </row>
    <row r="56" spans="1:18" hidden="1">
      <c r="A56" s="14"/>
      <c r="B56" s="109">
        <f>'Description Sheet'!B55</f>
        <v>6.7</v>
      </c>
      <c r="C56" s="152" t="str">
        <f>'Description Sheet'!C55</f>
        <v xml:space="preserve">Painting &amp; Repairs of Fibre Cement Roof Areas </v>
      </c>
      <c r="D56" s="107"/>
      <c r="E56" s="153" t="str">
        <f>IF('Maintenance Schedule'!J70="x","x","")</f>
        <v/>
      </c>
      <c r="F56" s="153" t="str">
        <f>IF(E56="x","item","")</f>
        <v/>
      </c>
      <c r="G56" s="154">
        <f t="shared" si="29"/>
        <v>0</v>
      </c>
      <c r="H56" s="155">
        <f t="shared" si="25"/>
        <v>0</v>
      </c>
      <c r="I56" s="156">
        <f t="shared" si="26"/>
        <v>0</v>
      </c>
      <c r="J56" s="14"/>
      <c r="K56" s="15"/>
      <c r="L56" s="32"/>
      <c r="M56" s="67" t="str">
        <f>'Description Sheet'!K55</f>
        <v>m2</v>
      </c>
      <c r="N56" s="67">
        <f>'Description Sheet'!L55</f>
        <v>0</v>
      </c>
      <c r="O56" s="73">
        <f>'Year (2022-2023)'!O56*(('Description Sheet'!M4)+1)</f>
        <v>207.61920000000003</v>
      </c>
      <c r="P56" s="69">
        <f t="shared" si="27"/>
        <v>0</v>
      </c>
      <c r="Q56" s="14"/>
      <c r="R56" s="44"/>
    </row>
    <row r="57" spans="1:18" hidden="1">
      <c r="A57" s="14"/>
      <c r="B57" s="109">
        <f>'Description Sheet'!B56</f>
        <v>6.8</v>
      </c>
      <c r="C57" s="152" t="str">
        <f>'Description Sheet'!C56</f>
        <v>Servicing of Roof Screws</v>
      </c>
      <c r="D57" s="107"/>
      <c r="E57" s="153" t="str">
        <f>IF('Maintenance Schedule'!J71="x","x","")</f>
        <v/>
      </c>
      <c r="F57" s="153" t="str">
        <f t="shared" ref="F57:F59" si="30">IF(E57="x","item","")</f>
        <v/>
      </c>
      <c r="G57" s="154">
        <f t="shared" si="29"/>
        <v>0</v>
      </c>
      <c r="H57" s="155">
        <f t="shared" si="25"/>
        <v>0</v>
      </c>
      <c r="I57" s="156">
        <f t="shared" si="26"/>
        <v>0</v>
      </c>
      <c r="J57" s="14"/>
      <c r="K57" s="15"/>
      <c r="L57" s="32"/>
      <c r="M57" s="67" t="str">
        <f>'Description Sheet'!K56</f>
        <v>No</v>
      </c>
      <c r="N57" s="67">
        <f>'Description Sheet'!L56</f>
        <v>0</v>
      </c>
      <c r="O57" s="73">
        <f>'Year (2022-2023)'!O57*(('Description Sheet'!M4)+1)</f>
        <v>7558.2720000000008</v>
      </c>
      <c r="P57" s="69">
        <f t="shared" si="27"/>
        <v>0</v>
      </c>
      <c r="Q57" s="14"/>
      <c r="R57" s="44"/>
    </row>
    <row r="58" spans="1:18" hidden="1">
      <c r="A58" s="14"/>
      <c r="B58" s="109">
        <f>'Description Sheet'!B57</f>
        <v>6.9</v>
      </c>
      <c r="C58" s="152" t="str">
        <f>'Description Sheet'!C57</f>
        <v xml:space="preserve">Servicing and Re-lignment of Gutters </v>
      </c>
      <c r="D58" s="107"/>
      <c r="E58" s="153" t="str">
        <f>IF('Maintenance Schedule'!J72="x","x","")</f>
        <v/>
      </c>
      <c r="F58" s="153" t="str">
        <f t="shared" si="30"/>
        <v/>
      </c>
      <c r="G58" s="154">
        <f t="shared" si="29"/>
        <v>0</v>
      </c>
      <c r="H58" s="155">
        <f t="shared" si="25"/>
        <v>0</v>
      </c>
      <c r="I58" s="156">
        <f t="shared" si="26"/>
        <v>0</v>
      </c>
      <c r="J58" s="14"/>
      <c r="K58" s="15"/>
      <c r="L58" s="32"/>
      <c r="M58" s="67" t="str">
        <f>'Description Sheet'!K57</f>
        <v>item</v>
      </c>
      <c r="N58" s="67">
        <f>'Description Sheet'!L57</f>
        <v>0</v>
      </c>
      <c r="O58" s="73">
        <f>'Year (2022-2023)'!O58*(('Description Sheet'!M4)+1)</f>
        <v>4408.9920000000002</v>
      </c>
      <c r="P58" s="69">
        <f t="shared" si="27"/>
        <v>0</v>
      </c>
      <c r="Q58" s="14"/>
      <c r="R58" s="44"/>
    </row>
    <row r="59" spans="1:18" hidden="1">
      <c r="A59" s="14"/>
      <c r="B59" s="112">
        <f>'Description Sheet'!B58</f>
        <v>6.1</v>
      </c>
      <c r="C59" s="152" t="str">
        <f>'Description Sheet'!C58</f>
        <v>Replacement of Damaged Metal Roof Sheeting</v>
      </c>
      <c r="D59" s="107"/>
      <c r="E59" s="153" t="str">
        <f>IF('Maintenance Schedule'!J73="x","x","")</f>
        <v/>
      </c>
      <c r="F59" s="153" t="str">
        <f t="shared" si="30"/>
        <v/>
      </c>
      <c r="G59" s="154">
        <f t="shared" si="29"/>
        <v>0</v>
      </c>
      <c r="H59" s="155">
        <f t="shared" si="25"/>
        <v>0</v>
      </c>
      <c r="I59" s="156">
        <f t="shared" si="26"/>
        <v>0</v>
      </c>
      <c r="J59" s="14"/>
      <c r="K59" s="15"/>
      <c r="L59" s="32"/>
      <c r="M59" s="67" t="str">
        <f>'Description Sheet'!K58</f>
        <v>m2</v>
      </c>
      <c r="N59" s="67">
        <f>'Description Sheet'!L58</f>
        <v>0</v>
      </c>
      <c r="O59" s="73">
        <f>'Year (2022-2023)'!O59*(('Description Sheet'!M4)+1)</f>
        <v>566.87040000000002</v>
      </c>
      <c r="P59" s="69">
        <f t="shared" si="27"/>
        <v>0</v>
      </c>
      <c r="Q59" s="14"/>
      <c r="R59" s="44"/>
    </row>
    <row r="60" spans="1:18" hidden="1">
      <c r="A60" s="14"/>
      <c r="B60" s="112">
        <f>'Description Sheet'!B59</f>
        <v>6.11</v>
      </c>
      <c r="C60" s="152" t="str">
        <f>'Description Sheet'!C59</f>
        <v>Replacement of Polycarbonate Roof Sheeting</v>
      </c>
      <c r="D60" s="107"/>
      <c r="E60" s="153" t="str">
        <f>IF('Maintenance Schedule'!J74="x","x","")</f>
        <v/>
      </c>
      <c r="F60" s="153" t="str">
        <f t="shared" si="28"/>
        <v/>
      </c>
      <c r="G60" s="154">
        <f t="shared" si="29"/>
        <v>0</v>
      </c>
      <c r="H60" s="155">
        <f t="shared" si="25"/>
        <v>0</v>
      </c>
      <c r="I60" s="156">
        <f t="shared" si="26"/>
        <v>0</v>
      </c>
      <c r="J60" s="14"/>
      <c r="K60" s="15"/>
      <c r="L60" s="32"/>
      <c r="M60" s="67" t="str">
        <f>'Description Sheet'!K59</f>
        <v>m2</v>
      </c>
      <c r="N60" s="67">
        <f>'Description Sheet'!L59</f>
        <v>0</v>
      </c>
      <c r="O60" s="73">
        <f>'Year (2022-2023)'!O60*(('Description Sheet'!M4)+1)</f>
        <v>629.85600000000011</v>
      </c>
      <c r="P60" s="69">
        <f t="shared" si="27"/>
        <v>0</v>
      </c>
      <c r="Q60" s="14"/>
      <c r="R60" s="44"/>
    </row>
    <row r="61" spans="1:18" hidden="1">
      <c r="A61" s="14"/>
      <c r="B61" s="112">
        <f>'Description Sheet'!B60</f>
        <v>6.12</v>
      </c>
      <c r="C61" s="152" t="str">
        <f>'Description Sheet'!C60</f>
        <v>Replacement of Tile Roofs</v>
      </c>
      <c r="D61" s="107"/>
      <c r="E61" s="153" t="str">
        <f>IF('Maintenance Schedule'!J75="x","x","")</f>
        <v/>
      </c>
      <c r="F61" s="153" t="str">
        <f t="shared" si="28"/>
        <v/>
      </c>
      <c r="G61" s="154">
        <f t="shared" si="29"/>
        <v>0</v>
      </c>
      <c r="H61" s="155">
        <f t="shared" si="25"/>
        <v>0</v>
      </c>
      <c r="I61" s="156">
        <f t="shared" si="26"/>
        <v>0</v>
      </c>
      <c r="J61" s="14"/>
      <c r="K61" s="15"/>
      <c r="L61" s="32"/>
      <c r="M61" s="67" t="str">
        <f>'Description Sheet'!K60</f>
        <v>m2</v>
      </c>
      <c r="N61" s="67">
        <f>'Description Sheet'!L60</f>
        <v>0</v>
      </c>
      <c r="O61" s="73">
        <f>'Year (2022-2023)'!O61*(('Description Sheet'!M4)+1)</f>
        <v>856.13760000000013</v>
      </c>
      <c r="P61" s="69">
        <f t="shared" si="27"/>
        <v>0</v>
      </c>
      <c r="Q61" s="14"/>
      <c r="R61" s="44"/>
    </row>
    <row r="62" spans="1:18" hidden="1">
      <c r="A62" s="14"/>
      <c r="B62" s="112">
        <f>'Description Sheet'!B61</f>
        <v>6.13</v>
      </c>
      <c r="C62" s="152" t="str">
        <f>'Description Sheet'!C61</f>
        <v>Replacement of Tile Roof and Structure</v>
      </c>
      <c r="D62" s="107"/>
      <c r="E62" s="153" t="str">
        <f>IF('Maintenance Schedule'!J76="x","x","")</f>
        <v/>
      </c>
      <c r="F62" s="153" t="str">
        <f t="shared" si="28"/>
        <v/>
      </c>
      <c r="G62" s="154">
        <f t="shared" si="29"/>
        <v>0</v>
      </c>
      <c r="H62" s="155">
        <f t="shared" si="25"/>
        <v>0</v>
      </c>
      <c r="I62" s="156">
        <f t="shared" si="26"/>
        <v>0</v>
      </c>
      <c r="J62" s="14"/>
      <c r="K62" s="15"/>
      <c r="L62" s="32"/>
      <c r="M62" s="67" t="str">
        <f>'Description Sheet'!K61</f>
        <v>m2</v>
      </c>
      <c r="N62" s="67">
        <f>'Description Sheet'!L61</f>
        <v>0</v>
      </c>
      <c r="O62" s="73">
        <f>'Year (2022-2023)'!O62*(('Description Sheet'!M4)+1)</f>
        <v>1059.0912000000001</v>
      </c>
      <c r="P62" s="69">
        <f t="shared" si="27"/>
        <v>0</v>
      </c>
      <c r="Q62" s="14"/>
      <c r="R62" s="44"/>
    </row>
    <row r="63" spans="1:18" hidden="1">
      <c r="A63" s="14"/>
      <c r="B63" s="112">
        <f>'Description Sheet'!B62</f>
        <v>6.14</v>
      </c>
      <c r="C63" s="152" t="str">
        <f>'Description Sheet'!C62</f>
        <v>Replacement of Fibre Cement Roof</v>
      </c>
      <c r="D63" s="107"/>
      <c r="E63" s="153" t="str">
        <f>IF('Maintenance Schedule'!J77="x","x","")</f>
        <v/>
      </c>
      <c r="F63" s="153" t="str">
        <f t="shared" ref="F63:F66" si="31">IF(E63="x","item","")</f>
        <v/>
      </c>
      <c r="G63" s="154">
        <f t="shared" si="29"/>
        <v>0</v>
      </c>
      <c r="H63" s="155">
        <f t="shared" si="25"/>
        <v>0</v>
      </c>
      <c r="I63" s="156">
        <f t="shared" si="26"/>
        <v>0</v>
      </c>
      <c r="J63" s="14"/>
      <c r="K63" s="15"/>
      <c r="L63" s="32"/>
      <c r="M63" s="67" t="str">
        <f>'Description Sheet'!K62</f>
        <v>m2</v>
      </c>
      <c r="N63" s="67">
        <f>'Description Sheet'!L62</f>
        <v>0</v>
      </c>
      <c r="O63" s="73">
        <f>'Year (2022-2023)'!O63*(('Description Sheet'!M4)+1)</f>
        <v>818.81280000000015</v>
      </c>
      <c r="P63" s="69">
        <f t="shared" si="27"/>
        <v>0</v>
      </c>
      <c r="Q63" s="14"/>
      <c r="R63" s="44"/>
    </row>
    <row r="64" spans="1:18" hidden="1">
      <c r="A64" s="14"/>
      <c r="B64" s="112">
        <f>'Description Sheet'!B63</f>
        <v>6.15</v>
      </c>
      <c r="C64" s="152" t="str">
        <f>'Description Sheet'!C63</f>
        <v>blank</v>
      </c>
      <c r="D64" s="107"/>
      <c r="E64" s="153" t="str">
        <f>IF('Maintenance Schedule'!J78="x","x","")</f>
        <v/>
      </c>
      <c r="F64" s="153" t="str">
        <f t="shared" si="31"/>
        <v/>
      </c>
      <c r="G64" s="154">
        <f t="shared" si="29"/>
        <v>0</v>
      </c>
      <c r="H64" s="155">
        <f t="shared" si="25"/>
        <v>0</v>
      </c>
      <c r="I64" s="156">
        <f t="shared" si="26"/>
        <v>0</v>
      </c>
      <c r="J64" s="14"/>
      <c r="K64" s="15"/>
      <c r="L64" s="32"/>
      <c r="M64" s="67" t="str">
        <f>'Description Sheet'!K63</f>
        <v>item</v>
      </c>
      <c r="N64" s="67">
        <f>'Description Sheet'!L63</f>
        <v>0</v>
      </c>
      <c r="O64" s="73">
        <f>'Year (2022-2023)'!O64*(('Description Sheet'!M4)+1)</f>
        <v>0</v>
      </c>
      <c r="P64" s="69">
        <f t="shared" si="27"/>
        <v>0</v>
      </c>
      <c r="Q64" s="14"/>
      <c r="R64" s="44"/>
    </row>
    <row r="65" spans="1:19" hidden="1">
      <c r="A65" s="14"/>
      <c r="B65" s="112">
        <f>'Description Sheet'!B64</f>
        <v>6.17</v>
      </c>
      <c r="C65" s="152" t="str">
        <f>'Description Sheet'!C64</f>
        <v>blank</v>
      </c>
      <c r="D65" s="107"/>
      <c r="E65" s="153" t="str">
        <f>IF('Maintenance Schedule'!J79="x","x","")</f>
        <v/>
      </c>
      <c r="F65" s="153" t="str">
        <f t="shared" si="31"/>
        <v/>
      </c>
      <c r="G65" s="154">
        <f t="shared" si="29"/>
        <v>0</v>
      </c>
      <c r="H65" s="155">
        <f t="shared" si="25"/>
        <v>0</v>
      </c>
      <c r="I65" s="156">
        <f t="shared" si="26"/>
        <v>0</v>
      </c>
      <c r="J65" s="14"/>
      <c r="K65" s="15"/>
      <c r="L65" s="32"/>
      <c r="M65" s="67" t="str">
        <f>'Description Sheet'!K64</f>
        <v>item</v>
      </c>
      <c r="N65" s="67">
        <f>'Description Sheet'!L64</f>
        <v>0</v>
      </c>
      <c r="O65" s="73">
        <f>'Year (2022-2023)'!O65*(('Description Sheet'!M4)+1)</f>
        <v>0</v>
      </c>
      <c r="P65" s="69">
        <f t="shared" si="27"/>
        <v>0</v>
      </c>
      <c r="Q65" s="14"/>
      <c r="R65" s="44"/>
    </row>
    <row r="66" spans="1:19" hidden="1">
      <c r="A66" s="14"/>
      <c r="B66" s="112">
        <f>'Description Sheet'!B65</f>
        <v>6.18</v>
      </c>
      <c r="C66" s="152" t="str">
        <f>'Description Sheet'!C65</f>
        <v>blank</v>
      </c>
      <c r="D66" s="107"/>
      <c r="E66" s="153" t="str">
        <f>IF('Maintenance Schedule'!J80="x","x","")</f>
        <v/>
      </c>
      <c r="F66" s="153" t="str">
        <f t="shared" si="31"/>
        <v/>
      </c>
      <c r="G66" s="154">
        <f t="shared" si="29"/>
        <v>0</v>
      </c>
      <c r="H66" s="155">
        <f t="shared" si="25"/>
        <v>0</v>
      </c>
      <c r="I66" s="156">
        <f t="shared" si="26"/>
        <v>0</v>
      </c>
      <c r="J66" s="14"/>
      <c r="K66" s="15"/>
      <c r="L66" s="32"/>
      <c r="M66" s="67" t="str">
        <f>'Description Sheet'!K65</f>
        <v>item</v>
      </c>
      <c r="N66" s="67">
        <f>'Description Sheet'!L65</f>
        <v>0</v>
      </c>
      <c r="O66" s="73">
        <f>'Year (2022-2023)'!O66*(('Description Sheet'!M4)+1)</f>
        <v>0</v>
      </c>
      <c r="P66" s="69">
        <f t="shared" si="27"/>
        <v>0</v>
      </c>
      <c r="Q66" s="14"/>
      <c r="R66" s="44"/>
    </row>
    <row r="67" spans="1:19" ht="17" thickBot="1">
      <c r="A67" s="14"/>
      <c r="B67" s="109"/>
      <c r="C67" s="152"/>
      <c r="D67" s="107"/>
      <c r="E67" s="153"/>
      <c r="F67" s="153"/>
      <c r="G67" s="154"/>
      <c r="H67" s="155"/>
      <c r="I67" s="155"/>
      <c r="J67" s="14"/>
      <c r="K67" s="15"/>
      <c r="L67" s="32"/>
      <c r="M67" s="70"/>
      <c r="N67" s="67"/>
      <c r="O67" s="73"/>
      <c r="P67" s="79"/>
      <c r="Q67" s="14"/>
      <c r="R67" s="44"/>
    </row>
    <row r="68" spans="1:19" s="4" customFormat="1" ht="15.75" customHeight="1" thickBot="1">
      <c r="A68" s="14"/>
      <c r="B68" s="109"/>
      <c r="C68" s="115"/>
      <c r="D68" s="107"/>
      <c r="E68" s="159"/>
      <c r="F68" s="528" t="s">
        <v>7</v>
      </c>
      <c r="G68" s="529"/>
      <c r="H68" s="530">
        <f>SUM(I50:I67)</f>
        <v>3720.8160000000003</v>
      </c>
      <c r="I68" s="531"/>
      <c r="J68" s="14"/>
      <c r="K68" s="15"/>
      <c r="L68" s="33"/>
      <c r="M68" s="508" t="s">
        <v>7</v>
      </c>
      <c r="N68" s="509"/>
      <c r="O68" s="510">
        <f>SUM(P50:P67)</f>
        <v>3720.8160000000003</v>
      </c>
      <c r="P68" s="511"/>
      <c r="Q68" s="14"/>
      <c r="R68" s="31"/>
    </row>
    <row r="69" spans="1:19" ht="17" hidden="1" thickBot="1">
      <c r="A69" s="14"/>
      <c r="B69" s="109">
        <f>'Description Sheet'!B68</f>
        <v>7</v>
      </c>
      <c r="C69" s="113" t="str">
        <f>'Description Sheet'!C68</f>
        <v>Painting and Repairs</v>
      </c>
      <c r="D69" s="107"/>
      <c r="E69" s="110"/>
      <c r="F69" s="110"/>
      <c r="G69" s="110"/>
      <c r="H69" s="110"/>
      <c r="I69" s="151"/>
      <c r="J69" s="32"/>
      <c r="K69" s="40"/>
      <c r="L69" s="33"/>
      <c r="M69" s="24"/>
      <c r="N69" s="25"/>
      <c r="O69" s="25"/>
      <c r="P69" s="63"/>
      <c r="Q69" s="14"/>
      <c r="R69" s="44"/>
    </row>
    <row r="70" spans="1:19" hidden="1">
      <c r="A70" s="14"/>
      <c r="B70" s="109">
        <f>'Description Sheet'!B69</f>
        <v>7.1</v>
      </c>
      <c r="C70" s="152" t="str">
        <f>'Description Sheet'!C69</f>
        <v>External  Painting and Remedial Repairs</v>
      </c>
      <c r="D70" s="107"/>
      <c r="E70" s="153" t="str">
        <f>IF('Maintenance Schedule'!J87="x","x","")</f>
        <v/>
      </c>
      <c r="F70" s="153" t="str">
        <f t="shared" ref="F70:F91" si="32">IF(E70="x","No","")</f>
        <v/>
      </c>
      <c r="G70" s="154">
        <f>IF(E70="x",1,0)</f>
        <v>0</v>
      </c>
      <c r="H70" s="155">
        <f t="shared" ref="H70:H91" si="33">IF(E70="x",P70,0)</f>
        <v>0</v>
      </c>
      <c r="I70" s="156">
        <f>IF(E70="x",G70*H70,0)</f>
        <v>0</v>
      </c>
      <c r="J70" s="14"/>
      <c r="K70" s="15"/>
      <c r="L70" s="32"/>
      <c r="M70" s="67" t="str">
        <f>'Description Sheet'!K69</f>
        <v>m2</v>
      </c>
      <c r="N70" s="67">
        <f>'Description Sheet'!L69</f>
        <v>1</v>
      </c>
      <c r="O70" s="73">
        <f>'Year (2022-2023)'!O70*(('Description Sheet'!M4)+1)</f>
        <v>2149965.4003200005</v>
      </c>
      <c r="P70" s="68">
        <f t="shared" ref="P70:P78" si="34">N70*O70</f>
        <v>2149965.4003200005</v>
      </c>
      <c r="Q70" s="14"/>
      <c r="R70" s="44"/>
    </row>
    <row r="71" spans="1:19" hidden="1">
      <c r="A71" s="14"/>
      <c r="B71" s="109">
        <f>'Description Sheet'!B70</f>
        <v>7.2</v>
      </c>
      <c r="C71" s="152" t="str">
        <f>'Description Sheet'!C70</f>
        <v>Internal Repairs to Apartments 505, 405, 305</v>
      </c>
      <c r="D71" s="107"/>
      <c r="E71" s="153" t="str">
        <f>IF('Maintenance Schedule'!J88="x","x","")</f>
        <v/>
      </c>
      <c r="F71" s="153" t="str">
        <f t="shared" si="32"/>
        <v/>
      </c>
      <c r="G71" s="154">
        <f t="shared" ref="G71:G91" si="35">IF(E71="x",1,0)</f>
        <v>0</v>
      </c>
      <c r="H71" s="155">
        <f t="shared" si="33"/>
        <v>0</v>
      </c>
      <c r="I71" s="156">
        <f t="shared" ref="I71:I91" si="36">IF(E71="x",G71*H71,0)</f>
        <v>0</v>
      </c>
      <c r="J71" s="14"/>
      <c r="K71" s="15"/>
      <c r="L71" s="32"/>
      <c r="M71" s="67" t="str">
        <f>'Description Sheet'!K70</f>
        <v>m2</v>
      </c>
      <c r="N71" s="67">
        <f>'Description Sheet'!L70</f>
        <v>1</v>
      </c>
      <c r="O71" s="73">
        <f>'Year (2022-2023)'!O71*(('Description Sheet'!M4)+1)</f>
        <v>181083.6</v>
      </c>
      <c r="P71" s="68">
        <f t="shared" si="34"/>
        <v>181083.6</v>
      </c>
      <c r="Q71" s="14"/>
      <c r="R71" s="44"/>
    </row>
    <row r="72" spans="1:19" hidden="1">
      <c r="A72" s="14"/>
      <c r="B72" s="109">
        <f>'Description Sheet'!B71</f>
        <v>7.3</v>
      </c>
      <c r="C72" s="152" t="str">
        <f>'Description Sheet'!C71</f>
        <v>Exposed Tops</v>
      </c>
      <c r="D72" s="107"/>
      <c r="E72" s="153" t="str">
        <f>IF('Maintenance Schedule'!J89="x","x","")</f>
        <v/>
      </c>
      <c r="F72" s="153" t="str">
        <f t="shared" si="32"/>
        <v/>
      </c>
      <c r="G72" s="154">
        <f t="shared" si="35"/>
        <v>0</v>
      </c>
      <c r="H72" s="155">
        <f t="shared" si="33"/>
        <v>0</v>
      </c>
      <c r="I72" s="156">
        <f t="shared" si="36"/>
        <v>0</v>
      </c>
      <c r="J72" s="14"/>
      <c r="K72" s="15"/>
      <c r="L72" s="32"/>
      <c r="M72" s="67" t="str">
        <f>'Description Sheet'!K71</f>
        <v>m2</v>
      </c>
      <c r="N72" s="67">
        <f>'Description Sheet'!L71</f>
        <v>0</v>
      </c>
      <c r="O72" s="73">
        <f>'Year (2022-2023)'!O72*(('Description Sheet'!M4)+1)</f>
        <v>144.63360000000003</v>
      </c>
      <c r="P72" s="68">
        <f t="shared" si="34"/>
        <v>0</v>
      </c>
      <c r="Q72" s="14"/>
      <c r="R72" s="44"/>
    </row>
    <row r="73" spans="1:19" hidden="1">
      <c r="A73" s="14"/>
      <c r="B73" s="109">
        <f>'Description Sheet'!B72</f>
        <v>7.4</v>
      </c>
      <c r="C73" s="152" t="str">
        <f>'Description Sheet'!C72</f>
        <v>Wall to Frame Sealant (Exposed)</v>
      </c>
      <c r="D73" s="107"/>
      <c r="E73" s="153" t="str">
        <f>IF('Maintenance Schedule'!J90="x","x","")</f>
        <v/>
      </c>
      <c r="F73" s="153" t="str">
        <f>IF(E73="x","All","")</f>
        <v/>
      </c>
      <c r="G73" s="154">
        <f t="shared" si="35"/>
        <v>0</v>
      </c>
      <c r="H73" s="155">
        <f t="shared" si="33"/>
        <v>0</v>
      </c>
      <c r="I73" s="156">
        <f t="shared" si="36"/>
        <v>0</v>
      </c>
      <c r="J73" s="14"/>
      <c r="K73" s="15"/>
      <c r="L73" s="32"/>
      <c r="M73" s="67" t="str">
        <f>'Description Sheet'!K72</f>
        <v>lm</v>
      </c>
      <c r="N73" s="67">
        <f>'Description Sheet'!L72</f>
        <v>0</v>
      </c>
      <c r="O73" s="73">
        <f>'Year (2022-2023)'!O73*(('Description Sheet'!M4)+1)</f>
        <v>81.64800000000001</v>
      </c>
      <c r="P73" s="68">
        <f t="shared" si="34"/>
        <v>0</v>
      </c>
      <c r="Q73" s="14"/>
      <c r="R73" s="44"/>
    </row>
    <row r="74" spans="1:19" hidden="1">
      <c r="A74" s="14"/>
      <c r="B74" s="109">
        <f>'Description Sheet'!B73</f>
        <v>7.5</v>
      </c>
      <c r="C74" s="152" t="str">
        <f>'Description Sheet'!C73</f>
        <v>Glass to Frame Sealant (Skylights)</v>
      </c>
      <c r="D74" s="107"/>
      <c r="E74" s="153" t="str">
        <f>IF('Maintenance Schedule'!J91="x","x","")</f>
        <v/>
      </c>
      <c r="F74" s="153" t="str">
        <f>IF(E74="x","All","")</f>
        <v/>
      </c>
      <c r="G74" s="154">
        <f t="shared" si="35"/>
        <v>0</v>
      </c>
      <c r="H74" s="155">
        <f t="shared" si="33"/>
        <v>0</v>
      </c>
      <c r="I74" s="156">
        <f t="shared" si="36"/>
        <v>0</v>
      </c>
      <c r="J74" s="14"/>
      <c r="K74" s="15"/>
      <c r="L74" s="32"/>
      <c r="M74" s="67" t="str">
        <f>'Description Sheet'!K73</f>
        <v>All</v>
      </c>
      <c r="N74" s="67">
        <f>'Description Sheet'!L73</f>
        <v>0</v>
      </c>
      <c r="O74" s="73">
        <f>'Year (2022-2023)'!O74*(('Description Sheet'!M4)+1)</f>
        <v>18895.68</v>
      </c>
      <c r="P74" s="68">
        <f>N74*O74</f>
        <v>0</v>
      </c>
      <c r="Q74" s="14"/>
      <c r="R74" s="44"/>
    </row>
    <row r="75" spans="1:19" hidden="1">
      <c r="A75" s="14"/>
      <c r="B75" s="109">
        <f>'Description Sheet'!B74</f>
        <v>7.6</v>
      </c>
      <c r="C75" s="152" t="str">
        <f>'Description Sheet'!C74</f>
        <v>Metal Windows and Putty Repairs</v>
      </c>
      <c r="D75" s="107"/>
      <c r="E75" s="153" t="str">
        <f>IF('Maintenance Schedule'!J92="x","x","")</f>
        <v/>
      </c>
      <c r="F75" s="153" t="str">
        <f t="shared" si="32"/>
        <v/>
      </c>
      <c r="G75" s="154">
        <f t="shared" si="35"/>
        <v>0</v>
      </c>
      <c r="H75" s="155">
        <f t="shared" si="33"/>
        <v>0</v>
      </c>
      <c r="I75" s="156">
        <f t="shared" si="36"/>
        <v>0</v>
      </c>
      <c r="J75" s="14"/>
      <c r="K75" s="15"/>
      <c r="L75" s="32"/>
      <c r="M75" s="67" t="str">
        <f>'Description Sheet'!K74</f>
        <v>m2</v>
      </c>
      <c r="N75" s="67">
        <f>'Description Sheet'!L74</f>
        <v>1</v>
      </c>
      <c r="O75" s="73">
        <f>'Year (2022-2023)'!O75*(('Description Sheet'!M4)+1)</f>
        <v>11664</v>
      </c>
      <c r="P75" s="68">
        <f t="shared" si="34"/>
        <v>11664</v>
      </c>
      <c r="Q75" s="14"/>
      <c r="R75" s="44"/>
      <c r="S75" s="2"/>
    </row>
    <row r="76" spans="1:19" hidden="1">
      <c r="A76" s="14"/>
      <c r="B76" s="109">
        <f>'Description Sheet'!B75</f>
        <v>7.7</v>
      </c>
      <c r="C76" s="152" t="str">
        <f>'Description Sheet'!C75</f>
        <v xml:space="preserve">External Woodwork </v>
      </c>
      <c r="D76" s="107"/>
      <c r="E76" s="153" t="str">
        <f>IF('Maintenance Schedule'!J93="x","x","")</f>
        <v/>
      </c>
      <c r="F76" s="153" t="str">
        <f t="shared" si="32"/>
        <v/>
      </c>
      <c r="G76" s="154">
        <f t="shared" si="35"/>
        <v>0</v>
      </c>
      <c r="H76" s="155">
        <f t="shared" si="33"/>
        <v>0</v>
      </c>
      <c r="I76" s="156">
        <f t="shared" si="36"/>
        <v>0</v>
      </c>
      <c r="J76" s="14"/>
      <c r="K76" s="15"/>
      <c r="L76" s="32"/>
      <c r="M76" s="67" t="str">
        <f>'Description Sheet'!K75</f>
        <v>m2</v>
      </c>
      <c r="N76" s="67">
        <f>'Description Sheet'!L75</f>
        <v>160</v>
      </c>
      <c r="O76" s="73">
        <f>'Year (2022-2023)'!O76*(('Description Sheet'!M4)+1)</f>
        <v>239.11200000000002</v>
      </c>
      <c r="P76" s="68">
        <f t="shared" si="34"/>
        <v>38257.920000000006</v>
      </c>
      <c r="Q76" s="14"/>
      <c r="R76" s="44"/>
    </row>
    <row r="77" spans="1:19" hidden="1">
      <c r="A77" s="14"/>
      <c r="B77" s="109">
        <f>'Description Sheet'!B76</f>
        <v>7.8</v>
      </c>
      <c r="C77" s="152" t="str">
        <f>'Description Sheet'!C76</f>
        <v xml:space="preserve">External Steelwork </v>
      </c>
      <c r="D77" s="107"/>
      <c r="E77" s="153" t="str">
        <f>IF('Maintenance Schedule'!J94="x","x","")</f>
        <v/>
      </c>
      <c r="F77" s="153" t="str">
        <f t="shared" si="32"/>
        <v/>
      </c>
      <c r="G77" s="154">
        <f t="shared" si="35"/>
        <v>0</v>
      </c>
      <c r="H77" s="155">
        <f t="shared" si="33"/>
        <v>0</v>
      </c>
      <c r="I77" s="156">
        <f t="shared" si="36"/>
        <v>0</v>
      </c>
      <c r="J77" s="14"/>
      <c r="K77" s="15"/>
      <c r="L77" s="32"/>
      <c r="M77" s="67" t="str">
        <f>'Description Sheet'!K76</f>
        <v>m2</v>
      </c>
      <c r="N77" s="67">
        <f>'Description Sheet'!L76</f>
        <v>40</v>
      </c>
      <c r="O77" s="73">
        <f>'Year (2022-2023)'!O77*(('Description Sheet'!M4)+1)</f>
        <v>267.10560000000004</v>
      </c>
      <c r="P77" s="68">
        <f t="shared" si="34"/>
        <v>10684.224000000002</v>
      </c>
      <c r="Q77" s="14"/>
      <c r="R77" s="44"/>
    </row>
    <row r="78" spans="1:19" hidden="1">
      <c r="A78" s="14"/>
      <c r="B78" s="109">
        <f>'Description Sheet'!B77</f>
        <v>7.9</v>
      </c>
      <c r="C78" s="152" t="str">
        <f>'Description Sheet'!C77</f>
        <v xml:space="preserve">Pointing &amp; Brickwork Repairs </v>
      </c>
      <c r="D78" s="107"/>
      <c r="E78" s="153" t="str">
        <f>IF('Maintenance Schedule'!J95="x","x","")</f>
        <v/>
      </c>
      <c r="F78" s="153" t="str">
        <f t="shared" si="32"/>
        <v/>
      </c>
      <c r="G78" s="154">
        <f t="shared" si="35"/>
        <v>0</v>
      </c>
      <c r="H78" s="155">
        <f t="shared" si="33"/>
        <v>0</v>
      </c>
      <c r="I78" s="156">
        <f t="shared" si="36"/>
        <v>0</v>
      </c>
      <c r="J78" s="14"/>
      <c r="K78" s="15"/>
      <c r="L78" s="32"/>
      <c r="M78" s="67" t="str">
        <f>'Description Sheet'!K77</f>
        <v>m2</v>
      </c>
      <c r="N78" s="67">
        <f>'Description Sheet'!L77</f>
        <v>0</v>
      </c>
      <c r="O78" s="73">
        <f>'Year (2022-2023)'!O78*(('Description Sheet'!M4)+1)</f>
        <v>56687.040000000001</v>
      </c>
      <c r="P78" s="68">
        <f t="shared" si="34"/>
        <v>0</v>
      </c>
      <c r="Q78" s="14"/>
      <c r="R78" s="44"/>
    </row>
    <row r="79" spans="1:19" hidden="1">
      <c r="A79" s="14"/>
      <c r="B79" s="112">
        <f>'Description Sheet'!B78</f>
        <v>7.1</v>
      </c>
      <c r="C79" s="152" t="str">
        <f>'Description Sheet'!C78</f>
        <v>Brickwork Repairs</v>
      </c>
      <c r="D79" s="107"/>
      <c r="E79" s="153" t="str">
        <f>IF('Maintenance Schedule'!J96="x","x","")</f>
        <v/>
      </c>
      <c r="F79" s="153" t="str">
        <f t="shared" si="32"/>
        <v/>
      </c>
      <c r="G79" s="154">
        <f t="shared" si="35"/>
        <v>0</v>
      </c>
      <c r="H79" s="155">
        <f t="shared" si="33"/>
        <v>0</v>
      </c>
      <c r="I79" s="156">
        <f t="shared" si="36"/>
        <v>0</v>
      </c>
      <c r="J79" s="14"/>
      <c r="K79" s="15"/>
      <c r="L79" s="32"/>
      <c r="M79" s="67" t="str">
        <f>'Description Sheet'!K78</f>
        <v>m2</v>
      </c>
      <c r="N79" s="67">
        <f>'Description Sheet'!L78</f>
        <v>1</v>
      </c>
      <c r="O79" s="73">
        <f>'Year (2022-2023)'!O79*(('Description Sheet'!M4)+1)</f>
        <v>4803.235200000001</v>
      </c>
      <c r="P79" s="68">
        <f>N79*O79</f>
        <v>4803.235200000001</v>
      </c>
      <c r="Q79" s="14"/>
      <c r="R79" s="44"/>
    </row>
    <row r="80" spans="1:19" hidden="1">
      <c r="A80" s="14"/>
      <c r="B80" s="112">
        <f>'Description Sheet'!B79</f>
        <v>7.11</v>
      </c>
      <c r="C80" s="152" t="str">
        <f>'Description Sheet'!C79</f>
        <v>Painted Floors</v>
      </c>
      <c r="D80" s="107"/>
      <c r="E80" s="153" t="str">
        <f>IF('Maintenance Schedule'!J97="x","x","")</f>
        <v/>
      </c>
      <c r="F80" s="153" t="str">
        <f t="shared" si="32"/>
        <v/>
      </c>
      <c r="G80" s="154">
        <f t="shared" si="35"/>
        <v>0</v>
      </c>
      <c r="H80" s="155">
        <f t="shared" si="33"/>
        <v>0</v>
      </c>
      <c r="I80" s="156">
        <f t="shared" si="36"/>
        <v>0</v>
      </c>
      <c r="J80" s="14"/>
      <c r="K80" s="15"/>
      <c r="L80" s="32"/>
      <c r="M80" s="67" t="str">
        <f>'Description Sheet'!K79</f>
        <v>m2</v>
      </c>
      <c r="N80" s="67">
        <f>'Description Sheet'!L79</f>
        <v>680</v>
      </c>
      <c r="O80" s="73">
        <f>'Year (2022-2023)'!O80*(('Description Sheet'!M4)+1)</f>
        <v>177.29280000000003</v>
      </c>
      <c r="P80" s="68">
        <f>N80*O80</f>
        <v>120559.10400000002</v>
      </c>
      <c r="Q80" s="14"/>
      <c r="R80" s="44"/>
    </row>
    <row r="81" spans="1:18" hidden="1">
      <c r="A81" s="14"/>
      <c r="B81" s="112">
        <f>'Description Sheet'!B80</f>
        <v>7.12</v>
      </c>
      <c r="C81" s="152" t="str">
        <f>'Description Sheet'!C80</f>
        <v>Nutec Walls</v>
      </c>
      <c r="D81" s="107"/>
      <c r="E81" s="153" t="str">
        <f>IF('Maintenance Schedule'!J98="x","x","")</f>
        <v/>
      </c>
      <c r="F81" s="153" t="str">
        <f t="shared" si="32"/>
        <v/>
      </c>
      <c r="G81" s="154">
        <f t="shared" si="35"/>
        <v>0</v>
      </c>
      <c r="H81" s="155">
        <f t="shared" si="33"/>
        <v>0</v>
      </c>
      <c r="I81" s="156">
        <f t="shared" si="36"/>
        <v>0</v>
      </c>
      <c r="J81" s="14"/>
      <c r="K81" s="15"/>
      <c r="L81" s="32"/>
      <c r="M81" s="67" t="str">
        <f>'Description Sheet'!K80</f>
        <v>m2</v>
      </c>
      <c r="N81" s="67">
        <f>'Description Sheet'!L80</f>
        <v>390</v>
      </c>
      <c r="O81" s="73">
        <f>'Year (2022-2023)'!O81*(('Description Sheet'!M4)+1)</f>
        <v>129.47040000000001</v>
      </c>
      <c r="P81" s="68">
        <f>N81*O81</f>
        <v>50493.456000000006</v>
      </c>
      <c r="Q81" s="14"/>
      <c r="R81" s="44"/>
    </row>
    <row r="82" spans="1:18" hidden="1">
      <c r="A82" s="14"/>
      <c r="B82" s="112">
        <f>'Description Sheet'!B81</f>
        <v>7.13</v>
      </c>
      <c r="C82" s="152" t="str">
        <f>'Description Sheet'!C81</f>
        <v xml:space="preserve">Basement Parking Walls and Soffits Areas </v>
      </c>
      <c r="D82" s="107"/>
      <c r="E82" s="153" t="str">
        <f>IF('Maintenance Schedule'!J99="x","x","")</f>
        <v/>
      </c>
      <c r="F82" s="153" t="str">
        <f t="shared" si="32"/>
        <v/>
      </c>
      <c r="G82" s="154">
        <f t="shared" si="35"/>
        <v>0</v>
      </c>
      <c r="H82" s="155">
        <f t="shared" si="33"/>
        <v>0</v>
      </c>
      <c r="I82" s="156">
        <f t="shared" si="36"/>
        <v>0</v>
      </c>
      <c r="J82" s="14"/>
      <c r="K82" s="15"/>
      <c r="L82" s="32"/>
      <c r="M82" s="67" t="str">
        <f>'Description Sheet'!K81</f>
        <v>m2</v>
      </c>
      <c r="N82" s="67">
        <f>'Description Sheet'!L81</f>
        <v>0</v>
      </c>
      <c r="O82" s="73">
        <f>'Year (2022-2023)'!O82*(('Description Sheet'!M4)+1)</f>
        <v>171.46080000000003</v>
      </c>
      <c r="P82" s="68">
        <f>N82*O82</f>
        <v>0</v>
      </c>
      <c r="Q82" s="14"/>
      <c r="R82" s="44"/>
    </row>
    <row r="83" spans="1:18" hidden="1">
      <c r="A83" s="14"/>
      <c r="B83" s="112">
        <f>'Description Sheet'!B82</f>
        <v>7.14</v>
      </c>
      <c r="C83" s="152" t="str">
        <f>'Description Sheet'!C82</f>
        <v>Internal Common Walls and Soffit Areas</v>
      </c>
      <c r="D83" s="107"/>
      <c r="E83" s="153" t="str">
        <f>IF('Maintenance Schedule'!J100="x","x","")</f>
        <v/>
      </c>
      <c r="F83" s="153" t="str">
        <f t="shared" si="32"/>
        <v/>
      </c>
      <c r="G83" s="154">
        <f t="shared" si="35"/>
        <v>0</v>
      </c>
      <c r="H83" s="155">
        <f t="shared" si="33"/>
        <v>0</v>
      </c>
      <c r="I83" s="156">
        <f t="shared" si="36"/>
        <v>0</v>
      </c>
      <c r="J83" s="14"/>
      <c r="K83" s="15"/>
      <c r="L83" s="32"/>
      <c r="M83" s="67" t="str">
        <f>'Description Sheet'!K82</f>
        <v>m2</v>
      </c>
      <c r="N83" s="67">
        <f>'Description Sheet'!L82</f>
        <v>0</v>
      </c>
      <c r="O83" s="73">
        <f>'Year (2022-2023)'!O83*(('Description Sheet'!M4)+1)</f>
        <v>177.29280000000003</v>
      </c>
      <c r="P83" s="68">
        <f t="shared" ref="P83:P91" si="37">N83*O83</f>
        <v>0</v>
      </c>
      <c r="Q83" s="14"/>
      <c r="R83" s="44"/>
    </row>
    <row r="84" spans="1:18" hidden="1">
      <c r="A84" s="14"/>
      <c r="B84" s="112">
        <f>'Description Sheet'!B83</f>
        <v>7.15</v>
      </c>
      <c r="C84" s="152" t="str">
        <f>'Description Sheet'!C83</f>
        <v xml:space="preserve">Basement Parking Walls and Soffits Areas </v>
      </c>
      <c r="D84" s="107"/>
      <c r="E84" s="153" t="str">
        <f>IF('Maintenance Schedule'!J101="x","x","")</f>
        <v/>
      </c>
      <c r="F84" s="153" t="str">
        <f t="shared" si="32"/>
        <v/>
      </c>
      <c r="G84" s="154">
        <f t="shared" si="35"/>
        <v>0</v>
      </c>
      <c r="H84" s="155">
        <f t="shared" si="33"/>
        <v>0</v>
      </c>
      <c r="I84" s="156">
        <f t="shared" si="36"/>
        <v>0</v>
      </c>
      <c r="J84" s="14"/>
      <c r="K84" s="15"/>
      <c r="L84" s="32"/>
      <c r="M84" s="67" t="str">
        <f>'Description Sheet'!K83</f>
        <v>m2</v>
      </c>
      <c r="N84" s="67">
        <f>'Description Sheet'!L83</f>
        <v>0</v>
      </c>
      <c r="O84" s="73">
        <f>'Year (2022-2023)'!O84*(('Description Sheet'!M4)+1)</f>
        <v>171.46080000000003</v>
      </c>
      <c r="P84" s="68">
        <f t="shared" si="37"/>
        <v>0</v>
      </c>
      <c r="Q84" s="14"/>
      <c r="R84" s="44"/>
    </row>
    <row r="85" spans="1:18" hidden="1">
      <c r="A85" s="14"/>
      <c r="B85" s="112">
        <f>'Description Sheet'!B84</f>
        <v>7.16</v>
      </c>
      <c r="C85" s="152" t="str">
        <f>'Description Sheet'!C84</f>
        <v>Cleaning of Cladding Panels</v>
      </c>
      <c r="D85" s="107"/>
      <c r="E85" s="153" t="str">
        <f>IF('Maintenance Schedule'!J102="x","x","")</f>
        <v/>
      </c>
      <c r="F85" s="153" t="str">
        <f t="shared" si="32"/>
        <v/>
      </c>
      <c r="G85" s="154">
        <f t="shared" si="35"/>
        <v>0</v>
      </c>
      <c r="H85" s="155">
        <f t="shared" si="33"/>
        <v>0</v>
      </c>
      <c r="I85" s="156">
        <f t="shared" si="36"/>
        <v>0</v>
      </c>
      <c r="J85" s="14"/>
      <c r="K85" s="15"/>
      <c r="L85" s="32"/>
      <c r="M85" s="67" t="str">
        <f>'Description Sheet'!K84</f>
        <v>m2</v>
      </c>
      <c r="N85" s="67">
        <f>'Description Sheet'!L84</f>
        <v>0</v>
      </c>
      <c r="O85" s="73">
        <f>'Year (2022-2023)'!O85*(('Description Sheet'!M4)+1)</f>
        <v>118.97280000000002</v>
      </c>
      <c r="P85" s="68">
        <f t="shared" si="37"/>
        <v>0</v>
      </c>
      <c r="Q85" s="14"/>
      <c r="R85" s="44"/>
    </row>
    <row r="86" spans="1:18" hidden="1">
      <c r="A86" s="14"/>
      <c r="B86" s="112">
        <f>'Description Sheet'!B85</f>
        <v>7.17</v>
      </c>
      <c r="C86" s="152" t="str">
        <f>'Description Sheet'!C85</f>
        <v>Painting of Facais and Barge Boarding</v>
      </c>
      <c r="D86" s="107"/>
      <c r="E86" s="153" t="str">
        <f>IF('Maintenance Schedule'!J103="x","x","")</f>
        <v/>
      </c>
      <c r="F86" s="153" t="str">
        <f t="shared" si="32"/>
        <v/>
      </c>
      <c r="G86" s="154">
        <f t="shared" si="35"/>
        <v>0</v>
      </c>
      <c r="H86" s="155">
        <f t="shared" si="33"/>
        <v>0</v>
      </c>
      <c r="I86" s="156">
        <f t="shared" si="36"/>
        <v>0</v>
      </c>
      <c r="J86" s="14"/>
      <c r="K86" s="15"/>
      <c r="L86" s="32"/>
      <c r="M86" s="67" t="str">
        <f>'Description Sheet'!K85</f>
        <v>m2</v>
      </c>
      <c r="N86" s="67">
        <f>'Description Sheet'!L85</f>
        <v>0</v>
      </c>
      <c r="O86" s="73">
        <f>'Year (2022-2023)'!O86*(('Description Sheet'!M4)+1)</f>
        <v>157.46400000000003</v>
      </c>
      <c r="P86" s="68">
        <f t="shared" si="37"/>
        <v>0</v>
      </c>
      <c r="Q86" s="14"/>
      <c r="R86" s="44"/>
    </row>
    <row r="87" spans="1:18" hidden="1">
      <c r="A87" s="14"/>
      <c r="B87" s="112">
        <f>'Description Sheet'!B86</f>
        <v>7.18</v>
      </c>
      <c r="C87" s="152" t="str">
        <f>'Description Sheet'!C86</f>
        <v>Painting External Wooden Soffits</v>
      </c>
      <c r="D87" s="107"/>
      <c r="E87" s="153" t="str">
        <f>IF('Maintenance Schedule'!J104="x","x","")</f>
        <v/>
      </c>
      <c r="F87" s="153" t="str">
        <f t="shared" si="32"/>
        <v/>
      </c>
      <c r="G87" s="154">
        <f t="shared" si="35"/>
        <v>0</v>
      </c>
      <c r="H87" s="155">
        <f t="shared" si="33"/>
        <v>0</v>
      </c>
      <c r="I87" s="156">
        <f t="shared" si="36"/>
        <v>0</v>
      </c>
      <c r="J87" s="14"/>
      <c r="K87" s="15"/>
      <c r="L87" s="32"/>
      <c r="M87" s="67" t="str">
        <f>'Description Sheet'!K86</f>
        <v>m2</v>
      </c>
      <c r="N87" s="67">
        <f>'Description Sheet'!L86</f>
        <v>0</v>
      </c>
      <c r="O87" s="73">
        <f>'Year (2022-2023)'!O87*(('Description Sheet'!M4)+1)</f>
        <v>81.64800000000001</v>
      </c>
      <c r="P87" s="68">
        <f t="shared" si="37"/>
        <v>0</v>
      </c>
      <c r="Q87" s="14"/>
      <c r="R87" s="44"/>
    </row>
    <row r="88" spans="1:18" hidden="1">
      <c r="A88" s="14"/>
      <c r="B88" s="112">
        <f>'Description Sheet'!B87</f>
        <v>7.19</v>
      </c>
      <c r="C88" s="152" t="str">
        <f>'Description Sheet'!C87</f>
        <v>Painting of Palisade Fencing</v>
      </c>
      <c r="D88" s="107"/>
      <c r="E88" s="153" t="str">
        <f>IF('Maintenance Schedule'!J105="x","x","")</f>
        <v/>
      </c>
      <c r="F88" s="153" t="str">
        <f t="shared" si="32"/>
        <v/>
      </c>
      <c r="G88" s="154">
        <f t="shared" si="35"/>
        <v>0</v>
      </c>
      <c r="H88" s="155">
        <f t="shared" si="33"/>
        <v>0</v>
      </c>
      <c r="I88" s="156">
        <f t="shared" si="36"/>
        <v>0</v>
      </c>
      <c r="J88" s="14"/>
      <c r="K88" s="15"/>
      <c r="L88" s="32"/>
      <c r="M88" s="67" t="str">
        <f>'Description Sheet'!K87</f>
        <v>m2</v>
      </c>
      <c r="N88" s="67">
        <f>'Description Sheet'!L87</f>
        <v>0</v>
      </c>
      <c r="O88" s="73">
        <f>'Year (2022-2023)'!O88*(('Description Sheet'!M4)+1)</f>
        <v>81.64800000000001</v>
      </c>
      <c r="P88" s="68">
        <f t="shared" si="37"/>
        <v>0</v>
      </c>
      <c r="Q88" s="14"/>
      <c r="R88" s="44"/>
    </row>
    <row r="89" spans="1:18" hidden="1">
      <c r="A89" s="14"/>
      <c r="B89" s="112">
        <f>'Description Sheet'!B88</f>
        <v>7.2</v>
      </c>
      <c r="C89" s="152" t="str">
        <f>'Description Sheet'!C88</f>
        <v>blank</v>
      </c>
      <c r="D89" s="107"/>
      <c r="E89" s="153" t="str">
        <f>IF('Maintenance Schedule'!J106="x","x","")</f>
        <v/>
      </c>
      <c r="F89" s="153" t="str">
        <f t="shared" si="32"/>
        <v/>
      </c>
      <c r="G89" s="154">
        <f t="shared" si="35"/>
        <v>0</v>
      </c>
      <c r="H89" s="155">
        <f t="shared" si="33"/>
        <v>0</v>
      </c>
      <c r="I89" s="156">
        <f t="shared" si="36"/>
        <v>0</v>
      </c>
      <c r="J89" s="14"/>
      <c r="K89" s="15"/>
      <c r="L89" s="32"/>
      <c r="M89" s="67" t="str">
        <f>'Description Sheet'!K88</f>
        <v>m3</v>
      </c>
      <c r="N89" s="67">
        <f>'Description Sheet'!L88</f>
        <v>0</v>
      </c>
      <c r="O89" s="73">
        <f>'Year (2022-2023)'!O89*(('Description Sheet'!M4)+1)</f>
        <v>207.61920000000003</v>
      </c>
      <c r="P89" s="68">
        <f t="shared" si="37"/>
        <v>0</v>
      </c>
      <c r="Q89" s="14"/>
      <c r="R89" s="44"/>
    </row>
    <row r="90" spans="1:18" hidden="1">
      <c r="A90" s="14"/>
      <c r="B90" s="112">
        <f>'Description Sheet'!B89</f>
        <v>7.21</v>
      </c>
      <c r="C90" s="152" t="str">
        <f>'Description Sheet'!C89</f>
        <v>blank</v>
      </c>
      <c r="D90" s="107"/>
      <c r="E90" s="153" t="str">
        <f>IF('Maintenance Schedule'!J107="x","x","")</f>
        <v/>
      </c>
      <c r="F90" s="153" t="str">
        <f t="shared" si="32"/>
        <v/>
      </c>
      <c r="G90" s="154">
        <f t="shared" si="35"/>
        <v>0</v>
      </c>
      <c r="H90" s="155">
        <f t="shared" si="33"/>
        <v>0</v>
      </c>
      <c r="I90" s="156">
        <f t="shared" si="36"/>
        <v>0</v>
      </c>
      <c r="J90" s="14"/>
      <c r="K90" s="15"/>
      <c r="L90" s="32"/>
      <c r="M90" s="67" t="str">
        <f>'Description Sheet'!K89</f>
        <v>m3</v>
      </c>
      <c r="N90" s="67">
        <f>'Description Sheet'!L89</f>
        <v>0</v>
      </c>
      <c r="O90" s="73">
        <f>'Year (2022-2023)'!O90*(('Description Sheet'!M4)+1)</f>
        <v>11967.264000000003</v>
      </c>
      <c r="P90" s="68">
        <f t="shared" si="37"/>
        <v>0</v>
      </c>
      <c r="Q90" s="14"/>
      <c r="R90" s="44"/>
    </row>
    <row r="91" spans="1:18" hidden="1">
      <c r="A91" s="14"/>
      <c r="B91" s="112">
        <f>'Description Sheet'!B90</f>
        <v>7.22</v>
      </c>
      <c r="C91" s="152" t="str">
        <f>'Description Sheet'!C90</f>
        <v>blank</v>
      </c>
      <c r="D91" s="107"/>
      <c r="E91" s="153" t="str">
        <f>IF('Maintenance Schedule'!J108="x","x","")</f>
        <v/>
      </c>
      <c r="F91" s="153" t="str">
        <f t="shared" si="32"/>
        <v/>
      </c>
      <c r="G91" s="154">
        <f t="shared" si="35"/>
        <v>0</v>
      </c>
      <c r="H91" s="155">
        <f t="shared" si="33"/>
        <v>0</v>
      </c>
      <c r="I91" s="156">
        <f t="shared" si="36"/>
        <v>0</v>
      </c>
      <c r="J91" s="14"/>
      <c r="K91" s="15"/>
      <c r="L91" s="32"/>
      <c r="M91" s="67" t="str">
        <f>'Description Sheet'!K90</f>
        <v>m3</v>
      </c>
      <c r="N91" s="67">
        <f>'Description Sheet'!L90</f>
        <v>0</v>
      </c>
      <c r="O91" s="73">
        <f>'Year (2022-2023)'!O91*(('Description Sheet'!M4)+1)</f>
        <v>0</v>
      </c>
      <c r="P91" s="68">
        <f t="shared" si="37"/>
        <v>0</v>
      </c>
      <c r="Q91" s="14"/>
      <c r="R91" s="44"/>
    </row>
    <row r="92" spans="1:18" ht="17" hidden="1" thickBot="1">
      <c r="A92" s="14"/>
      <c r="B92" s="109"/>
      <c r="C92" s="152"/>
      <c r="D92" s="107"/>
      <c r="E92" s="153"/>
      <c r="F92" s="153" t="str">
        <f>IF(E92="x",M92,"")</f>
        <v/>
      </c>
      <c r="G92" s="154"/>
      <c r="H92" s="155"/>
      <c r="I92" s="156"/>
      <c r="J92" s="14"/>
      <c r="K92" s="15"/>
      <c r="L92" s="32"/>
      <c r="M92" s="70"/>
      <c r="N92" s="67"/>
      <c r="O92" s="73"/>
      <c r="P92" s="68"/>
      <c r="Q92" s="14"/>
      <c r="R92" s="44"/>
    </row>
    <row r="93" spans="1:18" s="4" customFormat="1" ht="15.75" hidden="1" customHeight="1" thickBot="1">
      <c r="A93" s="14"/>
      <c r="B93" s="109"/>
      <c r="C93" s="115"/>
      <c r="D93" s="107"/>
      <c r="E93" s="163"/>
      <c r="F93" s="528" t="s">
        <v>7</v>
      </c>
      <c r="G93" s="529"/>
      <c r="H93" s="530">
        <f>SUM(I70:I92)</f>
        <v>0</v>
      </c>
      <c r="I93" s="531"/>
      <c r="J93" s="14"/>
      <c r="K93" s="15"/>
      <c r="L93" s="33"/>
      <c r="M93" s="508" t="s">
        <v>7</v>
      </c>
      <c r="N93" s="509"/>
      <c r="O93" s="510">
        <f>SUM(P70:P92)</f>
        <v>2567510.9395200005</v>
      </c>
      <c r="P93" s="511"/>
      <c r="Q93" s="14"/>
      <c r="R93" s="31"/>
    </row>
    <row r="94" spans="1:18" ht="18" thickBot="1">
      <c r="A94" s="14"/>
      <c r="B94" s="179" t="s">
        <v>41</v>
      </c>
      <c r="C94" s="113" t="str">
        <f>'Description Sheet'!C93</f>
        <v xml:space="preserve">Waterproofing </v>
      </c>
      <c r="D94" s="107"/>
      <c r="E94" s="110"/>
      <c r="F94" s="110"/>
      <c r="G94" s="110"/>
      <c r="H94" s="110"/>
      <c r="I94" s="151"/>
      <c r="J94" s="32"/>
      <c r="K94" s="40"/>
      <c r="L94" s="33"/>
      <c r="M94" s="24"/>
      <c r="N94" s="25"/>
      <c r="O94" s="25"/>
      <c r="P94" s="63"/>
      <c r="Q94" s="14"/>
      <c r="R94" s="44"/>
    </row>
    <row r="95" spans="1:18" hidden="1">
      <c r="A95" s="14"/>
      <c r="B95" s="112">
        <f>'Description Sheet'!B94</f>
        <v>7.23</v>
      </c>
      <c r="C95" s="152" t="str">
        <f>'Description Sheet'!C94</f>
        <v>Waterproofing of Walkways</v>
      </c>
      <c r="D95" s="107"/>
      <c r="E95" s="153" t="str">
        <f>IF('Maintenance Schedule'!J115="x","x","")</f>
        <v/>
      </c>
      <c r="F95" s="153" t="str">
        <f t="shared" ref="F95:F102" si="38">IF(E95="x","No","")</f>
        <v/>
      </c>
      <c r="G95" s="154">
        <f>IF(E95="x",1,0)</f>
        <v>0</v>
      </c>
      <c r="H95" s="155">
        <f t="shared" ref="H95" si="39">IF(E95="x",P95,0)</f>
        <v>0</v>
      </c>
      <c r="I95" s="156">
        <f>IF(E95="x",G95*H95,0)</f>
        <v>0</v>
      </c>
      <c r="J95" s="14"/>
      <c r="K95" s="15"/>
      <c r="L95" s="32"/>
      <c r="M95" s="86" t="str">
        <f>'Description Sheet'!K94</f>
        <v>m2</v>
      </c>
      <c r="N95" s="67">
        <f>'Description Sheet'!L94</f>
        <v>1</v>
      </c>
      <c r="O95" s="73">
        <f>'Year (2022-2023)'!O95*(('Description Sheet'!M4)+1)</f>
        <v>188833.97808000003</v>
      </c>
      <c r="P95" s="69">
        <f>N95*O95</f>
        <v>188833.97808000003</v>
      </c>
      <c r="Q95" s="14"/>
      <c r="R95" s="44"/>
    </row>
    <row r="96" spans="1:18" hidden="1">
      <c r="A96" s="14"/>
      <c r="B96" s="112">
        <f>'Description Sheet'!B95</f>
        <v>7.24</v>
      </c>
      <c r="C96" s="152" t="str">
        <f>'Description Sheet'!C95</f>
        <v>Roof Repairs (Phase 2)</v>
      </c>
      <c r="D96" s="107"/>
      <c r="E96" s="153" t="str">
        <f>IF('Maintenance Schedule'!J116="x","x","")</f>
        <v/>
      </c>
      <c r="F96" s="153" t="str">
        <f t="shared" si="38"/>
        <v/>
      </c>
      <c r="G96" s="154">
        <f t="shared" ref="G96:G102" si="40">IF(E96="x",1,0)</f>
        <v>0</v>
      </c>
      <c r="H96" s="155">
        <f>IF(E96="x",P96,0)</f>
        <v>0</v>
      </c>
      <c r="I96" s="156">
        <f>IF(E96="x",G96*H96,0)</f>
        <v>0</v>
      </c>
      <c r="J96" s="14"/>
      <c r="K96" s="15"/>
      <c r="L96" s="32"/>
      <c r="M96" s="86" t="str">
        <f>'Description Sheet'!K95</f>
        <v>m2</v>
      </c>
      <c r="N96" s="67">
        <f>'Description Sheet'!L95</f>
        <v>1</v>
      </c>
      <c r="O96" s="73">
        <f>'Year (2022-2023)'!O96*(('Description Sheet'!M4)+1)</f>
        <v>583200</v>
      </c>
      <c r="P96" s="69">
        <f>N96*O96</f>
        <v>583200</v>
      </c>
      <c r="Q96" s="14"/>
      <c r="R96" s="44"/>
    </row>
    <row r="97" spans="1:18">
      <c r="A97" s="14"/>
      <c r="B97" s="112">
        <f>'Description Sheet'!B96</f>
        <v>7.25</v>
      </c>
      <c r="C97" s="152" t="str">
        <f>'Description Sheet'!C96</f>
        <v xml:space="preserve">Flat Roof Service </v>
      </c>
      <c r="D97" s="107"/>
      <c r="E97" s="153" t="str">
        <f>IF('Maintenance Schedule'!J117="x","x","")</f>
        <v>x</v>
      </c>
      <c r="F97" s="153" t="str">
        <f t="shared" si="38"/>
        <v>No</v>
      </c>
      <c r="G97" s="154">
        <f t="shared" si="40"/>
        <v>1</v>
      </c>
      <c r="H97" s="155">
        <f>IF(E97="x",P97,0)</f>
        <v>67855.320000000007</v>
      </c>
      <c r="I97" s="156">
        <f>IF(E97="x",G97*H97,0)</f>
        <v>67855.320000000007</v>
      </c>
      <c r="J97" s="14"/>
      <c r="K97" s="15"/>
      <c r="L97" s="32"/>
      <c r="M97" s="86" t="str">
        <f>'Description Sheet'!K96</f>
        <v>m2</v>
      </c>
      <c r="N97" s="67">
        <f>'Description Sheet'!L96</f>
        <v>895</v>
      </c>
      <c r="O97" s="73">
        <f>'Year (2022-2023)'!O97*(('Description Sheet'!M4)+1)</f>
        <v>75.816000000000003</v>
      </c>
      <c r="P97" s="69">
        <f>N97*O97</f>
        <v>67855.320000000007</v>
      </c>
      <c r="Q97" s="14"/>
      <c r="R97" s="44"/>
    </row>
    <row r="98" spans="1:18" hidden="1">
      <c r="A98" s="14"/>
      <c r="B98" s="112">
        <f>'Description Sheet'!B97</f>
        <v>7.26</v>
      </c>
      <c r="C98" s="152" t="str">
        <f>'Description Sheet'!C97</f>
        <v>Flat Roof Replacement</v>
      </c>
      <c r="D98" s="107"/>
      <c r="E98" s="153" t="str">
        <f>IF('Maintenance Schedule'!J118="x","x","")</f>
        <v/>
      </c>
      <c r="F98" s="153" t="str">
        <f t="shared" si="38"/>
        <v/>
      </c>
      <c r="G98" s="154">
        <f t="shared" si="40"/>
        <v>0</v>
      </c>
      <c r="H98" s="155">
        <f>IF(E98="x",P98,0)</f>
        <v>0</v>
      </c>
      <c r="I98" s="156">
        <f>IF(E98="x",G98*H98,0)</f>
        <v>0</v>
      </c>
      <c r="J98" s="14"/>
      <c r="K98" s="15"/>
      <c r="L98" s="32"/>
      <c r="M98" s="86" t="str">
        <f>'Description Sheet'!K97</f>
        <v>m2</v>
      </c>
      <c r="N98" s="67">
        <f>'Description Sheet'!L97</f>
        <v>1</v>
      </c>
      <c r="O98" s="73">
        <f>'Year (2022-2023)'!O98*(('Description Sheet'!M4)+1)</f>
        <v>754832.26080000005</v>
      </c>
      <c r="P98" s="69">
        <f>N98*O98</f>
        <v>754832.26080000005</v>
      </c>
      <c r="Q98" s="14"/>
      <c r="R98" s="44"/>
    </row>
    <row r="99" spans="1:18" hidden="1">
      <c r="A99" s="14"/>
      <c r="B99" s="112">
        <f>'Description Sheet'!B98</f>
        <v>7.27</v>
      </c>
      <c r="C99" s="152" t="str">
        <f>'Description Sheet'!C98</f>
        <v xml:space="preserve">Walkway and Staircases (Cementitious Waterproofing) </v>
      </c>
      <c r="D99" s="107"/>
      <c r="E99" s="153" t="str">
        <f>IF('Maintenance Schedule'!J119="x","x","")</f>
        <v/>
      </c>
      <c r="F99" s="153" t="str">
        <f t="shared" si="38"/>
        <v/>
      </c>
      <c r="G99" s="154">
        <f t="shared" si="40"/>
        <v>0</v>
      </c>
      <c r="H99" s="155">
        <f>IF(E99="x",P99,0)</f>
        <v>0</v>
      </c>
      <c r="I99" s="156">
        <f>IF(E99="x",G99*H99,0)</f>
        <v>0</v>
      </c>
      <c r="J99" s="14"/>
      <c r="K99" s="15"/>
      <c r="L99" s="32"/>
      <c r="M99" s="86" t="str">
        <f>'Description Sheet'!K98</f>
        <v>m2</v>
      </c>
      <c r="N99" s="67">
        <f>'Description Sheet'!L98</f>
        <v>0</v>
      </c>
      <c r="O99" s="73">
        <f>'Year (2022-2023)'!O99*(('Description Sheet'!M4)+1)</f>
        <v>478.22400000000005</v>
      </c>
      <c r="P99" s="69">
        <f>N99*O99</f>
        <v>0</v>
      </c>
      <c r="Q99" s="14"/>
      <c r="R99" s="44"/>
    </row>
    <row r="100" spans="1:18" hidden="1">
      <c r="A100" s="14"/>
      <c r="B100" s="112">
        <f>'Description Sheet'!B99</f>
        <v>7.28</v>
      </c>
      <c r="C100" s="152" t="str">
        <f>'Description Sheet'!C99</f>
        <v>Waterproofing Servicing of Parapets</v>
      </c>
      <c r="D100" s="107"/>
      <c r="E100" s="153" t="str">
        <f>IF('Maintenance Schedule'!J120="x","x","")</f>
        <v/>
      </c>
      <c r="F100" s="153" t="str">
        <f t="shared" si="38"/>
        <v/>
      </c>
      <c r="G100" s="154">
        <f t="shared" si="40"/>
        <v>0</v>
      </c>
      <c r="H100" s="155">
        <f t="shared" ref="H100:H102" si="41">IF(E100="x",P100,0)</f>
        <v>0</v>
      </c>
      <c r="I100" s="156">
        <f t="shared" ref="I100:I102" si="42">IF(E100="x",G100*H100,0)</f>
        <v>0</v>
      </c>
      <c r="J100" s="14"/>
      <c r="K100" s="15"/>
      <c r="L100" s="32"/>
      <c r="M100" s="86" t="str">
        <f>'Description Sheet'!K99</f>
        <v>m2</v>
      </c>
      <c r="N100" s="67">
        <f>'Description Sheet'!L99</f>
        <v>0</v>
      </c>
      <c r="O100" s="73">
        <f>'Year (2022-2023)'!O100*(('Description Sheet'!M4)+1)</f>
        <v>118.97280000000002</v>
      </c>
      <c r="P100" s="69">
        <f t="shared" ref="P100:P102" si="43">N100*O100</f>
        <v>0</v>
      </c>
      <c r="Q100" s="14"/>
      <c r="R100" s="44"/>
    </row>
    <row r="101" spans="1:18" hidden="1">
      <c r="A101" s="14"/>
      <c r="B101" s="112">
        <f>'Description Sheet'!B100</f>
        <v>7.29</v>
      </c>
      <c r="C101" s="152" t="str">
        <f>'Description Sheet'!C100</f>
        <v>blank</v>
      </c>
      <c r="D101" s="107"/>
      <c r="E101" s="153" t="str">
        <f>IF('Maintenance Schedule'!J121="x","x","")</f>
        <v/>
      </c>
      <c r="F101" s="153" t="str">
        <f t="shared" si="38"/>
        <v/>
      </c>
      <c r="G101" s="154">
        <f t="shared" si="40"/>
        <v>0</v>
      </c>
      <c r="H101" s="155">
        <f t="shared" si="41"/>
        <v>0</v>
      </c>
      <c r="I101" s="156">
        <f t="shared" si="42"/>
        <v>0</v>
      </c>
      <c r="J101" s="14"/>
      <c r="K101" s="15"/>
      <c r="L101" s="32"/>
      <c r="M101" s="86" t="str">
        <f>'Description Sheet'!K100</f>
        <v>m2</v>
      </c>
      <c r="N101" s="67">
        <f>'Description Sheet'!L100</f>
        <v>0</v>
      </c>
      <c r="O101" s="73">
        <f>'Year (2022-2023)'!O101*(('Description Sheet'!M4)+1)</f>
        <v>0</v>
      </c>
      <c r="P101" s="69">
        <f t="shared" si="43"/>
        <v>0</v>
      </c>
      <c r="Q101" s="14"/>
      <c r="R101" s="44"/>
    </row>
    <row r="102" spans="1:18" hidden="1">
      <c r="A102" s="14"/>
      <c r="B102" s="112">
        <f>'Description Sheet'!B101</f>
        <v>7.3</v>
      </c>
      <c r="C102" s="152" t="str">
        <f>'Description Sheet'!C101</f>
        <v>blank</v>
      </c>
      <c r="D102" s="107"/>
      <c r="E102" s="153" t="str">
        <f>IF('Maintenance Schedule'!J122="x","x","")</f>
        <v/>
      </c>
      <c r="F102" s="153" t="str">
        <f t="shared" si="38"/>
        <v/>
      </c>
      <c r="G102" s="154">
        <f t="shared" si="40"/>
        <v>0</v>
      </c>
      <c r="H102" s="155">
        <f t="shared" si="41"/>
        <v>0</v>
      </c>
      <c r="I102" s="156">
        <f t="shared" si="42"/>
        <v>0</v>
      </c>
      <c r="J102" s="14"/>
      <c r="K102" s="15"/>
      <c r="L102" s="32"/>
      <c r="M102" s="86" t="str">
        <f>'Description Sheet'!K101</f>
        <v>m2</v>
      </c>
      <c r="N102" s="67">
        <f>'Description Sheet'!L101</f>
        <v>0</v>
      </c>
      <c r="O102" s="73">
        <f>'Year (2022-2023)'!O102*(('Description Sheet'!M4)+1)</f>
        <v>0</v>
      </c>
      <c r="P102" s="69">
        <f t="shared" si="43"/>
        <v>0</v>
      </c>
      <c r="Q102" s="14"/>
      <c r="R102" s="44"/>
    </row>
    <row r="103" spans="1:18" ht="17" thickBot="1">
      <c r="A103" s="14"/>
      <c r="B103" s="109"/>
      <c r="C103" s="152"/>
      <c r="D103" s="107"/>
      <c r="E103" s="153"/>
      <c r="F103" s="154"/>
      <c r="G103" s="154"/>
      <c r="H103" s="155"/>
      <c r="I103" s="156"/>
      <c r="J103" s="14"/>
      <c r="K103" s="15"/>
      <c r="L103" s="32"/>
      <c r="M103" s="70"/>
      <c r="N103" s="67"/>
      <c r="O103" s="68"/>
      <c r="P103" s="69"/>
      <c r="Q103" s="14"/>
      <c r="R103" s="44"/>
    </row>
    <row r="104" spans="1:18" s="4" customFormat="1" ht="15.75" customHeight="1" thickBot="1">
      <c r="A104" s="14"/>
      <c r="B104" s="109"/>
      <c r="C104" s="115"/>
      <c r="D104" s="107"/>
      <c r="E104" s="159"/>
      <c r="F104" s="528" t="s">
        <v>7</v>
      </c>
      <c r="G104" s="529"/>
      <c r="H104" s="530">
        <f>SUM(I95:I102)</f>
        <v>67855.320000000007</v>
      </c>
      <c r="I104" s="531"/>
      <c r="J104" s="14"/>
      <c r="K104" s="15"/>
      <c r="L104" s="33"/>
      <c r="M104" s="508" t="s">
        <v>7</v>
      </c>
      <c r="N104" s="509"/>
      <c r="O104" s="510">
        <f>SUM(P95:P103)</f>
        <v>1594721.5588800001</v>
      </c>
      <c r="P104" s="511"/>
      <c r="Q104" s="14"/>
      <c r="R104" s="31"/>
    </row>
    <row r="105" spans="1:18" ht="17" thickBot="1">
      <c r="A105" s="14"/>
      <c r="B105" s="109">
        <f>'Description Sheet'!B104</f>
        <v>8</v>
      </c>
      <c r="C105" s="113" t="str">
        <f>'Description Sheet'!C104</f>
        <v>Communication and Service Supply Systems</v>
      </c>
      <c r="D105" s="107"/>
      <c r="E105" s="110"/>
      <c r="F105" s="110"/>
      <c r="G105" s="110"/>
      <c r="H105" s="110"/>
      <c r="I105" s="151"/>
      <c r="J105" s="32"/>
      <c r="K105" s="40"/>
      <c r="L105" s="33"/>
      <c r="M105" s="24"/>
      <c r="N105" s="25"/>
      <c r="O105" s="25"/>
      <c r="P105" s="63"/>
      <c r="Q105" s="14"/>
      <c r="R105" s="44"/>
    </row>
    <row r="106" spans="1:18" ht="17" hidden="1">
      <c r="A106" s="14"/>
      <c r="B106" s="109">
        <f>'Description Sheet'!B105</f>
        <v>8.1</v>
      </c>
      <c r="C106" s="164" t="str">
        <f>'Description Sheet'!C105</f>
        <v>Communication Systems (Service &amp; Upgrade Savings)</v>
      </c>
      <c r="D106" s="107"/>
      <c r="E106" s="153" t="str">
        <f>IF('Maintenance Schedule'!J129="x","x","")</f>
        <v/>
      </c>
      <c r="F106" s="153" t="str">
        <f>IF(E106="x","No","")</f>
        <v/>
      </c>
      <c r="G106" s="154">
        <f>IF(E106="x",1,0)</f>
        <v>0</v>
      </c>
      <c r="H106" s="155">
        <f t="shared" ref="H106:H109" si="44">IF(E106="x",P106,0)</f>
        <v>0</v>
      </c>
      <c r="I106" s="156">
        <f>IF(E106="x",G106*H106,0)</f>
        <v>0</v>
      </c>
      <c r="J106" s="14"/>
      <c r="K106" s="15"/>
      <c r="L106" s="32"/>
      <c r="M106" s="67" t="str">
        <f>'Description Sheet'!K105</f>
        <v>No</v>
      </c>
      <c r="N106" s="67">
        <f>'Description Sheet'!L105</f>
        <v>0</v>
      </c>
      <c r="O106" s="73">
        <f>'Year (2022-2023)'!O106*(('Description Sheet'!M4)+1)</f>
        <v>3430.3824000000004</v>
      </c>
      <c r="P106" s="69">
        <f>N106*O106</f>
        <v>0</v>
      </c>
      <c r="Q106" s="14"/>
      <c r="R106" s="44"/>
    </row>
    <row r="107" spans="1:18" ht="17">
      <c r="A107" s="14"/>
      <c r="B107" s="109">
        <f>'Description Sheet'!B106</f>
        <v>8.1999999999999993</v>
      </c>
      <c r="C107" s="164" t="str">
        <f>'Description Sheet'!C106</f>
        <v>Intercom Systems (Replacement Maintenance/Savings)</v>
      </c>
      <c r="D107" s="107"/>
      <c r="E107" s="153" t="str">
        <f>IF('Maintenance Schedule'!J130="x","x","")</f>
        <v>x</v>
      </c>
      <c r="F107" s="153" t="str">
        <f t="shared" ref="F107:F109" si="45">IF(E107="x","No","")</f>
        <v>No</v>
      </c>
      <c r="G107" s="154">
        <f t="shared" ref="G107:G109" si="46">IF(E107="x",1,0)</f>
        <v>1</v>
      </c>
      <c r="H107" s="155">
        <f t="shared" si="44"/>
        <v>4803.235200000001</v>
      </c>
      <c r="I107" s="156">
        <f t="shared" ref="I107:I109" si="47">IF(E107="x",G107*H107,0)</f>
        <v>4803.235200000001</v>
      </c>
      <c r="J107" s="14"/>
      <c r="K107" s="15"/>
      <c r="L107" s="32"/>
      <c r="M107" s="67" t="str">
        <f>'Description Sheet'!K106</f>
        <v>No</v>
      </c>
      <c r="N107" s="67">
        <f>'Description Sheet'!L106</f>
        <v>1</v>
      </c>
      <c r="O107" s="73">
        <f>'Year (2022-2023)'!O107*(('Description Sheet'!M4)+1)</f>
        <v>4803.235200000001</v>
      </c>
      <c r="P107" s="69">
        <f t="shared" ref="P107:P109" si="48">N107*O107</f>
        <v>4803.235200000001</v>
      </c>
      <c r="Q107" s="14"/>
      <c r="R107" s="44"/>
    </row>
    <row r="108" spans="1:18" ht="17" hidden="1">
      <c r="A108" s="14"/>
      <c r="B108" s="109">
        <f>'Description Sheet'!B107</f>
        <v>8.3000000000000007</v>
      </c>
      <c r="C108" s="164" t="str">
        <f>'Description Sheet'!C107</f>
        <v xml:space="preserve">Intercom System Replacement </v>
      </c>
      <c r="D108" s="107"/>
      <c r="E108" s="153" t="str">
        <f>IF('Maintenance Schedule'!J131="x","x","")</f>
        <v/>
      </c>
      <c r="F108" s="153" t="str">
        <f t="shared" si="45"/>
        <v/>
      </c>
      <c r="G108" s="154">
        <f t="shared" si="46"/>
        <v>0</v>
      </c>
      <c r="H108" s="155">
        <f t="shared" si="44"/>
        <v>0</v>
      </c>
      <c r="I108" s="156">
        <f t="shared" si="47"/>
        <v>0</v>
      </c>
      <c r="J108" s="14"/>
      <c r="K108" s="15"/>
      <c r="L108" s="32"/>
      <c r="M108" s="67" t="str">
        <f>'Description Sheet'!K107</f>
        <v>No</v>
      </c>
      <c r="N108" s="67">
        <f>'Description Sheet'!L107</f>
        <v>1</v>
      </c>
      <c r="O108" s="73">
        <f>'Year (2022-2023)'!O108*(('Description Sheet'!M4)+1)</f>
        <v>48988.800000000003</v>
      </c>
      <c r="P108" s="69">
        <f t="shared" si="48"/>
        <v>48988.800000000003</v>
      </c>
      <c r="Q108" s="14"/>
      <c r="R108" s="44"/>
    </row>
    <row r="109" spans="1:18" ht="17" hidden="1">
      <c r="A109" s="14"/>
      <c r="B109" s="109">
        <f>'Description Sheet'!B108</f>
        <v>8.4</v>
      </c>
      <c r="C109" s="164" t="str">
        <f>'Description Sheet'!C108</f>
        <v>blank</v>
      </c>
      <c r="D109" s="107"/>
      <c r="E109" s="153" t="str">
        <f>IF('Maintenance Schedule'!J132="x","x","")</f>
        <v/>
      </c>
      <c r="F109" s="153" t="str">
        <f t="shared" si="45"/>
        <v/>
      </c>
      <c r="G109" s="154">
        <f t="shared" si="46"/>
        <v>0</v>
      </c>
      <c r="H109" s="155">
        <f t="shared" si="44"/>
        <v>0</v>
      </c>
      <c r="I109" s="156">
        <f t="shared" si="47"/>
        <v>0</v>
      </c>
      <c r="J109" s="14"/>
      <c r="K109" s="15"/>
      <c r="L109" s="32"/>
      <c r="M109" s="67" t="str">
        <f>'Description Sheet'!K108</f>
        <v>No</v>
      </c>
      <c r="N109" s="67">
        <f>'Description Sheet'!L108</f>
        <v>0</v>
      </c>
      <c r="O109" s="73">
        <f>'Year (2022-2023)'!O109*(('Description Sheet'!M4)+1)</f>
        <v>0</v>
      </c>
      <c r="P109" s="69">
        <f t="shared" si="48"/>
        <v>0</v>
      </c>
      <c r="Q109" s="14"/>
      <c r="R109" s="44"/>
    </row>
    <row r="110" spans="1:18" ht="17" thickBot="1">
      <c r="A110" s="14"/>
      <c r="B110" s="109"/>
      <c r="C110" s="164"/>
      <c r="D110" s="107"/>
      <c r="E110" s="162"/>
      <c r="F110" s="154"/>
      <c r="G110" s="154"/>
      <c r="H110" s="155"/>
      <c r="I110" s="155"/>
      <c r="J110" s="14"/>
      <c r="K110" s="15"/>
      <c r="L110" s="32"/>
      <c r="M110" s="67"/>
      <c r="N110" s="67"/>
      <c r="O110" s="73"/>
      <c r="P110" s="68"/>
      <c r="Q110" s="14"/>
      <c r="R110" s="44"/>
    </row>
    <row r="111" spans="1:18" s="4" customFormat="1" ht="15.75" customHeight="1" thickBot="1">
      <c r="A111" s="14"/>
      <c r="B111" s="109"/>
      <c r="C111" s="158"/>
      <c r="D111" s="107"/>
      <c r="E111" s="159"/>
      <c r="F111" s="528" t="s">
        <v>7</v>
      </c>
      <c r="G111" s="529"/>
      <c r="H111" s="530">
        <f>SUM(I106:I110)</f>
        <v>4803.235200000001</v>
      </c>
      <c r="I111" s="531"/>
      <c r="J111" s="14"/>
      <c r="K111" s="15"/>
      <c r="L111" s="33"/>
      <c r="M111" s="508" t="s">
        <v>7</v>
      </c>
      <c r="N111" s="509"/>
      <c r="O111" s="510">
        <f>SUM(P106:P110)</f>
        <v>53792.035200000006</v>
      </c>
      <c r="P111" s="511"/>
      <c r="Q111" s="14"/>
      <c r="R111" s="31"/>
    </row>
    <row r="112" spans="1:18" ht="17" hidden="1" thickBot="1">
      <c r="A112" s="14"/>
      <c r="B112" s="109">
        <f>'Description Sheet'!B111</f>
        <v>9</v>
      </c>
      <c r="C112" s="113" t="str">
        <f>'Description Sheet'!C111</f>
        <v>Parking Facilities</v>
      </c>
      <c r="D112" s="107"/>
      <c r="E112" s="110"/>
      <c r="F112" s="110"/>
      <c r="G112" s="110"/>
      <c r="H112" s="110"/>
      <c r="I112" s="151"/>
      <c r="J112" s="32"/>
      <c r="K112" s="40"/>
      <c r="L112" s="33"/>
      <c r="M112" s="24"/>
      <c r="N112" s="25"/>
      <c r="O112" s="25"/>
      <c r="P112" s="63"/>
      <c r="Q112" s="14"/>
      <c r="R112" s="44"/>
    </row>
    <row r="113" spans="1:18" ht="17" hidden="1">
      <c r="A113" s="14"/>
      <c r="B113" s="109">
        <f>'Description Sheet'!B112</f>
        <v>9.1</v>
      </c>
      <c r="C113" s="164" t="str">
        <f>'Description Sheet'!C112</f>
        <v>Painting of Demarcation Lines</v>
      </c>
      <c r="D113" s="107"/>
      <c r="E113" s="153" t="str">
        <f>IF('Maintenance Schedule'!J139="x","x","")</f>
        <v/>
      </c>
      <c r="F113" s="153" t="str">
        <f>IF(E113="x","No","")</f>
        <v/>
      </c>
      <c r="G113" s="154">
        <f>IF(E113="x",1,0)</f>
        <v>0</v>
      </c>
      <c r="H113" s="155">
        <f t="shared" ref="H113:H116" si="49">IF(E113="x",P113,0)</f>
        <v>0</v>
      </c>
      <c r="I113" s="156">
        <f>IF(E113="x",G113*H113,0)</f>
        <v>0</v>
      </c>
      <c r="J113" s="14"/>
      <c r="K113" s="15"/>
      <c r="L113" s="32"/>
      <c r="M113" s="67" t="str">
        <f>'Description Sheet'!K112</f>
        <v>lm</v>
      </c>
      <c r="N113" s="67">
        <f>'Description Sheet'!L112</f>
        <v>1</v>
      </c>
      <c r="O113" s="73">
        <f>'Year (2022-2023)'!O113*(('Description Sheet'!M4)+1)</f>
        <v>7581.6000000000013</v>
      </c>
      <c r="P113" s="68">
        <f>N113*O113</f>
        <v>7581.6000000000013</v>
      </c>
      <c r="Q113" s="14"/>
      <c r="R113" s="44"/>
    </row>
    <row r="114" spans="1:18" ht="17" hidden="1">
      <c r="A114" s="14"/>
      <c r="B114" s="109">
        <f>'Description Sheet'!B113</f>
        <v>9.1999999999999993</v>
      </c>
      <c r="C114" s="164" t="str">
        <f>'Description Sheet'!C113</f>
        <v>Shade Port Netting (Replacement and Maintanance)</v>
      </c>
      <c r="D114" s="107"/>
      <c r="E114" s="153" t="str">
        <f>IF('Maintenance Schedule'!J140="x","x","")</f>
        <v/>
      </c>
      <c r="F114" s="153" t="str">
        <f t="shared" ref="F114:F116" si="50">IF(E114="x","No","")</f>
        <v/>
      </c>
      <c r="G114" s="154">
        <f t="shared" ref="G114:G116" si="51">IF(E114="x",1,0)</f>
        <v>0</v>
      </c>
      <c r="H114" s="155">
        <f t="shared" si="49"/>
        <v>0</v>
      </c>
      <c r="I114" s="156">
        <f t="shared" ref="I114:I116" si="52">IF(E114="x",G114*H114,0)</f>
        <v>0</v>
      </c>
      <c r="J114" s="14"/>
      <c r="K114" s="15"/>
      <c r="L114" s="32"/>
      <c r="M114" s="67" t="str">
        <f>'Description Sheet'!K113</f>
        <v>No</v>
      </c>
      <c r="N114" s="67">
        <f>'Description Sheet'!L113</f>
        <v>0</v>
      </c>
      <c r="O114" s="73">
        <f>'Year (2022-2023)'!O114*(('Description Sheet'!M4)+1)</f>
        <v>8920.6272000000008</v>
      </c>
      <c r="P114" s="68">
        <f t="shared" ref="P114:P116" si="53">N114*O114</f>
        <v>0</v>
      </c>
      <c r="Q114" s="14"/>
      <c r="R114" s="44"/>
    </row>
    <row r="115" spans="1:18" ht="17" hidden="1">
      <c r="A115" s="14"/>
      <c r="B115" s="109">
        <f>'Description Sheet'!B114</f>
        <v>9.3000000000000007</v>
      </c>
      <c r="C115" s="164" t="str">
        <f>'Description Sheet'!C114</f>
        <v>Garages (Maintanance)</v>
      </c>
      <c r="D115" s="107"/>
      <c r="E115" s="153" t="str">
        <f>IF('Maintenance Schedule'!J141="x","x","")</f>
        <v/>
      </c>
      <c r="F115" s="153" t="str">
        <f t="shared" si="50"/>
        <v/>
      </c>
      <c r="G115" s="154">
        <f t="shared" si="51"/>
        <v>0</v>
      </c>
      <c r="H115" s="155">
        <f t="shared" si="49"/>
        <v>0</v>
      </c>
      <c r="I115" s="156">
        <f t="shared" si="52"/>
        <v>0</v>
      </c>
      <c r="J115" s="14"/>
      <c r="K115" s="15"/>
      <c r="L115" s="32"/>
      <c r="M115" s="67" t="str">
        <f>'Description Sheet'!K114</f>
        <v>No</v>
      </c>
      <c r="N115" s="67">
        <f>'Description Sheet'!L114</f>
        <v>0</v>
      </c>
      <c r="O115" s="73">
        <f>'Year (2022-2023)'!O115*(('Description Sheet'!M4)+1)</f>
        <v>629.85600000000011</v>
      </c>
      <c r="P115" s="68">
        <f t="shared" si="53"/>
        <v>0</v>
      </c>
      <c r="Q115" s="14"/>
      <c r="R115" s="44"/>
    </row>
    <row r="116" spans="1:18" ht="17" hidden="1">
      <c r="A116" s="14"/>
      <c r="B116" s="109">
        <f>'Description Sheet'!B115</f>
        <v>9.4</v>
      </c>
      <c r="C116" s="164" t="str">
        <f>'Description Sheet'!C115</f>
        <v>Parking Facilities</v>
      </c>
      <c r="D116" s="107"/>
      <c r="E116" s="153" t="str">
        <f>IF('Maintenance Schedule'!J142="x","x","")</f>
        <v/>
      </c>
      <c r="F116" s="153" t="str">
        <f t="shared" si="50"/>
        <v/>
      </c>
      <c r="G116" s="154">
        <f t="shared" si="51"/>
        <v>0</v>
      </c>
      <c r="H116" s="155">
        <f t="shared" si="49"/>
        <v>0</v>
      </c>
      <c r="I116" s="156">
        <f t="shared" si="52"/>
        <v>0</v>
      </c>
      <c r="J116" s="14"/>
      <c r="K116" s="15"/>
      <c r="L116" s="32"/>
      <c r="M116" s="67" t="str">
        <f>'Description Sheet'!K115</f>
        <v>No</v>
      </c>
      <c r="N116" s="67">
        <f>'Description Sheet'!L115</f>
        <v>0</v>
      </c>
      <c r="O116" s="73">
        <f>'Year (2022-2023)'!O116*(('Description Sheet'!M4)+1)</f>
        <v>5668.7040000000006</v>
      </c>
      <c r="P116" s="68">
        <f t="shared" si="53"/>
        <v>0</v>
      </c>
      <c r="Q116" s="14"/>
      <c r="R116" s="44"/>
    </row>
    <row r="117" spans="1:18" ht="17" hidden="1" thickBot="1">
      <c r="A117" s="14"/>
      <c r="B117" s="109"/>
      <c r="C117" s="164"/>
      <c r="D117" s="107"/>
      <c r="E117" s="162"/>
      <c r="F117" s="154"/>
      <c r="G117" s="154"/>
      <c r="H117" s="155"/>
      <c r="I117" s="155"/>
      <c r="J117" s="14"/>
      <c r="K117" s="15"/>
      <c r="L117" s="32"/>
      <c r="M117" s="67"/>
      <c r="N117" s="67"/>
      <c r="O117" s="73"/>
      <c r="P117" s="68"/>
      <c r="Q117" s="14"/>
      <c r="R117" s="44"/>
    </row>
    <row r="118" spans="1:18" s="4" customFormat="1" ht="15.75" hidden="1" customHeight="1" thickBot="1">
      <c r="A118" s="14"/>
      <c r="B118" s="109"/>
      <c r="C118" s="158"/>
      <c r="D118" s="107"/>
      <c r="E118" s="159"/>
      <c r="F118" s="528" t="s">
        <v>7</v>
      </c>
      <c r="G118" s="529"/>
      <c r="H118" s="530">
        <f>SUM(I113:I117)</f>
        <v>0</v>
      </c>
      <c r="I118" s="531"/>
      <c r="J118" s="14"/>
      <c r="K118" s="15"/>
      <c r="L118" s="33"/>
      <c r="M118" s="508" t="s">
        <v>7</v>
      </c>
      <c r="N118" s="509"/>
      <c r="O118" s="510">
        <f>SUM(P113:P117)</f>
        <v>7581.6000000000013</v>
      </c>
      <c r="P118" s="511"/>
      <c r="Q118" s="14"/>
      <c r="R118" s="31"/>
    </row>
    <row r="119" spans="1:18" ht="17" hidden="1" thickBot="1">
      <c r="A119" s="14"/>
      <c r="B119" s="109">
        <f>'Description Sheet'!B118</f>
        <v>10</v>
      </c>
      <c r="C119" s="113" t="str">
        <f>'Description Sheet'!C118</f>
        <v>Roadways and Paved Areas</v>
      </c>
      <c r="D119" s="107"/>
      <c r="E119" s="110"/>
      <c r="F119" s="110"/>
      <c r="G119" s="110"/>
      <c r="H119" s="110"/>
      <c r="I119" s="151"/>
      <c r="J119" s="32"/>
      <c r="K119" s="40"/>
      <c r="L119" s="33"/>
      <c r="M119" s="24"/>
      <c r="N119" s="25"/>
      <c r="O119" s="25"/>
      <c r="P119" s="63"/>
      <c r="Q119" s="14"/>
      <c r="R119" s="44"/>
    </row>
    <row r="120" spans="1:18" ht="17" hidden="1">
      <c r="A120" s="14"/>
      <c r="B120" s="109">
        <f>'Description Sheet'!B119</f>
        <v>10.1</v>
      </c>
      <c r="C120" s="114" t="str">
        <f>'Description Sheet'!C119</f>
        <v>Tarmac Areas (Reinstatement)</v>
      </c>
      <c r="D120" s="107"/>
      <c r="E120" s="153" t="str">
        <f>IF('Maintenance Schedule'!J149="x","x","")</f>
        <v/>
      </c>
      <c r="F120" s="153" t="str">
        <f>IF(E120="x","No","")</f>
        <v/>
      </c>
      <c r="G120" s="154">
        <f>IF(E120="x",1,0)</f>
        <v>0</v>
      </c>
      <c r="H120" s="155">
        <f t="shared" ref="H120" si="54">IF(E120="x",P120,0)</f>
        <v>0</v>
      </c>
      <c r="I120" s="156">
        <f>IF(E120="x",G120*H120,0)</f>
        <v>0</v>
      </c>
      <c r="J120" s="14"/>
      <c r="K120" s="15"/>
      <c r="L120" s="32"/>
      <c r="M120" s="67" t="str">
        <f>'Description Sheet'!K119</f>
        <v>No</v>
      </c>
      <c r="N120" s="67">
        <f>'Description Sheet'!L119</f>
        <v>0</v>
      </c>
      <c r="O120" s="73">
        <f>'Year (2022-2023)'!O120*(('Description Sheet'!M4)+1)</f>
        <v>5668.7040000000006</v>
      </c>
      <c r="P120" s="68">
        <f>N120*O120</f>
        <v>0</v>
      </c>
      <c r="Q120" s="14"/>
      <c r="R120" s="44"/>
    </row>
    <row r="121" spans="1:18" ht="17" hidden="1">
      <c r="A121" s="14"/>
      <c r="B121" s="109">
        <f>'Description Sheet'!B120</f>
        <v>10.199999999999999</v>
      </c>
      <c r="C121" s="114" t="str">
        <f>'Description Sheet'!C120</f>
        <v>Concrete Areas (Reinstatement)</v>
      </c>
      <c r="D121" s="107"/>
      <c r="E121" s="153" t="str">
        <f>IF('Maintenance Schedule'!J150="x","x","")</f>
        <v/>
      </c>
      <c r="F121" s="153" t="str">
        <f t="shared" ref="F121:F126" si="55">IF(E121="x","No","")</f>
        <v/>
      </c>
      <c r="G121" s="154">
        <f t="shared" ref="G121:G126" si="56">IF(E121="x",1,0)</f>
        <v>0</v>
      </c>
      <c r="H121" s="155">
        <f>IF(E121="x",P121,0)</f>
        <v>0</v>
      </c>
      <c r="I121" s="156">
        <f>IF(E121="x",G121*H121,0)</f>
        <v>0</v>
      </c>
      <c r="J121" s="14"/>
      <c r="K121" s="15"/>
      <c r="L121" s="32"/>
      <c r="M121" s="67" t="str">
        <f>'Description Sheet'!K120</f>
        <v>No</v>
      </c>
      <c r="N121" s="67">
        <f>'Description Sheet'!L120</f>
        <v>1</v>
      </c>
      <c r="O121" s="73">
        <f>'Year (2022-2023)'!O121*(('Description Sheet'!M4)+1)</f>
        <v>2744.5392000000006</v>
      </c>
      <c r="P121" s="68">
        <f>N121*O121</f>
        <v>2744.5392000000006</v>
      </c>
      <c r="Q121" s="14"/>
      <c r="R121" s="44"/>
    </row>
    <row r="122" spans="1:18" ht="17" hidden="1">
      <c r="A122" s="14"/>
      <c r="B122" s="109">
        <f>'Description Sheet'!B121</f>
        <v>10.3</v>
      </c>
      <c r="C122" s="114" t="str">
        <f>'Description Sheet'!C121</f>
        <v>Paving  Areas (Reinstatement)</v>
      </c>
      <c r="D122" s="107"/>
      <c r="E122" s="153" t="str">
        <f>IF('Maintenance Schedule'!J151="x","x","")</f>
        <v/>
      </c>
      <c r="F122" s="153" t="str">
        <f t="shared" si="55"/>
        <v/>
      </c>
      <c r="G122" s="154">
        <f t="shared" si="56"/>
        <v>0</v>
      </c>
      <c r="H122" s="155">
        <f>IF(E122="x",P122,0)</f>
        <v>0</v>
      </c>
      <c r="I122" s="156">
        <f>IF(E122="x",G122*H122,0)</f>
        <v>0</v>
      </c>
      <c r="J122" s="14"/>
      <c r="K122" s="15"/>
      <c r="L122" s="32"/>
      <c r="M122" s="67" t="str">
        <f>'Description Sheet'!K121</f>
        <v>No</v>
      </c>
      <c r="N122" s="67">
        <f>'Description Sheet'!L121</f>
        <v>1</v>
      </c>
      <c r="O122" s="73">
        <f>'Year (2022-2023)'!O122*(('Description Sheet'!M4)+1)</f>
        <v>2744.5392000000006</v>
      </c>
      <c r="P122" s="68">
        <f>N122*O122</f>
        <v>2744.5392000000006</v>
      </c>
      <c r="Q122" s="14"/>
      <c r="R122" s="44"/>
    </row>
    <row r="123" spans="1:18" ht="17" hidden="1">
      <c r="A123" s="14"/>
      <c r="B123" s="109">
        <f>'Description Sheet'!B122</f>
        <v>10.4</v>
      </c>
      <c r="C123" s="114" t="str">
        <f>'Description Sheet'!C122</f>
        <v>Reinstatement of Walkways (Grouting and Tiles)</v>
      </c>
      <c r="D123" s="107"/>
      <c r="E123" s="153" t="str">
        <f>IF('Maintenance Schedule'!J152="x","x","")</f>
        <v/>
      </c>
      <c r="F123" s="153" t="str">
        <f t="shared" si="55"/>
        <v/>
      </c>
      <c r="G123" s="154">
        <f t="shared" si="56"/>
        <v>0</v>
      </c>
      <c r="H123" s="155">
        <f>IF(E123="x",P123,0)</f>
        <v>0</v>
      </c>
      <c r="I123" s="156">
        <f>IF(E123="x",G123*H123,0)</f>
        <v>0</v>
      </c>
      <c r="J123" s="14"/>
      <c r="K123" s="15"/>
      <c r="L123" s="32"/>
      <c r="M123" s="67" t="str">
        <f>'Description Sheet'!K122</f>
        <v>No</v>
      </c>
      <c r="N123" s="67">
        <f>'Description Sheet'!L122</f>
        <v>1</v>
      </c>
      <c r="O123" s="73">
        <f>'Year (2022-2023)'!O123*(('Description Sheet'!M4)+1)</f>
        <v>2744.5392000000006</v>
      </c>
      <c r="P123" s="68">
        <f>N123*O123</f>
        <v>2744.5392000000006</v>
      </c>
      <c r="Q123" s="14"/>
      <c r="R123" s="44"/>
    </row>
    <row r="124" spans="1:18" ht="17" hidden="1">
      <c r="A124" s="14"/>
      <c r="B124" s="109">
        <f>'Description Sheet'!B123</f>
        <v>10.5</v>
      </c>
      <c r="C124" s="114" t="str">
        <f>'Description Sheet'!C123</f>
        <v>Tarmac Damaged Areas (Replacement)</v>
      </c>
      <c r="D124" s="107"/>
      <c r="E124" s="153" t="str">
        <f>IF('Maintenance Schedule'!J153="x","x","")</f>
        <v/>
      </c>
      <c r="F124" s="153" t="str">
        <f t="shared" si="55"/>
        <v/>
      </c>
      <c r="G124" s="154">
        <f t="shared" si="56"/>
        <v>0</v>
      </c>
      <c r="H124" s="155">
        <f t="shared" ref="H124:H126" si="57">IF(E124="x",P124,0)</f>
        <v>0</v>
      </c>
      <c r="I124" s="156">
        <f t="shared" ref="I124:I126" si="58">IF(E124="x",G124*H124,0)</f>
        <v>0</v>
      </c>
      <c r="J124" s="14"/>
      <c r="K124" s="15"/>
      <c r="L124" s="32"/>
      <c r="M124" s="67" t="str">
        <f>'Description Sheet'!K123</f>
        <v>No</v>
      </c>
      <c r="N124" s="67">
        <f>'Description Sheet'!L123</f>
        <v>0</v>
      </c>
      <c r="O124" s="73">
        <f>'Year (2022-2023)'!O124*(('Description Sheet'!M4)+1)</f>
        <v>0</v>
      </c>
      <c r="P124" s="68">
        <f t="shared" ref="P124:P126" si="59">N124*O124</f>
        <v>0</v>
      </c>
      <c r="Q124" s="14"/>
      <c r="R124" s="44"/>
    </row>
    <row r="125" spans="1:18" ht="17" hidden="1">
      <c r="A125" s="14"/>
      <c r="B125" s="109">
        <f>'Description Sheet'!B124</f>
        <v>10.6</v>
      </c>
      <c r="C125" s="114" t="str">
        <f>'Description Sheet'!C124</f>
        <v>blank</v>
      </c>
      <c r="D125" s="107"/>
      <c r="E125" s="153" t="str">
        <f>IF('Maintenance Schedule'!J154="x","x","")</f>
        <v/>
      </c>
      <c r="F125" s="153" t="str">
        <f t="shared" si="55"/>
        <v/>
      </c>
      <c r="G125" s="154">
        <f t="shared" si="56"/>
        <v>0</v>
      </c>
      <c r="H125" s="155">
        <f t="shared" si="57"/>
        <v>0</v>
      </c>
      <c r="I125" s="156">
        <f t="shared" si="58"/>
        <v>0</v>
      </c>
      <c r="J125" s="14"/>
      <c r="K125" s="15"/>
      <c r="L125" s="32"/>
      <c r="M125" s="67" t="str">
        <f>'Description Sheet'!K124</f>
        <v>No</v>
      </c>
      <c r="N125" s="67">
        <f>'Description Sheet'!L124</f>
        <v>0</v>
      </c>
      <c r="O125" s="73">
        <f>'Year (2022-2023)'!O125*(('Description Sheet'!M4)+1)</f>
        <v>0</v>
      </c>
      <c r="P125" s="68">
        <f t="shared" si="59"/>
        <v>0</v>
      </c>
      <c r="Q125" s="14"/>
      <c r="R125" s="44"/>
    </row>
    <row r="126" spans="1:18" ht="17" hidden="1">
      <c r="A126" s="14"/>
      <c r="B126" s="109">
        <f>'Description Sheet'!B125</f>
        <v>10.7</v>
      </c>
      <c r="C126" s="114" t="str">
        <f>'Description Sheet'!C125</f>
        <v>blank</v>
      </c>
      <c r="D126" s="107"/>
      <c r="E126" s="153" t="str">
        <f>IF('Maintenance Schedule'!J155="x","x","")</f>
        <v/>
      </c>
      <c r="F126" s="153" t="str">
        <f t="shared" si="55"/>
        <v/>
      </c>
      <c r="G126" s="154">
        <f t="shared" si="56"/>
        <v>0</v>
      </c>
      <c r="H126" s="155">
        <f t="shared" si="57"/>
        <v>0</v>
      </c>
      <c r="I126" s="156">
        <f t="shared" si="58"/>
        <v>0</v>
      </c>
      <c r="J126" s="14"/>
      <c r="K126" s="15"/>
      <c r="L126" s="32"/>
      <c r="M126" s="67" t="str">
        <f>'Description Sheet'!K125</f>
        <v>No</v>
      </c>
      <c r="N126" s="67">
        <f>'Description Sheet'!L125</f>
        <v>0</v>
      </c>
      <c r="O126" s="73">
        <f>'Year (2022-2023)'!O126*(('Description Sheet'!M4)+1)</f>
        <v>0</v>
      </c>
      <c r="P126" s="68">
        <f t="shared" si="59"/>
        <v>0</v>
      </c>
      <c r="Q126" s="14"/>
      <c r="R126" s="44"/>
    </row>
    <row r="127" spans="1:18" ht="17" hidden="1" thickBot="1">
      <c r="A127" s="14"/>
      <c r="B127" s="109"/>
      <c r="C127" s="164"/>
      <c r="D127" s="107"/>
      <c r="E127" s="162"/>
      <c r="F127" s="154"/>
      <c r="G127" s="154"/>
      <c r="H127" s="155"/>
      <c r="I127" s="155"/>
      <c r="J127" s="14"/>
      <c r="K127" s="15"/>
      <c r="L127" s="32"/>
      <c r="M127" s="67"/>
      <c r="N127" s="67"/>
      <c r="O127" s="73"/>
      <c r="P127" s="68"/>
      <c r="Q127" s="14"/>
      <c r="R127" s="44"/>
    </row>
    <row r="128" spans="1:18" s="4" customFormat="1" ht="15.75" hidden="1" customHeight="1" thickBot="1">
      <c r="A128" s="14"/>
      <c r="B128" s="109"/>
      <c r="C128" s="165"/>
      <c r="D128" s="107"/>
      <c r="E128" s="159"/>
      <c r="F128" s="528" t="s">
        <v>7</v>
      </c>
      <c r="G128" s="529"/>
      <c r="H128" s="530">
        <f>SUM(I120:I127)</f>
        <v>0</v>
      </c>
      <c r="I128" s="531"/>
      <c r="J128" s="14"/>
      <c r="K128" s="15"/>
      <c r="L128" s="33"/>
      <c r="M128" s="508" t="s">
        <v>7</v>
      </c>
      <c r="N128" s="509"/>
      <c r="O128" s="510">
        <f>SUM(P120:P127)</f>
        <v>8233.6176000000014</v>
      </c>
      <c r="P128" s="511"/>
      <c r="Q128" s="14"/>
      <c r="R128" s="31"/>
    </row>
    <row r="129" spans="1:23" ht="17" thickBot="1">
      <c r="A129" s="14"/>
      <c r="B129" s="109">
        <f>'Description Sheet'!B128</f>
        <v>11</v>
      </c>
      <c r="C129" s="113" t="str">
        <f>'Description Sheet'!C128</f>
        <v>Security Systems and Facilities</v>
      </c>
      <c r="D129" s="107"/>
      <c r="E129" s="110"/>
      <c r="F129" s="110"/>
      <c r="G129" s="110"/>
      <c r="H129" s="110"/>
      <c r="I129" s="151"/>
      <c r="J129" s="32"/>
      <c r="K129" s="40"/>
      <c r="L129" s="33"/>
      <c r="M129" s="24"/>
      <c r="N129" s="25"/>
      <c r="O129" s="25"/>
      <c r="P129" s="63"/>
      <c r="Q129" s="14"/>
      <c r="R129" s="44"/>
    </row>
    <row r="130" spans="1:23" ht="17">
      <c r="A130" s="14"/>
      <c r="B130" s="109">
        <f>'Description Sheet'!B129</f>
        <v>11.1</v>
      </c>
      <c r="C130" s="164" t="str">
        <f>'Description Sheet'!C129</f>
        <v>Security Equipment (Replacement/Upgrade Savings)</v>
      </c>
      <c r="D130" s="107"/>
      <c r="E130" s="153" t="str">
        <f>IF('Maintenance Schedule'!J162="x","x","")</f>
        <v>x</v>
      </c>
      <c r="F130" s="153" t="str">
        <f>IF(E130="x","No","")</f>
        <v>No</v>
      </c>
      <c r="G130" s="154">
        <f>IF(E130="x",1,0)</f>
        <v>1</v>
      </c>
      <c r="H130" s="155">
        <f t="shared" ref="H130:H133" si="60">IF(E130="x",P130,0)</f>
        <v>7581.6000000000013</v>
      </c>
      <c r="I130" s="156">
        <f>IF(E130="x",G130*H130,0)</f>
        <v>7581.6000000000013</v>
      </c>
      <c r="J130" s="14"/>
      <c r="K130" s="15"/>
      <c r="L130" s="32"/>
      <c r="M130" s="67" t="str">
        <f>'Description Sheet'!K129</f>
        <v>No</v>
      </c>
      <c r="N130" s="67">
        <f>'Description Sheet'!L129</f>
        <v>1</v>
      </c>
      <c r="O130" s="73">
        <f>'Year (2022-2023)'!O130*(('Description Sheet'!M4)+1)</f>
        <v>7581.6000000000013</v>
      </c>
      <c r="P130" s="68">
        <f>N130*O130</f>
        <v>7581.6000000000013</v>
      </c>
      <c r="Q130" s="14"/>
      <c r="R130" s="44"/>
    </row>
    <row r="131" spans="1:23" ht="17" hidden="1">
      <c r="A131" s="14"/>
      <c r="B131" s="109">
        <f>'Description Sheet'!B130</f>
        <v>11.2</v>
      </c>
      <c r="C131" s="164" t="str">
        <f>'Description Sheet'!C130</f>
        <v>CCTV Installation</v>
      </c>
      <c r="D131" s="107"/>
      <c r="E131" s="153" t="str">
        <f>IF('Maintenance Schedule'!J163="x","x","")</f>
        <v/>
      </c>
      <c r="F131" s="153" t="str">
        <f t="shared" ref="F131:F133" si="61">IF(E131="x","No","")</f>
        <v/>
      </c>
      <c r="G131" s="154">
        <f t="shared" ref="G131:G133" si="62">IF(E131="x",1,0)</f>
        <v>0</v>
      </c>
      <c r="H131" s="155">
        <f t="shared" si="60"/>
        <v>0</v>
      </c>
      <c r="I131" s="156">
        <f t="shared" ref="I131:I133" si="63">IF(E131="x",G131*H131,0)</f>
        <v>0</v>
      </c>
      <c r="J131" s="14"/>
      <c r="K131" s="15"/>
      <c r="L131" s="32"/>
      <c r="M131" s="67" t="str">
        <f>'Description Sheet'!K130</f>
        <v>No</v>
      </c>
      <c r="N131" s="67">
        <f>'Description Sheet'!L130</f>
        <v>1</v>
      </c>
      <c r="O131" s="73">
        <f>'Year (2022-2023)'!O131*(('Description Sheet'!M4)+1)</f>
        <v>48988.800000000003</v>
      </c>
      <c r="P131" s="68">
        <f t="shared" ref="P131:P133" si="64">N131*O131</f>
        <v>48988.800000000003</v>
      </c>
      <c r="Q131" s="14"/>
      <c r="R131" s="44"/>
    </row>
    <row r="132" spans="1:23" ht="17" hidden="1">
      <c r="A132" s="14"/>
      <c r="B132" s="109">
        <f>'Description Sheet'!B131</f>
        <v>11.3</v>
      </c>
      <c r="C132" s="164" t="str">
        <f>'Description Sheet'!C131</f>
        <v>blank</v>
      </c>
      <c r="D132" s="107"/>
      <c r="E132" s="153" t="str">
        <f>IF('Maintenance Schedule'!J164="x","x","")</f>
        <v/>
      </c>
      <c r="F132" s="153" t="str">
        <f t="shared" si="61"/>
        <v/>
      </c>
      <c r="G132" s="154">
        <f t="shared" si="62"/>
        <v>0</v>
      </c>
      <c r="H132" s="155">
        <f t="shared" si="60"/>
        <v>0</v>
      </c>
      <c r="I132" s="156">
        <f t="shared" si="63"/>
        <v>0</v>
      </c>
      <c r="J132" s="14"/>
      <c r="K132" s="15"/>
      <c r="L132" s="32"/>
      <c r="M132" s="67" t="str">
        <f>'Description Sheet'!K131</f>
        <v>No</v>
      </c>
      <c r="N132" s="67">
        <f>'Description Sheet'!L131</f>
        <v>0</v>
      </c>
      <c r="O132" s="73">
        <f>'Year (2022-2023)'!O132*(('Description Sheet'!M4)+1)</f>
        <v>0</v>
      </c>
      <c r="P132" s="68">
        <f t="shared" si="64"/>
        <v>0</v>
      </c>
      <c r="Q132" s="14"/>
      <c r="R132" s="44"/>
    </row>
    <row r="133" spans="1:23" ht="17" hidden="1">
      <c r="A133" s="14"/>
      <c r="B133" s="109">
        <f>'Description Sheet'!B132</f>
        <v>11.4</v>
      </c>
      <c r="C133" s="164" t="str">
        <f>'Description Sheet'!C132</f>
        <v>blank</v>
      </c>
      <c r="D133" s="107"/>
      <c r="E133" s="153" t="str">
        <f>IF('Maintenance Schedule'!J165="x","x","")</f>
        <v/>
      </c>
      <c r="F133" s="153" t="str">
        <f t="shared" si="61"/>
        <v/>
      </c>
      <c r="G133" s="154">
        <f t="shared" si="62"/>
        <v>0</v>
      </c>
      <c r="H133" s="155">
        <f t="shared" si="60"/>
        <v>0</v>
      </c>
      <c r="I133" s="156">
        <f t="shared" si="63"/>
        <v>0</v>
      </c>
      <c r="J133" s="14"/>
      <c r="K133" s="15"/>
      <c r="L133" s="32"/>
      <c r="M133" s="67" t="str">
        <f>'Description Sheet'!K132</f>
        <v>No</v>
      </c>
      <c r="N133" s="67">
        <f>'Description Sheet'!L132</f>
        <v>0</v>
      </c>
      <c r="O133" s="73">
        <f>'Year (2022-2023)'!O133*(('Description Sheet'!M4)+1)</f>
        <v>0</v>
      </c>
      <c r="P133" s="68">
        <f t="shared" si="64"/>
        <v>0</v>
      </c>
      <c r="Q133" s="14"/>
      <c r="R133" s="44"/>
    </row>
    <row r="134" spans="1:23" ht="17" thickBot="1">
      <c r="A134" s="14"/>
      <c r="B134" s="109"/>
      <c r="C134" s="164"/>
      <c r="D134" s="107"/>
      <c r="E134" s="162"/>
      <c r="F134" s="154"/>
      <c r="G134" s="154"/>
      <c r="H134" s="155"/>
      <c r="I134" s="155"/>
      <c r="J134" s="14"/>
      <c r="K134" s="15"/>
      <c r="L134" s="32"/>
      <c r="M134" s="67"/>
      <c r="N134" s="67"/>
      <c r="O134" s="73"/>
      <c r="P134" s="68"/>
      <c r="Q134" s="14"/>
      <c r="R134" s="44"/>
    </row>
    <row r="135" spans="1:23" s="4" customFormat="1" ht="15.75" customHeight="1" thickBot="1">
      <c r="A135" s="14"/>
      <c r="B135" s="109"/>
      <c r="C135" s="158"/>
      <c r="D135" s="107"/>
      <c r="E135" s="159"/>
      <c r="F135" s="528" t="s">
        <v>7</v>
      </c>
      <c r="G135" s="529"/>
      <c r="H135" s="530">
        <f>SUM(I130:I134)</f>
        <v>7581.6000000000013</v>
      </c>
      <c r="I135" s="531"/>
      <c r="J135" s="14"/>
      <c r="K135" s="15"/>
      <c r="L135" s="33"/>
      <c r="M135" s="508" t="s">
        <v>7</v>
      </c>
      <c r="N135" s="509"/>
      <c r="O135" s="510">
        <f>SUM(P130:P134)</f>
        <v>56570.400000000001</v>
      </c>
      <c r="P135" s="511"/>
      <c r="Q135" s="14"/>
      <c r="R135" s="31"/>
    </row>
    <row r="136" spans="1:23" ht="17" thickBot="1">
      <c r="A136" s="14"/>
      <c r="B136" s="109">
        <f>'Description Sheet'!B135</f>
        <v>12</v>
      </c>
      <c r="C136" s="113" t="str">
        <f>'Description Sheet'!C135</f>
        <v>Community and Recreational Facilities</v>
      </c>
      <c r="D136" s="107"/>
      <c r="E136" s="110"/>
      <c r="F136" s="110"/>
      <c r="G136" s="110"/>
      <c r="H136" s="110"/>
      <c r="I136" s="151"/>
      <c r="J136" s="32"/>
      <c r="K136" s="40"/>
      <c r="L136" s="33"/>
      <c r="M136" s="24"/>
      <c r="N136" s="25"/>
      <c r="O136" s="25"/>
      <c r="P136" s="63"/>
      <c r="Q136" s="14"/>
      <c r="R136" s="44"/>
    </row>
    <row r="137" spans="1:23">
      <c r="A137" s="14"/>
      <c r="B137" s="109">
        <f>'Description Sheet'!B136</f>
        <v>12.1</v>
      </c>
      <c r="C137" s="111" t="str">
        <f>'Description Sheet'!C136</f>
        <v>Fire Equipment and Signage (Replace)</v>
      </c>
      <c r="D137" s="107"/>
      <c r="E137" s="153" t="str">
        <f>IF('Maintenance Schedule'!J172="x","x","")</f>
        <v>x</v>
      </c>
      <c r="F137" s="153" t="str">
        <f>IF(E137="x","No","")</f>
        <v>No</v>
      </c>
      <c r="G137" s="154">
        <f>IF(E137="x",1,0)</f>
        <v>1</v>
      </c>
      <c r="H137" s="155">
        <f>IF(E137="x",P137,0)</f>
        <v>3499.2000000000003</v>
      </c>
      <c r="I137" s="156">
        <f>IF(E137="x",G137*H137,0)</f>
        <v>3499.2000000000003</v>
      </c>
      <c r="J137" s="14"/>
      <c r="K137" s="15"/>
      <c r="L137" s="32"/>
      <c r="M137" s="67" t="str">
        <f>'Description Sheet'!K136</f>
        <v>No</v>
      </c>
      <c r="N137" s="67">
        <f>'Description Sheet'!L136</f>
        <v>1</v>
      </c>
      <c r="O137" s="73">
        <f>'Year (2022-2023)'!O137*(('Description Sheet'!M4)+1)</f>
        <v>3499.2000000000003</v>
      </c>
      <c r="P137" s="68">
        <f>N137*O137</f>
        <v>3499.2000000000003</v>
      </c>
      <c r="Q137" s="14"/>
      <c r="R137" s="44"/>
      <c r="W137" s="1"/>
    </row>
    <row r="138" spans="1:23" hidden="1">
      <c r="A138" s="14"/>
      <c r="B138" s="109">
        <f>'Description Sheet'!B137</f>
        <v>12.2</v>
      </c>
      <c r="C138" s="111" t="str">
        <f>'Description Sheet'!C137</f>
        <v>Communal Areas (Pool, Gym Areas, ablutions etc Upgrade/Replacment of Fixtures &amp; Equipment)</v>
      </c>
      <c r="D138" s="107"/>
      <c r="E138" s="153" t="str">
        <f>IF('Maintenance Schedule'!J173="x","x","")</f>
        <v/>
      </c>
      <c r="F138" s="153" t="str">
        <f t="shared" ref="F138:F144" si="65">IF(E138="x","No","")</f>
        <v/>
      </c>
      <c r="G138" s="154">
        <f t="shared" ref="G138:G144" si="66">IF(E138="x",1,0)</f>
        <v>0</v>
      </c>
      <c r="H138" s="155">
        <f>IF(E138="x",P138,0)</f>
        <v>0</v>
      </c>
      <c r="I138" s="156">
        <f>IF(E138="x",G138*H138,0)</f>
        <v>0</v>
      </c>
      <c r="J138" s="14"/>
      <c r="K138" s="15"/>
      <c r="L138" s="32"/>
      <c r="M138" s="67" t="str">
        <f>'Description Sheet'!K137</f>
        <v>No</v>
      </c>
      <c r="N138" s="67">
        <f>'Description Sheet'!L137</f>
        <v>0</v>
      </c>
      <c r="O138" s="73">
        <f>'Year (2022-2023)'!O138*(('Description Sheet'!M4)+1)</f>
        <v>8920.6272000000008</v>
      </c>
      <c r="P138" s="68">
        <f>N138*O138</f>
        <v>0</v>
      </c>
      <c r="Q138" s="14"/>
      <c r="R138" s="44"/>
    </row>
    <row r="139" spans="1:23" hidden="1">
      <c r="A139" s="14"/>
      <c r="B139" s="109">
        <f>'Description Sheet'!B138</f>
        <v>12.3</v>
      </c>
      <c r="C139" s="111" t="str">
        <f>'Description Sheet'!C138</f>
        <v>Laundry Room (Maintain/Replace)</v>
      </c>
      <c r="D139" s="107"/>
      <c r="E139" s="153" t="str">
        <f>IF('Maintenance Schedule'!J174="x","x","")</f>
        <v/>
      </c>
      <c r="F139" s="153" t="str">
        <f t="shared" si="65"/>
        <v/>
      </c>
      <c r="G139" s="154">
        <f t="shared" si="66"/>
        <v>0</v>
      </c>
      <c r="H139" s="155">
        <f>IF(E139="x",P139,0)</f>
        <v>0</v>
      </c>
      <c r="I139" s="156">
        <f>IF(E139="x",G139*H139,0)</f>
        <v>0</v>
      </c>
      <c r="J139" s="14"/>
      <c r="K139" s="15"/>
      <c r="L139" s="32"/>
      <c r="M139" s="67" t="str">
        <f>'Description Sheet'!K138</f>
        <v>lm</v>
      </c>
      <c r="N139" s="67">
        <f>'Description Sheet'!L138</f>
        <v>0</v>
      </c>
      <c r="O139" s="73">
        <f>'Year (2022-2023)'!O139*(('Description Sheet'!M4)+1)</f>
        <v>3430.3824000000004</v>
      </c>
      <c r="P139" s="68">
        <f>N139*O139</f>
        <v>0</v>
      </c>
      <c r="Q139" s="14"/>
      <c r="R139" s="44"/>
    </row>
    <row r="140" spans="1:23" hidden="1">
      <c r="A140" s="14"/>
      <c r="B140" s="109">
        <f>'Description Sheet'!B139</f>
        <v>12.4</v>
      </c>
      <c r="C140" s="111" t="str">
        <f>'Description Sheet'!C139</f>
        <v>Bin Room</v>
      </c>
      <c r="D140" s="107"/>
      <c r="E140" s="153" t="str">
        <f>IF('Maintenance Schedule'!J175="x","x","")</f>
        <v/>
      </c>
      <c r="F140" s="153" t="str">
        <f t="shared" si="65"/>
        <v/>
      </c>
      <c r="G140" s="154">
        <f t="shared" si="66"/>
        <v>0</v>
      </c>
      <c r="H140" s="155">
        <f>IF(E140="x",P140,0)</f>
        <v>0</v>
      </c>
      <c r="I140" s="156">
        <f>IF(E140="x",G140*H140,0)</f>
        <v>0</v>
      </c>
      <c r="J140" s="14"/>
      <c r="K140" s="15"/>
      <c r="L140" s="32"/>
      <c r="M140" s="67" t="str">
        <f>'Description Sheet'!K139</f>
        <v>No</v>
      </c>
      <c r="N140" s="67">
        <f>'Description Sheet'!L139</f>
        <v>0</v>
      </c>
      <c r="O140" s="73">
        <f>'Year (2022-2023)'!O140*(('Description Sheet'!M4)+1)</f>
        <v>4408.9920000000002</v>
      </c>
      <c r="P140" s="68">
        <f>N140*O140</f>
        <v>0</v>
      </c>
      <c r="Q140" s="14"/>
      <c r="R140" s="44"/>
    </row>
    <row r="141" spans="1:23" hidden="1">
      <c r="A141" s="14"/>
      <c r="B141" s="109">
        <f>'Description Sheet'!B140</f>
        <v>12.5</v>
      </c>
      <c r="C141" s="111" t="str">
        <f>'Description Sheet'!C140</f>
        <v>Pool Area (Re-Surfacing)</v>
      </c>
      <c r="D141" s="107"/>
      <c r="E141" s="153" t="str">
        <f>IF('Maintenance Schedule'!J176="x","x","")</f>
        <v/>
      </c>
      <c r="F141" s="153" t="str">
        <f t="shared" si="65"/>
        <v/>
      </c>
      <c r="G141" s="154">
        <f t="shared" si="66"/>
        <v>0</v>
      </c>
      <c r="H141" s="155">
        <f>IF(E141="x",P141,0)</f>
        <v>0</v>
      </c>
      <c r="I141" s="156">
        <f>IF(E141="x",G141*H141,0)</f>
        <v>0</v>
      </c>
      <c r="J141" s="14"/>
      <c r="K141" s="15"/>
      <c r="L141" s="32"/>
      <c r="M141" s="67" t="str">
        <f>'Description Sheet'!K140</f>
        <v>No</v>
      </c>
      <c r="N141" s="67">
        <f>'Description Sheet'!L140</f>
        <v>0</v>
      </c>
      <c r="O141" s="73">
        <f>'Year (2022-2023)'!O141*(('Description Sheet'!M4)+1)</f>
        <v>19688.832000000002</v>
      </c>
      <c r="P141" s="68">
        <f>N141*O141</f>
        <v>0</v>
      </c>
      <c r="Q141" s="14"/>
      <c r="R141" s="44"/>
    </row>
    <row r="142" spans="1:23" hidden="1">
      <c r="A142" s="14"/>
      <c r="B142" s="109">
        <f>'Description Sheet'!B141</f>
        <v>12.6</v>
      </c>
      <c r="C142" s="111" t="str">
        <f>'Description Sheet'!C141</f>
        <v>Pool Area (Maintenance/Repairs Savings)</v>
      </c>
      <c r="D142" s="107"/>
      <c r="E142" s="153" t="str">
        <f>IF('Maintenance Schedule'!J177="x","x","")</f>
        <v/>
      </c>
      <c r="F142" s="153" t="str">
        <f t="shared" si="65"/>
        <v/>
      </c>
      <c r="G142" s="154">
        <f t="shared" si="66"/>
        <v>0</v>
      </c>
      <c r="H142" s="155">
        <f t="shared" ref="H142:H144" si="67">IF(E142="x",P142,0)</f>
        <v>0</v>
      </c>
      <c r="I142" s="156">
        <f t="shared" ref="I142:I144" si="68">IF(E142="x",G142*H142,0)</f>
        <v>0</v>
      </c>
      <c r="J142" s="14"/>
      <c r="K142" s="15"/>
      <c r="L142" s="32"/>
      <c r="M142" s="67" t="str">
        <f>'Description Sheet'!K141</f>
        <v>No</v>
      </c>
      <c r="N142" s="67">
        <f>'Description Sheet'!L141</f>
        <v>0</v>
      </c>
      <c r="O142" s="73">
        <f>'Year (2022-2023)'!O142*(('Description Sheet'!M4)+1)</f>
        <v>4292.3520000000008</v>
      </c>
      <c r="P142" s="68">
        <f t="shared" ref="P142:P144" si="69">N142*O142</f>
        <v>0</v>
      </c>
      <c r="Q142" s="14"/>
      <c r="R142" s="44"/>
    </row>
    <row r="143" spans="1:23" hidden="1">
      <c r="A143" s="14"/>
      <c r="B143" s="109">
        <f>'Description Sheet'!B142</f>
        <v>12.7</v>
      </c>
      <c r="C143" s="111" t="str">
        <f>'Description Sheet'!C142</f>
        <v>blank</v>
      </c>
      <c r="D143" s="107"/>
      <c r="E143" s="153" t="str">
        <f>IF('Maintenance Schedule'!J178="x","x","")</f>
        <v/>
      </c>
      <c r="F143" s="153" t="str">
        <f t="shared" si="65"/>
        <v/>
      </c>
      <c r="G143" s="154">
        <f t="shared" si="66"/>
        <v>0</v>
      </c>
      <c r="H143" s="155">
        <f t="shared" si="67"/>
        <v>0</v>
      </c>
      <c r="I143" s="156">
        <f t="shared" si="68"/>
        <v>0</v>
      </c>
      <c r="J143" s="14"/>
      <c r="K143" s="15"/>
      <c r="L143" s="32"/>
      <c r="M143" s="67" t="str">
        <f>'Description Sheet'!K142</f>
        <v>No</v>
      </c>
      <c r="N143" s="67">
        <f>'Description Sheet'!L142</f>
        <v>0</v>
      </c>
      <c r="O143" s="73">
        <f>'Year (2022-2023)'!O143*(('Description Sheet'!M4)+1)</f>
        <v>0</v>
      </c>
      <c r="P143" s="68">
        <f t="shared" si="69"/>
        <v>0</v>
      </c>
      <c r="Q143" s="14"/>
      <c r="R143" s="44"/>
    </row>
    <row r="144" spans="1:23" hidden="1">
      <c r="A144" s="14"/>
      <c r="B144" s="109">
        <f>'Description Sheet'!B143</f>
        <v>12.8</v>
      </c>
      <c r="C144" s="111" t="str">
        <f>'Description Sheet'!C143</f>
        <v>blank</v>
      </c>
      <c r="D144" s="107"/>
      <c r="E144" s="153" t="str">
        <f>IF('Maintenance Schedule'!J179="x","x","")</f>
        <v/>
      </c>
      <c r="F144" s="153" t="str">
        <f t="shared" si="65"/>
        <v/>
      </c>
      <c r="G144" s="154">
        <f t="shared" si="66"/>
        <v>0</v>
      </c>
      <c r="H144" s="155">
        <f t="shared" si="67"/>
        <v>0</v>
      </c>
      <c r="I144" s="156">
        <f t="shared" si="68"/>
        <v>0</v>
      </c>
      <c r="J144" s="14"/>
      <c r="K144" s="15"/>
      <c r="L144" s="32"/>
      <c r="M144" s="67" t="str">
        <f>'Description Sheet'!K143</f>
        <v>No</v>
      </c>
      <c r="N144" s="67">
        <f>'Description Sheet'!L143</f>
        <v>0</v>
      </c>
      <c r="O144" s="73">
        <f>'Year (2022-2023)'!O144*(('Description Sheet'!M4)+1)</f>
        <v>0</v>
      </c>
      <c r="P144" s="68">
        <f t="shared" si="69"/>
        <v>0</v>
      </c>
      <c r="Q144" s="14"/>
      <c r="R144" s="44"/>
    </row>
    <row r="145" spans="1:72" ht="17" thickBot="1">
      <c r="A145" s="14"/>
      <c r="B145" s="105"/>
      <c r="C145" s="111"/>
      <c r="D145" s="107"/>
      <c r="E145" s="153"/>
      <c r="F145" s="153" t="str">
        <f>IF(E145="x",M145,"")</f>
        <v/>
      </c>
      <c r="G145" s="154"/>
      <c r="H145" s="155"/>
      <c r="I145" s="166"/>
      <c r="J145" s="14"/>
      <c r="K145" s="15"/>
      <c r="L145" s="32"/>
      <c r="M145" s="67"/>
      <c r="N145" s="78"/>
      <c r="O145" s="77"/>
      <c r="P145" s="79"/>
      <c r="Q145" s="14"/>
      <c r="R145" s="44"/>
    </row>
    <row r="146" spans="1:72" s="4" customFormat="1" ht="15.75" customHeight="1" thickBot="1">
      <c r="A146" s="14"/>
      <c r="B146" s="105"/>
      <c r="C146" s="115"/>
      <c r="D146" s="107"/>
      <c r="E146" s="163"/>
      <c r="F146" s="528" t="s">
        <v>7</v>
      </c>
      <c r="G146" s="529"/>
      <c r="H146" s="530">
        <f>SUM(I137:I144)</f>
        <v>3499.2000000000003</v>
      </c>
      <c r="I146" s="531"/>
      <c r="J146" s="14"/>
      <c r="K146" s="15"/>
      <c r="L146" s="33"/>
      <c r="M146" s="508" t="s">
        <v>7</v>
      </c>
      <c r="N146" s="509"/>
      <c r="O146" s="510">
        <f>SUM(P137:P144)</f>
        <v>3499.2000000000003</v>
      </c>
      <c r="P146" s="511"/>
      <c r="Q146" s="14"/>
      <c r="R146" s="31"/>
    </row>
    <row r="147" spans="1:72" ht="7.5" customHeight="1" thickBot="1">
      <c r="A147" s="14" t="s">
        <v>57</v>
      </c>
      <c r="B147" s="105"/>
      <c r="C147" s="196"/>
      <c r="D147" s="197"/>
      <c r="E147" s="197"/>
      <c r="F147" s="197"/>
      <c r="G147" s="197"/>
      <c r="H147" s="197"/>
      <c r="I147" s="197"/>
      <c r="J147" s="197"/>
      <c r="K147" s="198"/>
      <c r="L147" s="199"/>
      <c r="M147" s="199"/>
      <c r="N147" s="199"/>
      <c r="O147" s="197"/>
      <c r="P147" s="200"/>
      <c r="Q147" s="14"/>
      <c r="R147" s="44"/>
    </row>
    <row r="148" spans="1:72" ht="17" thickBot="1">
      <c r="A148" s="14" t="s">
        <v>57</v>
      </c>
      <c r="B148" s="116"/>
      <c r="C148" s="167" t="s">
        <v>9</v>
      </c>
      <c r="D148" s="168"/>
      <c r="E148" s="553" t="s">
        <v>7</v>
      </c>
      <c r="F148" s="554"/>
      <c r="G148" s="555"/>
      <c r="H148" s="530">
        <f>H16+H26+H34+H41+H48+H68+H93+H111+H118+H128+H135++H146+H104</f>
        <v>129381.75360000001</v>
      </c>
      <c r="I148" s="531"/>
      <c r="J148" s="14"/>
      <c r="K148" s="35"/>
      <c r="L148" s="34"/>
      <c r="M148" s="87"/>
      <c r="N148" s="87"/>
      <c r="O148" s="87"/>
      <c r="P148" s="88"/>
      <c r="Q148" s="14"/>
      <c r="R148" s="44"/>
    </row>
    <row r="149" spans="1:72" ht="17.25" customHeight="1">
      <c r="A149" s="14"/>
      <c r="B149" s="478" t="str">
        <f>'Description Sheet'!B148</f>
        <v>Please Note: The above figures are estimates only based on our experience, measures taken and current rates.  An 8% escalation has been allowed for per anum .  This pricing includes 15% VAT.  Some rates have furthermore been adjusted to try and accommodate P&amp;G's.  An allowance for THC to undertake an annual inspection in order to update the maintenance plan and budget should be allowed for.</v>
      </c>
      <c r="C149" s="479"/>
      <c r="D149" s="479"/>
      <c r="E149" s="479"/>
      <c r="F149" s="479"/>
      <c r="G149" s="479"/>
      <c r="H149" s="479"/>
      <c r="I149" s="480"/>
      <c r="J149" s="14"/>
      <c r="K149" s="40"/>
      <c r="L149" s="14"/>
      <c r="M149" s="89"/>
      <c r="N149" s="89"/>
      <c r="O149" s="89"/>
      <c r="P149" s="89"/>
      <c r="Q149" s="14"/>
      <c r="R149" s="89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</row>
    <row r="150" spans="1:72">
      <c r="A150" s="14"/>
      <c r="B150" s="534"/>
      <c r="C150" s="535"/>
      <c r="D150" s="535"/>
      <c r="E150" s="535"/>
      <c r="F150" s="535"/>
      <c r="G150" s="535"/>
      <c r="H150" s="535"/>
      <c r="I150" s="536"/>
      <c r="J150" s="14"/>
      <c r="K150" s="40"/>
      <c r="L150" s="14"/>
      <c r="M150" s="89"/>
      <c r="N150" s="89"/>
      <c r="O150" s="89"/>
      <c r="P150" s="89"/>
      <c r="Q150" s="14"/>
      <c r="R150" s="89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</row>
    <row r="151" spans="1:72" ht="32.25" customHeight="1">
      <c r="A151" s="14"/>
      <c r="B151" s="534"/>
      <c r="C151" s="535"/>
      <c r="D151" s="535"/>
      <c r="E151" s="535"/>
      <c r="F151" s="535"/>
      <c r="G151" s="535"/>
      <c r="H151" s="535"/>
      <c r="I151" s="536"/>
      <c r="J151" s="14"/>
      <c r="K151" s="31"/>
      <c r="L151" s="14"/>
      <c r="M151" s="44"/>
      <c r="N151" s="44"/>
      <c r="O151" s="44"/>
      <c r="P151" s="44"/>
      <c r="Q151" s="14"/>
      <c r="R151" s="44"/>
    </row>
    <row r="152" spans="1:72">
      <c r="A152" s="44"/>
      <c r="B152" s="172"/>
      <c r="C152" s="117"/>
      <c r="D152" s="117"/>
      <c r="E152" s="139"/>
      <c r="F152" s="117"/>
      <c r="G152" s="117"/>
      <c r="H152" s="117"/>
      <c r="I152" s="117"/>
      <c r="J152" s="44"/>
      <c r="K152" s="31"/>
      <c r="L152" s="44"/>
      <c r="M152" s="44"/>
      <c r="N152" s="44"/>
      <c r="O152" s="44"/>
      <c r="P152" s="44"/>
      <c r="Q152" s="44"/>
      <c r="R152" s="44"/>
    </row>
  </sheetData>
  <sheetProtection algorithmName="SHA-512" hashValue="7Eeq2wtlrIAyt7zokl87Tc+tf3W1/OuZIn8MI3/SBVCR1jdC0eiaQ4YwTpEbJ4FXygSUyTqa3DW+tQTQfaMeLA==" saltValue="ajqKHhIEscZSzVC+mfX88Q==" spinCount="100000" sheet="1" objects="1" scenarios="1"/>
  <mergeCells count="60">
    <mergeCell ref="F26:G26"/>
    <mergeCell ref="H26:I26"/>
    <mergeCell ref="B2:F3"/>
    <mergeCell ref="B4:I4"/>
    <mergeCell ref="E5:I5"/>
    <mergeCell ref="F16:G16"/>
    <mergeCell ref="H16:I16"/>
    <mergeCell ref="M26:N26"/>
    <mergeCell ref="O26:P26"/>
    <mergeCell ref="M2:P3"/>
    <mergeCell ref="M7:P7"/>
    <mergeCell ref="M16:N16"/>
    <mergeCell ref="O16:P16"/>
    <mergeCell ref="F104:G104"/>
    <mergeCell ref="H104:I104"/>
    <mergeCell ref="M104:N104"/>
    <mergeCell ref="O104:P104"/>
    <mergeCell ref="F93:G93"/>
    <mergeCell ref="H93:I93"/>
    <mergeCell ref="M93:N93"/>
    <mergeCell ref="O93:P93"/>
    <mergeCell ref="F34:G34"/>
    <mergeCell ref="H34:I34"/>
    <mergeCell ref="M34:N34"/>
    <mergeCell ref="O34:P34"/>
    <mergeCell ref="F41:G41"/>
    <mergeCell ref="H41:I41"/>
    <mergeCell ref="M41:N41"/>
    <mergeCell ref="O41:P41"/>
    <mergeCell ref="F48:G48"/>
    <mergeCell ref="H48:I48"/>
    <mergeCell ref="M48:N48"/>
    <mergeCell ref="O48:P48"/>
    <mergeCell ref="F68:G68"/>
    <mergeCell ref="H68:I68"/>
    <mergeCell ref="M68:N68"/>
    <mergeCell ref="O68:P68"/>
    <mergeCell ref="F111:G111"/>
    <mergeCell ref="H111:I111"/>
    <mergeCell ref="M111:N111"/>
    <mergeCell ref="O111:P111"/>
    <mergeCell ref="F118:G118"/>
    <mergeCell ref="H118:I118"/>
    <mergeCell ref="M118:N118"/>
    <mergeCell ref="O118:P118"/>
    <mergeCell ref="M146:N146"/>
    <mergeCell ref="O146:P146"/>
    <mergeCell ref="F128:G128"/>
    <mergeCell ref="H128:I128"/>
    <mergeCell ref="M128:N128"/>
    <mergeCell ref="O128:P128"/>
    <mergeCell ref="F135:G135"/>
    <mergeCell ref="H135:I135"/>
    <mergeCell ref="M135:N135"/>
    <mergeCell ref="O135:P135"/>
    <mergeCell ref="E148:G148"/>
    <mergeCell ref="H148:I148"/>
    <mergeCell ref="B149:I151"/>
    <mergeCell ref="F146:G146"/>
    <mergeCell ref="H146:I146"/>
  </mergeCells>
  <conditionalFormatting sqref="E18:E24 E9:E15">
    <cfRule type="expression" priority="1">
      <formula>$H$9:$H$10&gt;x</formula>
    </cfRule>
    <cfRule type="expression" priority="2">
      <formula>$H$9&lt;x</formula>
    </cfRule>
  </conditionalFormatting>
  <pageMargins left="0.70866141732283472" right="0.70866141732283472" top="0.74803149606299213" bottom="0.74803149606299213" header="0.31496062992125984" footer="0.31496062992125984"/>
  <pageSetup scale="69" orientation="portrait" horizontalDpi="4294967293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pageSetUpPr fitToPage="1"/>
  </sheetPr>
  <dimension ref="A1:BT152"/>
  <sheetViews>
    <sheetView view="pageBreakPreview" zoomScale="70" zoomScaleNormal="70" zoomScaleSheetLayoutView="70" workbookViewId="0">
      <pane xSplit="16" ySplit="6" topLeftCell="Q7" activePane="bottomRight" state="frozen"/>
      <selection pane="topRight"/>
      <selection pane="bottomLeft"/>
      <selection pane="bottomRight" activeCell="E1" sqref="E1:E1048576"/>
    </sheetView>
  </sheetViews>
  <sheetFormatPr baseColWidth="10" defaultColWidth="8.83203125" defaultRowHeight="16"/>
  <cols>
    <col min="1" max="1" width="2.33203125" customWidth="1"/>
    <col min="2" max="2" width="6.5" style="173" hidden="1" customWidth="1"/>
    <col min="3" max="3" width="62.5" style="169" customWidth="1"/>
    <col min="4" max="4" width="1.5" style="169" customWidth="1"/>
    <col min="5" max="5" width="12.83203125" style="170" hidden="1" customWidth="1"/>
    <col min="6" max="6" width="6.5" style="169" customWidth="1"/>
    <col min="7" max="7" width="11.33203125" style="169" customWidth="1"/>
    <col min="8" max="8" width="17.5" style="169" bestFit="1" customWidth="1"/>
    <col min="9" max="9" width="17.5" style="169" customWidth="1"/>
    <col min="10" max="10" width="2.33203125" customWidth="1"/>
    <col min="11" max="11" width="11" style="4" hidden="1" customWidth="1"/>
    <col min="12" max="12" width="20.1640625" hidden="1" customWidth="1"/>
    <col min="13" max="13" width="19.1640625" hidden="1" customWidth="1"/>
    <col min="14" max="17" width="73.5" hidden="1" customWidth="1"/>
    <col min="18" max="18" width="9.5" customWidth="1"/>
    <col min="19" max="19" width="13.5" bestFit="1" customWidth="1"/>
  </cols>
  <sheetData>
    <row r="1" spans="1:18" ht="17" thickBot="1">
      <c r="A1" s="30"/>
      <c r="B1" s="171"/>
      <c r="C1" s="117"/>
      <c r="D1" s="118"/>
      <c r="E1" s="139"/>
      <c r="F1" s="117"/>
      <c r="G1" s="117"/>
      <c r="H1" s="117"/>
      <c r="I1" s="117"/>
      <c r="J1" s="30"/>
      <c r="K1" s="41"/>
      <c r="L1" s="30"/>
      <c r="M1" s="30"/>
      <c r="N1" s="44"/>
      <c r="O1" s="44"/>
      <c r="P1" s="44"/>
      <c r="Q1" s="30"/>
      <c r="R1" s="44"/>
    </row>
    <row r="2" spans="1:18" ht="15" customHeight="1">
      <c r="A2" s="34"/>
      <c r="B2" s="543" t="str">
        <f>'Maintenance Schedule'!D1</f>
        <v>KNIGHTSBRIDGE - DESK REVIEW MAINTENANCE SCHEDULE (2021)</v>
      </c>
      <c r="C2" s="544"/>
      <c r="D2" s="544"/>
      <c r="E2" s="544"/>
      <c r="F2" s="545"/>
      <c r="G2" s="140"/>
      <c r="H2" s="140"/>
      <c r="I2" s="140"/>
      <c r="J2" s="14"/>
      <c r="K2" s="15"/>
      <c r="L2" s="33"/>
      <c r="M2" s="537" t="s">
        <v>22</v>
      </c>
      <c r="N2" s="538"/>
      <c r="O2" s="538"/>
      <c r="P2" s="539"/>
      <c r="Q2" s="34"/>
      <c r="R2" s="44"/>
    </row>
    <row r="3" spans="1:18" ht="37.5" customHeight="1" thickBot="1">
      <c r="A3" s="38"/>
      <c r="B3" s="546"/>
      <c r="C3" s="547"/>
      <c r="D3" s="547"/>
      <c r="E3" s="547"/>
      <c r="F3" s="548"/>
      <c r="G3" s="141"/>
      <c r="H3" s="141"/>
      <c r="I3" s="141"/>
      <c r="J3" s="14"/>
      <c r="K3" s="15"/>
      <c r="L3" s="33"/>
      <c r="M3" s="540"/>
      <c r="N3" s="541"/>
      <c r="O3" s="541"/>
      <c r="P3" s="542"/>
      <c r="Q3" s="14"/>
      <c r="R3" s="44"/>
    </row>
    <row r="4" spans="1:18" ht="32.25" customHeight="1" thickBot="1">
      <c r="A4" s="14"/>
      <c r="B4" s="460" t="s">
        <v>1</v>
      </c>
      <c r="C4" s="461"/>
      <c r="D4" s="461"/>
      <c r="E4" s="461"/>
      <c r="F4" s="461"/>
      <c r="G4" s="461"/>
      <c r="H4" s="461"/>
      <c r="I4" s="549"/>
      <c r="J4" s="14"/>
      <c r="K4" s="40"/>
      <c r="L4" s="33"/>
      <c r="M4" s="51" t="s">
        <v>26</v>
      </c>
      <c r="N4" s="51"/>
      <c r="O4" s="51"/>
      <c r="P4" s="52"/>
      <c r="Q4" s="14"/>
      <c r="R4" s="44"/>
    </row>
    <row r="5" spans="1:18" ht="19" thickBot="1">
      <c r="A5" s="14"/>
      <c r="B5" s="105"/>
      <c r="C5" s="106" t="str">
        <f>'Maintenance Schedule'!E4</f>
        <v>WORK DUE IN FINANCIAL YEAR</v>
      </c>
      <c r="D5" s="107"/>
      <c r="E5" s="550" t="str">
        <f>'Maintenance Schedule'!L4</f>
        <v>2024/2025</v>
      </c>
      <c r="F5" s="551"/>
      <c r="G5" s="551"/>
      <c r="H5" s="551"/>
      <c r="I5" s="552"/>
      <c r="J5" s="14"/>
      <c r="K5" s="40"/>
      <c r="L5" s="33"/>
      <c r="M5" s="53"/>
      <c r="N5" s="53"/>
      <c r="O5" s="53"/>
      <c r="P5" s="54"/>
      <c r="Q5" s="14"/>
      <c r="R5" s="44"/>
    </row>
    <row r="6" spans="1:18" ht="18" thickBot="1">
      <c r="A6" s="14"/>
      <c r="B6" s="108" t="s">
        <v>19</v>
      </c>
      <c r="C6" s="142" t="s">
        <v>0</v>
      </c>
      <c r="D6" s="107"/>
      <c r="E6" s="143" t="s">
        <v>23</v>
      </c>
      <c r="F6" s="144" t="s">
        <v>2</v>
      </c>
      <c r="G6" s="145" t="s">
        <v>3</v>
      </c>
      <c r="H6" s="144" t="s">
        <v>4</v>
      </c>
      <c r="I6" s="144" t="s">
        <v>5</v>
      </c>
      <c r="J6" s="32"/>
      <c r="K6" s="40"/>
      <c r="L6" s="33"/>
      <c r="M6" s="59" t="s">
        <v>2</v>
      </c>
      <c r="N6" s="59" t="s">
        <v>3</v>
      </c>
      <c r="O6" s="59" t="s">
        <v>4</v>
      </c>
      <c r="P6" s="59" t="s">
        <v>5</v>
      </c>
      <c r="Q6" s="14"/>
      <c r="R6" s="44"/>
    </row>
    <row r="7" spans="1:18" ht="8.25" hidden="1" customHeight="1" thickBot="1">
      <c r="A7" s="14"/>
      <c r="B7" s="109"/>
      <c r="C7" s="146"/>
      <c r="D7" s="147"/>
      <c r="E7" s="148"/>
      <c r="F7" s="148"/>
      <c r="G7" s="148"/>
      <c r="H7" s="148"/>
      <c r="I7" s="149"/>
      <c r="J7" s="60"/>
      <c r="K7" s="84"/>
      <c r="L7" s="60"/>
      <c r="M7" s="505"/>
      <c r="N7" s="506"/>
      <c r="O7" s="506"/>
      <c r="P7" s="507"/>
      <c r="Q7" s="14"/>
      <c r="R7" s="44"/>
    </row>
    <row r="8" spans="1:18" ht="17" thickBot="1">
      <c r="A8" s="14"/>
      <c r="B8" s="108">
        <f>'Description Sheet'!B7</f>
        <v>1</v>
      </c>
      <c r="C8" s="150" t="str">
        <f>'Description Sheet'!C7</f>
        <v>Electrical Areas</v>
      </c>
      <c r="D8" s="107"/>
      <c r="E8" s="110"/>
      <c r="F8" s="110"/>
      <c r="G8" s="110"/>
      <c r="H8" s="110"/>
      <c r="I8" s="151"/>
      <c r="J8" s="32"/>
      <c r="K8" s="40"/>
      <c r="L8" s="33"/>
      <c r="M8" s="24"/>
      <c r="N8" s="25"/>
      <c r="O8" s="25"/>
      <c r="P8" s="63"/>
      <c r="Q8" s="14"/>
      <c r="R8" s="44"/>
    </row>
    <row r="9" spans="1:18">
      <c r="A9" s="14"/>
      <c r="B9" s="109">
        <f>'Description Sheet'!B8</f>
        <v>1.1000000000000001</v>
      </c>
      <c r="C9" s="152" t="str">
        <f>'Description Sheet'!C8</f>
        <v>General Electrics and Lighting (Replacement/Repairs)</v>
      </c>
      <c r="D9" s="107"/>
      <c r="E9" s="153" t="str">
        <f>IF('Maintenance Schedule'!L8="x","x","")</f>
        <v>x</v>
      </c>
      <c r="F9" s="153" t="str">
        <f>IF(E9="x","No","")</f>
        <v>No</v>
      </c>
      <c r="G9" s="154">
        <f>IF(E9="x",1,0)</f>
        <v>1</v>
      </c>
      <c r="H9" s="155">
        <f>IF(E9="x",P9,0)</f>
        <v>5668.7040000000006</v>
      </c>
      <c r="I9" s="156">
        <f>IF(E9="x",G9*H9,0)</f>
        <v>5668.7040000000006</v>
      </c>
      <c r="J9" s="14"/>
      <c r="K9" s="85"/>
      <c r="L9" s="32"/>
      <c r="M9" s="66" t="str">
        <f>'Description Sheet'!K8</f>
        <v>No</v>
      </c>
      <c r="N9" s="67">
        <f>'Description Sheet'!L8</f>
        <v>1</v>
      </c>
      <c r="O9" s="68">
        <f>'Year (2023-2024)'!O9*(('Description Sheet'!M4)+1)</f>
        <v>5668.7040000000006</v>
      </c>
      <c r="P9" s="69">
        <f>N9*O9</f>
        <v>5668.7040000000006</v>
      </c>
      <c r="Q9" s="14"/>
      <c r="R9" s="44"/>
    </row>
    <row r="10" spans="1:18" hidden="1">
      <c r="A10" s="14"/>
      <c r="B10" s="109">
        <f>'Description Sheet'!B9</f>
        <v>1.2</v>
      </c>
      <c r="C10" s="152" t="str">
        <f>'Description Sheet'!C9</f>
        <v>Generators (Maintenance Savings)</v>
      </c>
      <c r="D10" s="107"/>
      <c r="E10" s="153" t="str">
        <f>IF('Maintenance Schedule'!L9="x","x","")</f>
        <v/>
      </c>
      <c r="F10" s="153" t="str">
        <f t="shared" ref="F10:F14" si="0">IF(E10="x","No","")</f>
        <v/>
      </c>
      <c r="G10" s="154">
        <f t="shared" ref="G10:G14" si="1">IF(E10="x",1,0)</f>
        <v>0</v>
      </c>
      <c r="H10" s="155">
        <f>IF(E10="x",P10,0)</f>
        <v>0</v>
      </c>
      <c r="I10" s="156">
        <f>IF(E10="x",G10*H10,0)</f>
        <v>0</v>
      </c>
      <c r="J10" s="14"/>
      <c r="K10" s="85"/>
      <c r="L10" s="32"/>
      <c r="M10" s="66" t="str">
        <f>'Description Sheet'!K9</f>
        <v>No</v>
      </c>
      <c r="N10" s="67">
        <f>'Description Sheet'!L9</f>
        <v>0</v>
      </c>
      <c r="O10" s="68">
        <f>'Year (2023-2024)'!O10*(('Description Sheet'!M4)+1)</f>
        <v>5928.2046720000017</v>
      </c>
      <c r="P10" s="69">
        <f>N10*O10</f>
        <v>0</v>
      </c>
      <c r="Q10" s="14"/>
      <c r="R10" s="44"/>
    </row>
    <row r="11" spans="1:18">
      <c r="A11" s="14"/>
      <c r="B11" s="109">
        <f>'Description Sheet'!B10</f>
        <v>1.3</v>
      </c>
      <c r="C11" s="152" t="str">
        <f>'Description Sheet'!C10</f>
        <v>Main Gate &amp; Motor (Replacement Savings)</v>
      </c>
      <c r="D11" s="107"/>
      <c r="E11" s="153" t="str">
        <f>IF('Maintenance Schedule'!L10="x","x","")</f>
        <v>x</v>
      </c>
      <c r="F11" s="153" t="str">
        <f t="shared" si="0"/>
        <v>No</v>
      </c>
      <c r="G11" s="154">
        <f t="shared" si="1"/>
        <v>1</v>
      </c>
      <c r="H11" s="155">
        <f>IF(E11="x",P11,0)</f>
        <v>3704.8129920000006</v>
      </c>
      <c r="I11" s="156">
        <f>IF(E11="x",G11*H11,0)</f>
        <v>3704.8129920000006</v>
      </c>
      <c r="J11" s="14"/>
      <c r="K11" s="85"/>
      <c r="L11" s="32"/>
      <c r="M11" s="66" t="str">
        <f>'Description Sheet'!K10</f>
        <v>No</v>
      </c>
      <c r="N11" s="67">
        <f>'Description Sheet'!L10</f>
        <v>1</v>
      </c>
      <c r="O11" s="68">
        <f>'Year (2023-2024)'!O11*(('Description Sheet'!M4)+1)</f>
        <v>3704.8129920000006</v>
      </c>
      <c r="P11" s="69">
        <f>N11*O11</f>
        <v>3704.8129920000006</v>
      </c>
      <c r="Q11" s="14"/>
      <c r="R11" s="44"/>
    </row>
    <row r="12" spans="1:18" hidden="1">
      <c r="A12" s="14"/>
      <c r="B12" s="109">
        <f>'Description Sheet'!B11</f>
        <v>1.4</v>
      </c>
      <c r="C12" s="152" t="str">
        <f>'Description Sheet'!C11</f>
        <v>Tranformers (Service Interval 3 Years)</v>
      </c>
      <c r="D12" s="107"/>
      <c r="E12" s="153" t="str">
        <f>IF('Maintenance Schedule'!L11="x","x","")</f>
        <v/>
      </c>
      <c r="F12" s="153" t="str">
        <f t="shared" si="0"/>
        <v/>
      </c>
      <c r="G12" s="154">
        <f t="shared" si="1"/>
        <v>0</v>
      </c>
      <c r="H12" s="155">
        <f t="shared" ref="H12:H14" si="2">IF(E12="x",P12,0)</f>
        <v>0</v>
      </c>
      <c r="I12" s="156">
        <f t="shared" ref="I12:I14" si="3">IF(E12="x",G12*H12,0)</f>
        <v>0</v>
      </c>
      <c r="J12" s="14"/>
      <c r="K12" s="85"/>
      <c r="L12" s="32"/>
      <c r="M12" s="66" t="str">
        <f>'Description Sheet'!K11</f>
        <v>No</v>
      </c>
      <c r="N12" s="67">
        <f>'Description Sheet'!L11</f>
        <v>0</v>
      </c>
      <c r="O12" s="68">
        <f>'Year (2023-2024)'!O12*(('Description Sheet'!M4)+1)</f>
        <v>35644.810752000005</v>
      </c>
      <c r="P12" s="69">
        <f t="shared" ref="P12:P14" si="4">N12*O12</f>
        <v>0</v>
      </c>
      <c r="Q12" s="14"/>
      <c r="R12" s="44"/>
    </row>
    <row r="13" spans="1:18" hidden="1">
      <c r="A13" s="14"/>
      <c r="B13" s="109">
        <f>'Description Sheet'!B12</f>
        <v>1.5</v>
      </c>
      <c r="C13" s="152" t="str">
        <f>'Description Sheet'!C12</f>
        <v>blank</v>
      </c>
      <c r="D13" s="107"/>
      <c r="E13" s="153" t="str">
        <f>IF('Maintenance Schedule'!L12="x","x","")</f>
        <v/>
      </c>
      <c r="F13" s="153" t="str">
        <f t="shared" si="0"/>
        <v/>
      </c>
      <c r="G13" s="154">
        <f t="shared" si="1"/>
        <v>0</v>
      </c>
      <c r="H13" s="155">
        <f t="shared" si="2"/>
        <v>0</v>
      </c>
      <c r="I13" s="156">
        <f t="shared" si="3"/>
        <v>0</v>
      </c>
      <c r="J13" s="14"/>
      <c r="K13" s="85"/>
      <c r="L13" s="32"/>
      <c r="M13" s="66" t="str">
        <f>'Description Sheet'!K12</f>
        <v>No</v>
      </c>
      <c r="N13" s="67">
        <f>'Description Sheet'!L12</f>
        <v>0</v>
      </c>
      <c r="O13" s="68">
        <f>'Year (2023-2024)'!O13*(('Description Sheet'!M4)+1)</f>
        <v>0</v>
      </c>
      <c r="P13" s="69">
        <f t="shared" si="4"/>
        <v>0</v>
      </c>
      <c r="Q13" s="14"/>
      <c r="R13" s="44"/>
    </row>
    <row r="14" spans="1:18" hidden="1">
      <c r="A14" s="14"/>
      <c r="B14" s="109">
        <f>'Description Sheet'!B13</f>
        <v>1.6</v>
      </c>
      <c r="C14" s="152" t="str">
        <f>'Description Sheet'!C13</f>
        <v>blank</v>
      </c>
      <c r="D14" s="107"/>
      <c r="E14" s="153" t="str">
        <f>IF('Maintenance Schedule'!L13="x","x","")</f>
        <v/>
      </c>
      <c r="F14" s="153" t="str">
        <f t="shared" si="0"/>
        <v/>
      </c>
      <c r="G14" s="154">
        <f t="shared" si="1"/>
        <v>0</v>
      </c>
      <c r="H14" s="155">
        <f t="shared" si="2"/>
        <v>0</v>
      </c>
      <c r="I14" s="156">
        <f t="shared" si="3"/>
        <v>0</v>
      </c>
      <c r="J14" s="14"/>
      <c r="K14" s="85"/>
      <c r="L14" s="32"/>
      <c r="M14" s="66" t="str">
        <f>'Description Sheet'!K13</f>
        <v>No</v>
      </c>
      <c r="N14" s="67">
        <f>'Description Sheet'!L13</f>
        <v>0</v>
      </c>
      <c r="O14" s="68">
        <f>'Year (2023-2024)'!O14*(('Description Sheet'!M4)+1)</f>
        <v>0</v>
      </c>
      <c r="P14" s="69">
        <f t="shared" si="4"/>
        <v>0</v>
      </c>
      <c r="Q14" s="14"/>
      <c r="R14" s="44"/>
    </row>
    <row r="15" spans="1:18" ht="17" thickBot="1">
      <c r="A15" s="14"/>
      <c r="B15" s="109"/>
      <c r="C15" s="152"/>
      <c r="D15" s="107"/>
      <c r="E15" s="153"/>
      <c r="F15" s="153"/>
      <c r="G15" s="154"/>
      <c r="H15" s="155"/>
      <c r="I15" s="157"/>
      <c r="J15" s="14"/>
      <c r="K15" s="85"/>
      <c r="L15" s="32"/>
      <c r="M15" s="70"/>
      <c r="N15" s="67"/>
      <c r="O15" s="68"/>
      <c r="P15" s="73"/>
      <c r="Q15" s="14"/>
      <c r="R15" s="44"/>
    </row>
    <row r="16" spans="1:18" s="4" customFormat="1" ht="15.75" customHeight="1" thickBot="1">
      <c r="A16" s="14"/>
      <c r="B16" s="109"/>
      <c r="C16" s="158"/>
      <c r="D16" s="107"/>
      <c r="E16" s="159"/>
      <c r="F16" s="528" t="s">
        <v>7</v>
      </c>
      <c r="G16" s="529"/>
      <c r="H16" s="530">
        <f>SUM(I9:I14)</f>
        <v>9373.5169920000008</v>
      </c>
      <c r="I16" s="531"/>
      <c r="J16" s="14"/>
      <c r="K16" s="15"/>
      <c r="L16" s="33"/>
      <c r="M16" s="508" t="s">
        <v>7</v>
      </c>
      <c r="N16" s="509"/>
      <c r="O16" s="510">
        <f>SUM(P9:P14)</f>
        <v>9373.5169920000008</v>
      </c>
      <c r="P16" s="511"/>
      <c r="Q16" s="14"/>
      <c r="R16" s="31"/>
    </row>
    <row r="17" spans="1:18" ht="17" thickBot="1">
      <c r="A17" s="14"/>
      <c r="B17" s="109">
        <f>'Description Sheet'!B16</f>
        <v>2</v>
      </c>
      <c r="C17" s="113" t="str">
        <f>'Description Sheet'!C16</f>
        <v>External Plumbing Areas</v>
      </c>
      <c r="D17" s="107"/>
      <c r="E17" s="110"/>
      <c r="F17" s="110"/>
      <c r="G17" s="110"/>
      <c r="H17" s="110"/>
      <c r="I17" s="151"/>
      <c r="J17" s="32"/>
      <c r="K17" s="40"/>
      <c r="L17" s="33"/>
      <c r="M17" s="24"/>
      <c r="N17" s="25"/>
      <c r="O17" s="25"/>
      <c r="P17" s="63"/>
      <c r="Q17" s="14"/>
      <c r="R17" s="44"/>
    </row>
    <row r="18" spans="1:18">
      <c r="A18" s="14"/>
      <c r="B18" s="109">
        <f>'Description Sheet'!B17</f>
        <v>2.1</v>
      </c>
      <c r="C18" s="152" t="str">
        <f>'Description Sheet'!C17</f>
        <v>General Plumbing Repairs/Upgrade (Stacks, Valves etc.)</v>
      </c>
      <c r="D18" s="107"/>
      <c r="E18" s="153" t="str">
        <f>IF('Maintenance Schedule'!L20="x","x","")</f>
        <v>x</v>
      </c>
      <c r="F18" s="153" t="str">
        <f>IF(E18="x","No","")</f>
        <v>No</v>
      </c>
      <c r="G18" s="154">
        <f>IF(E18="x",1,0)</f>
        <v>1</v>
      </c>
      <c r="H18" s="155">
        <f t="shared" ref="H18:H24" si="5">IF(E18="x",P18,0)</f>
        <v>31492.800000000007</v>
      </c>
      <c r="I18" s="156">
        <f>IF(E18="x",G18*H18,0)</f>
        <v>31492.800000000007</v>
      </c>
      <c r="J18" s="14"/>
      <c r="K18" s="15"/>
      <c r="L18" s="32"/>
      <c r="M18" s="70" t="str">
        <f>'Description Sheet'!K17</f>
        <v>No</v>
      </c>
      <c r="N18" s="67">
        <f>'Description Sheet'!L17</f>
        <v>1</v>
      </c>
      <c r="O18" s="68">
        <f>'Year (2023-2024)'!O18*(('Description Sheet'!M4)+1)</f>
        <v>31492.800000000007</v>
      </c>
      <c r="P18" s="68">
        <f>N18*O18</f>
        <v>31492.800000000007</v>
      </c>
      <c r="Q18" s="14"/>
      <c r="R18" s="44"/>
    </row>
    <row r="19" spans="1:18" hidden="1">
      <c r="A19" s="14"/>
      <c r="B19" s="109">
        <f>'Description Sheet'!B18</f>
        <v>2.2000000000000002</v>
      </c>
      <c r="C19" s="152" t="str">
        <f>'Description Sheet'!C18</f>
        <v>Rectify Reticalation Connections at Fire Hydrants</v>
      </c>
      <c r="D19" s="107"/>
      <c r="E19" s="153" t="str">
        <f>IF('Maintenance Schedule'!L21="x","x","")</f>
        <v/>
      </c>
      <c r="F19" s="153" t="str">
        <f t="shared" ref="F19:F24" si="6">IF(E19="x","No","")</f>
        <v/>
      </c>
      <c r="G19" s="154">
        <f t="shared" ref="G19:G24" si="7">IF(E19="x",1,0)</f>
        <v>0</v>
      </c>
      <c r="H19" s="155">
        <f t="shared" si="5"/>
        <v>0</v>
      </c>
      <c r="I19" s="156">
        <f>IF(E19="x",G19*H19,0)</f>
        <v>0</v>
      </c>
      <c r="J19" s="14"/>
      <c r="K19" s="15"/>
      <c r="L19" s="32"/>
      <c r="M19" s="70" t="str">
        <f>'Description Sheet'!K18</f>
        <v>No</v>
      </c>
      <c r="N19" s="67">
        <f>'Description Sheet'!L18</f>
        <v>0</v>
      </c>
      <c r="O19" s="68">
        <f>'Year (2023-2024)'!O19*(('Description Sheet'!M4)+1)</f>
        <v>68024.448000000019</v>
      </c>
      <c r="P19" s="68">
        <f>N19*O19</f>
        <v>0</v>
      </c>
      <c r="Q19" s="14"/>
      <c r="R19" s="44"/>
    </row>
    <row r="20" spans="1:18" hidden="1">
      <c r="A20" s="14"/>
      <c r="B20" s="109">
        <f>'Description Sheet'!B19</f>
        <v>2.2999999999999998</v>
      </c>
      <c r="C20" s="152" t="str">
        <f>'Description Sheet'!C19</f>
        <v>Repairs to Storm Water Gullies</v>
      </c>
      <c r="D20" s="107"/>
      <c r="E20" s="153" t="str">
        <f>IF('Maintenance Schedule'!L22="x","x","")</f>
        <v/>
      </c>
      <c r="F20" s="153" t="str">
        <f t="shared" si="6"/>
        <v/>
      </c>
      <c r="G20" s="154">
        <f t="shared" si="7"/>
        <v>0</v>
      </c>
      <c r="H20" s="155">
        <f t="shared" si="5"/>
        <v>0</v>
      </c>
      <c r="I20" s="156">
        <f>IF(E20="x",G20*H20,0)</f>
        <v>0</v>
      </c>
      <c r="J20" s="14"/>
      <c r="K20" s="15"/>
      <c r="L20" s="32"/>
      <c r="M20" s="70" t="str">
        <f>'Description Sheet'!K19</f>
        <v>No</v>
      </c>
      <c r="N20" s="67">
        <f>'Description Sheet'!L19</f>
        <v>0</v>
      </c>
      <c r="O20" s="68">
        <f>'Year (2023-2024)'!O20*(('Description Sheet'!M4)+1)</f>
        <v>6122.2003200000008</v>
      </c>
      <c r="P20" s="68">
        <f>N20*O20</f>
        <v>0</v>
      </c>
      <c r="Q20" s="14"/>
      <c r="R20" s="44"/>
    </row>
    <row r="21" spans="1:18" hidden="1">
      <c r="A21" s="14"/>
      <c r="B21" s="109">
        <f>'Description Sheet'!B20</f>
        <v>2.4</v>
      </c>
      <c r="C21" s="152" t="str">
        <f>'Description Sheet'!C20</f>
        <v>Servicing of Full-Bore Piping</v>
      </c>
      <c r="D21" s="107"/>
      <c r="E21" s="153" t="str">
        <f>IF('Maintenance Schedule'!L23="x","x","")</f>
        <v/>
      </c>
      <c r="F21" s="153" t="str">
        <f t="shared" si="6"/>
        <v/>
      </c>
      <c r="G21" s="154">
        <f t="shared" si="7"/>
        <v>0</v>
      </c>
      <c r="H21" s="155">
        <f t="shared" si="5"/>
        <v>0</v>
      </c>
      <c r="I21" s="156">
        <f>IF(E21="x",G21*H21,0)</f>
        <v>0</v>
      </c>
      <c r="J21" s="14"/>
      <c r="K21" s="15"/>
      <c r="L21" s="32"/>
      <c r="M21" s="70" t="str">
        <f>'Description Sheet'!K20</f>
        <v>No</v>
      </c>
      <c r="N21" s="67">
        <f>'Description Sheet'!L20</f>
        <v>1</v>
      </c>
      <c r="O21" s="68">
        <f>'Year (2023-2024)'!O21*(('Description Sheet'!M4)+1)</f>
        <v>5928.2046720000017</v>
      </c>
      <c r="P21" s="68">
        <f>O21*N21</f>
        <v>5928.2046720000017</v>
      </c>
      <c r="Q21" s="14"/>
      <c r="R21" s="44"/>
    </row>
    <row r="22" spans="1:18" hidden="1">
      <c r="A22" s="14"/>
      <c r="B22" s="109">
        <f>'Description Sheet'!B21</f>
        <v>2.5</v>
      </c>
      <c r="C22" s="152" t="str">
        <f>'Description Sheet'!C21</f>
        <v>Replacing of Cast Iron Stack Pipes with PVC</v>
      </c>
      <c r="D22" s="107"/>
      <c r="E22" s="153" t="str">
        <f>IF('Maintenance Schedule'!L24="x","x","")</f>
        <v/>
      </c>
      <c r="F22" s="153" t="str">
        <f t="shared" si="6"/>
        <v/>
      </c>
      <c r="G22" s="154">
        <f t="shared" si="7"/>
        <v>0</v>
      </c>
      <c r="H22" s="155">
        <f t="shared" si="5"/>
        <v>0</v>
      </c>
      <c r="I22" s="156">
        <f t="shared" ref="I22:I24" si="8">IF(E22="x",G22*H22,0)</f>
        <v>0</v>
      </c>
      <c r="J22" s="14"/>
      <c r="K22" s="15"/>
      <c r="L22" s="33"/>
      <c r="M22" s="70" t="str">
        <f>'Description Sheet'!K21</f>
        <v>lm</v>
      </c>
      <c r="N22" s="67">
        <f>'Description Sheet'!L21</f>
        <v>1</v>
      </c>
      <c r="O22" s="68">
        <f>'Year (2023-2024)'!O22*(('Description Sheet'!M4)+1)</f>
        <v>140810.60736000002</v>
      </c>
      <c r="P22" s="68">
        <f t="shared" ref="P22:P24" si="9">O22*N22</f>
        <v>140810.60736000002</v>
      </c>
      <c r="Q22" s="14"/>
      <c r="R22" s="44"/>
    </row>
    <row r="23" spans="1:18" hidden="1">
      <c r="A23" s="14"/>
      <c r="B23" s="109">
        <f>'Description Sheet'!B22</f>
        <v>2.6</v>
      </c>
      <c r="C23" s="152" t="str">
        <f>'Description Sheet'!C22</f>
        <v>Water Tanks and Pumps (Maintenance/Repairs Savings)</v>
      </c>
      <c r="D23" s="107"/>
      <c r="E23" s="153" t="str">
        <f>IF('Maintenance Schedule'!L25="x","x","")</f>
        <v/>
      </c>
      <c r="F23" s="153" t="str">
        <f t="shared" si="6"/>
        <v/>
      </c>
      <c r="G23" s="154">
        <f t="shared" si="7"/>
        <v>0</v>
      </c>
      <c r="H23" s="155">
        <f t="shared" si="5"/>
        <v>0</v>
      </c>
      <c r="I23" s="156">
        <f t="shared" si="8"/>
        <v>0</v>
      </c>
      <c r="J23" s="14"/>
      <c r="K23" s="15"/>
      <c r="L23" s="33"/>
      <c r="M23" s="70" t="str">
        <f>'Description Sheet'!K22</f>
        <v>No</v>
      </c>
      <c r="N23" s="67">
        <f>'Description Sheet'!L22</f>
        <v>0</v>
      </c>
      <c r="O23" s="68">
        <f>'Year (2023-2024)'!O23*(('Description Sheet'!M4)+1)</f>
        <v>13604.889600000002</v>
      </c>
      <c r="P23" s="68">
        <f t="shared" si="9"/>
        <v>0</v>
      </c>
      <c r="Q23" s="14"/>
      <c r="R23" s="44"/>
    </row>
    <row r="24" spans="1:18" hidden="1">
      <c r="A24" s="14"/>
      <c r="B24" s="109">
        <f>'Description Sheet'!B23</f>
        <v>2.7</v>
      </c>
      <c r="C24" s="152" t="str">
        <f>'Description Sheet'!C23</f>
        <v>Asbestos Water Tanks (Replace)</v>
      </c>
      <c r="D24" s="107"/>
      <c r="E24" s="153" t="str">
        <f>IF('Maintenance Schedule'!L26="x","x","")</f>
        <v/>
      </c>
      <c r="F24" s="153" t="str">
        <f t="shared" si="6"/>
        <v/>
      </c>
      <c r="G24" s="154">
        <f t="shared" si="7"/>
        <v>0</v>
      </c>
      <c r="H24" s="155">
        <f t="shared" si="5"/>
        <v>0</v>
      </c>
      <c r="I24" s="156">
        <f t="shared" si="8"/>
        <v>0</v>
      </c>
      <c r="J24" s="14"/>
      <c r="K24" s="15"/>
      <c r="L24" s="33"/>
      <c r="M24" s="70" t="str">
        <f>'Description Sheet'!K23</f>
        <v>No</v>
      </c>
      <c r="N24" s="67">
        <f>'Description Sheet'!L23</f>
        <v>0</v>
      </c>
      <c r="O24" s="68">
        <f>'Year (2023-2024)'!O24*(('Description Sheet'!M4)+1)</f>
        <v>39086.343936000012</v>
      </c>
      <c r="P24" s="68">
        <f t="shared" si="9"/>
        <v>0</v>
      </c>
      <c r="Q24" s="14"/>
      <c r="R24" s="44"/>
    </row>
    <row r="25" spans="1:18" ht="17" thickBot="1">
      <c r="A25" s="14"/>
      <c r="B25" s="109"/>
      <c r="C25" s="152"/>
      <c r="D25" s="107"/>
      <c r="E25" s="160"/>
      <c r="F25" s="161"/>
      <c r="G25" s="161"/>
      <c r="H25" s="155"/>
      <c r="I25" s="155"/>
      <c r="J25" s="14"/>
      <c r="K25" s="15"/>
      <c r="L25" s="33"/>
      <c r="M25" s="76"/>
      <c r="N25" s="76"/>
      <c r="O25" s="77"/>
      <c r="P25" s="77"/>
      <c r="Q25" s="14"/>
      <c r="R25" s="44"/>
    </row>
    <row r="26" spans="1:18" s="4" customFormat="1" ht="15.75" customHeight="1" thickBot="1">
      <c r="A26" s="14"/>
      <c r="B26" s="109"/>
      <c r="C26" s="152"/>
      <c r="D26" s="107"/>
      <c r="E26" s="159"/>
      <c r="F26" s="532" t="s">
        <v>7</v>
      </c>
      <c r="G26" s="533"/>
      <c r="H26" s="530">
        <f>SUM(I18:I24)</f>
        <v>31492.800000000007</v>
      </c>
      <c r="I26" s="531"/>
      <c r="J26" s="14"/>
      <c r="K26" s="15"/>
      <c r="L26" s="33"/>
      <c r="M26" s="508" t="s">
        <v>7</v>
      </c>
      <c r="N26" s="509"/>
      <c r="O26" s="510">
        <f>SUM(P18:P24)</f>
        <v>178231.61203200003</v>
      </c>
      <c r="P26" s="511"/>
      <c r="Q26" s="14"/>
      <c r="R26" s="31"/>
    </row>
    <row r="27" spans="1:18" ht="17" hidden="1" thickBot="1">
      <c r="A27" s="14"/>
      <c r="B27" s="109">
        <f>'Description Sheet'!B26</f>
        <v>3</v>
      </c>
      <c r="C27" s="113" t="str">
        <f>'Description Sheet'!C26</f>
        <v>Heating and Cooling Systems</v>
      </c>
      <c r="D27" s="107"/>
      <c r="E27" s="110"/>
      <c r="F27" s="110"/>
      <c r="G27" s="110"/>
      <c r="H27" s="110"/>
      <c r="I27" s="151"/>
      <c r="J27" s="32"/>
      <c r="K27" s="40"/>
      <c r="L27" s="33"/>
      <c r="M27" s="24"/>
      <c r="N27" s="25"/>
      <c r="O27" s="25"/>
      <c r="P27" s="63"/>
      <c r="Q27" s="14"/>
      <c r="R27" s="44"/>
    </row>
    <row r="28" spans="1:18" hidden="1">
      <c r="A28" s="14"/>
      <c r="B28" s="109">
        <f>'Description Sheet'!B27</f>
        <v>3.1</v>
      </c>
      <c r="C28" s="152" t="str">
        <f>'Description Sheet'!C27</f>
        <v>Ventilation Shafts (Maintenance &amp; Upgrade Savings)</v>
      </c>
      <c r="D28" s="107"/>
      <c r="E28" s="153" t="str">
        <f>IF('Maintenance Schedule'!L33="x","x","")</f>
        <v/>
      </c>
      <c r="F28" s="153" t="str">
        <f>IF(E28="x","No","")</f>
        <v/>
      </c>
      <c r="G28" s="154">
        <f>IF(E28="x",1,0)</f>
        <v>0</v>
      </c>
      <c r="H28" s="155">
        <f t="shared" ref="H28:H32" si="10">IF(E28="x",P28,0)</f>
        <v>0</v>
      </c>
      <c r="I28" s="156">
        <f>IF(E28="x",G28*H28,0)</f>
        <v>0</v>
      </c>
      <c r="J28" s="14"/>
      <c r="K28" s="15"/>
      <c r="L28" s="32"/>
      <c r="M28" s="70" t="str">
        <f>'Description Sheet'!K27</f>
        <v>No</v>
      </c>
      <c r="N28" s="67">
        <f>'Description Sheet'!L27</f>
        <v>0</v>
      </c>
      <c r="O28" s="68">
        <f>'Year (2023-2024)'!O28*(('Description Sheet'!M4)+1)</f>
        <v>7410.8856960000012</v>
      </c>
      <c r="P28" s="68">
        <f>N28*O28</f>
        <v>0</v>
      </c>
      <c r="Q28" s="14"/>
      <c r="R28" s="44"/>
    </row>
    <row r="29" spans="1:18" hidden="1">
      <c r="A29" s="14"/>
      <c r="B29" s="109">
        <f>'Description Sheet'!B28</f>
        <v>3.2</v>
      </c>
      <c r="C29" s="152" t="str">
        <f>'Description Sheet'!C28</f>
        <v>Air Conditioning Units (Maintenance &amp; Upgrade Savings)</v>
      </c>
      <c r="D29" s="107"/>
      <c r="E29" s="153" t="str">
        <f>IF('Maintenance Schedule'!L34="x","x","")</f>
        <v/>
      </c>
      <c r="F29" s="153" t="str">
        <f>IF(E29="x","No","")</f>
        <v/>
      </c>
      <c r="G29" s="154">
        <f>IF(E29="x",1,0)</f>
        <v>0</v>
      </c>
      <c r="H29" s="155">
        <f t="shared" si="10"/>
        <v>0</v>
      </c>
      <c r="I29" s="156">
        <f>IF(E29="x",G29*H29,0)</f>
        <v>0</v>
      </c>
      <c r="J29" s="14"/>
      <c r="K29" s="15"/>
      <c r="L29" s="32"/>
      <c r="M29" s="70" t="str">
        <f>'Description Sheet'!K28</f>
        <v>No</v>
      </c>
      <c r="N29" s="67">
        <f>'Description Sheet'!L28</f>
        <v>0</v>
      </c>
      <c r="O29" s="73">
        <f>'Year (2023-2024)'!O29*(('Description Sheet'!M4)+1)</f>
        <v>14821.771392000002</v>
      </c>
      <c r="P29" s="68">
        <f>N29*O29</f>
        <v>0</v>
      </c>
      <c r="Q29" s="14"/>
      <c r="R29" s="44"/>
    </row>
    <row r="30" spans="1:18" hidden="1">
      <c r="A30" s="14"/>
      <c r="B30" s="109">
        <f>'Description Sheet'!B29</f>
        <v>3.3</v>
      </c>
      <c r="C30" s="152" t="str">
        <f>'Description Sheet'!C29</f>
        <v>Solar Panels (Maintenance &amp; Upgrade Savings)</v>
      </c>
      <c r="D30" s="107"/>
      <c r="E30" s="153" t="str">
        <f>IF('Maintenance Schedule'!L35="x","x","")</f>
        <v/>
      </c>
      <c r="F30" s="153" t="str">
        <f t="shared" ref="F30:F32" si="11">IF(E30="x","No","")</f>
        <v/>
      </c>
      <c r="G30" s="154">
        <f t="shared" ref="G30:G32" si="12">IF(E30="x",1,0)</f>
        <v>0</v>
      </c>
      <c r="H30" s="155">
        <f t="shared" si="10"/>
        <v>0</v>
      </c>
      <c r="I30" s="156">
        <f t="shared" ref="I30:I32" si="13">IF(E30="x",G30*H30,0)</f>
        <v>0</v>
      </c>
      <c r="J30" s="14"/>
      <c r="K30" s="15"/>
      <c r="L30" s="32"/>
      <c r="M30" s="70" t="str">
        <f>'Description Sheet'!K29</f>
        <v>No</v>
      </c>
      <c r="N30" s="67">
        <f>'Description Sheet'!L29</f>
        <v>0</v>
      </c>
      <c r="O30" s="73">
        <f>'Year (2023-2024)'!O30*(('Description Sheet'!M4)+1)</f>
        <v>8188.1280000000015</v>
      </c>
      <c r="P30" s="68">
        <f t="shared" ref="P30:P32" si="14">N30*O30</f>
        <v>0</v>
      </c>
      <c r="Q30" s="14"/>
      <c r="R30" s="44"/>
    </row>
    <row r="31" spans="1:18" hidden="1">
      <c r="A31" s="14"/>
      <c r="B31" s="109">
        <f>'Description Sheet'!B30</f>
        <v>3.4</v>
      </c>
      <c r="C31" s="152" t="str">
        <f>'Description Sheet'!C30</f>
        <v>blank</v>
      </c>
      <c r="D31" s="107"/>
      <c r="E31" s="153" t="str">
        <f>IF('Maintenance Schedule'!L36="x","x","")</f>
        <v/>
      </c>
      <c r="F31" s="153" t="str">
        <f t="shared" si="11"/>
        <v/>
      </c>
      <c r="G31" s="154">
        <f t="shared" si="12"/>
        <v>0</v>
      </c>
      <c r="H31" s="155">
        <f t="shared" si="10"/>
        <v>0</v>
      </c>
      <c r="I31" s="156">
        <f t="shared" si="13"/>
        <v>0</v>
      </c>
      <c r="J31" s="14"/>
      <c r="K31" s="15"/>
      <c r="L31" s="32"/>
      <c r="M31" s="70" t="str">
        <f>'Description Sheet'!K30</f>
        <v>No</v>
      </c>
      <c r="N31" s="67">
        <f>'Description Sheet'!L30</f>
        <v>0</v>
      </c>
      <c r="O31" s="73">
        <f>'Year (2023-2024)'!O31*(('Description Sheet'!M4)+1)</f>
        <v>0</v>
      </c>
      <c r="P31" s="68">
        <f t="shared" si="14"/>
        <v>0</v>
      </c>
      <c r="Q31" s="14"/>
      <c r="R31" s="44"/>
    </row>
    <row r="32" spans="1:18" hidden="1">
      <c r="A32" s="14"/>
      <c r="B32" s="109">
        <f>'Description Sheet'!B31</f>
        <v>3.5</v>
      </c>
      <c r="C32" s="152" t="str">
        <f>'Description Sheet'!C31</f>
        <v>blank</v>
      </c>
      <c r="D32" s="107"/>
      <c r="E32" s="153" t="str">
        <f>IF('Maintenance Schedule'!L37="x","x","")</f>
        <v/>
      </c>
      <c r="F32" s="153" t="str">
        <f t="shared" si="11"/>
        <v/>
      </c>
      <c r="G32" s="154">
        <f t="shared" si="12"/>
        <v>0</v>
      </c>
      <c r="H32" s="155">
        <f t="shared" si="10"/>
        <v>0</v>
      </c>
      <c r="I32" s="156">
        <f t="shared" si="13"/>
        <v>0</v>
      </c>
      <c r="J32" s="14"/>
      <c r="K32" s="15"/>
      <c r="L32" s="32"/>
      <c r="M32" s="70" t="str">
        <f>'Description Sheet'!K31</f>
        <v>No</v>
      </c>
      <c r="N32" s="67">
        <f>'Description Sheet'!L31</f>
        <v>0</v>
      </c>
      <c r="O32" s="73">
        <f>'Year (2023-2024)'!O32*(('Description Sheet'!M4)+1)</f>
        <v>0</v>
      </c>
      <c r="P32" s="68">
        <f t="shared" si="14"/>
        <v>0</v>
      </c>
      <c r="Q32" s="14"/>
      <c r="R32" s="44"/>
    </row>
    <row r="33" spans="1:18" ht="17" hidden="1" thickBot="1">
      <c r="A33" s="14"/>
      <c r="B33" s="109"/>
      <c r="C33" s="152"/>
      <c r="D33" s="107"/>
      <c r="E33" s="162"/>
      <c r="F33" s="154"/>
      <c r="G33" s="154"/>
      <c r="H33" s="155"/>
      <c r="I33" s="155"/>
      <c r="J33" s="14"/>
      <c r="K33" s="15"/>
      <c r="L33" s="32"/>
      <c r="M33" s="67"/>
      <c r="N33" s="67"/>
      <c r="O33" s="73"/>
      <c r="P33" s="68"/>
      <c r="Q33" s="14"/>
      <c r="R33" s="44"/>
    </row>
    <row r="34" spans="1:18" s="4" customFormat="1" ht="15.75" hidden="1" customHeight="1" thickBot="1">
      <c r="A34" s="14"/>
      <c r="B34" s="109"/>
      <c r="C34" s="152"/>
      <c r="D34" s="107"/>
      <c r="E34" s="159"/>
      <c r="F34" s="528" t="s">
        <v>7</v>
      </c>
      <c r="G34" s="529"/>
      <c r="H34" s="530">
        <f>SUM(I28:I32)</f>
        <v>0</v>
      </c>
      <c r="I34" s="531"/>
      <c r="J34" s="14"/>
      <c r="K34" s="15"/>
      <c r="L34" s="33"/>
      <c r="M34" s="508" t="s">
        <v>7</v>
      </c>
      <c r="N34" s="509"/>
      <c r="O34" s="510">
        <f>SUM(P28:P33)</f>
        <v>0</v>
      </c>
      <c r="P34" s="511"/>
      <c r="Q34" s="14"/>
      <c r="R34" s="31"/>
    </row>
    <row r="35" spans="1:18" ht="17" hidden="1" thickBot="1">
      <c r="A35" s="14"/>
      <c r="B35" s="109">
        <f>'Description Sheet'!B34</f>
        <v>4</v>
      </c>
      <c r="C35" s="113" t="str">
        <f>'Description Sheet'!C34</f>
        <v>Lifts</v>
      </c>
      <c r="D35" s="107"/>
      <c r="E35" s="110"/>
      <c r="F35" s="110"/>
      <c r="G35" s="110"/>
      <c r="H35" s="110"/>
      <c r="I35" s="151"/>
      <c r="J35" s="32"/>
      <c r="K35" s="40"/>
      <c r="L35" s="33"/>
      <c r="M35" s="24"/>
      <c r="N35" s="25"/>
      <c r="O35" s="25"/>
      <c r="P35" s="63"/>
      <c r="Q35" s="14"/>
      <c r="R35" s="44"/>
    </row>
    <row r="36" spans="1:18" hidden="1">
      <c r="A36" s="14"/>
      <c r="B36" s="109">
        <f>'Description Sheet'!B35</f>
        <v>4.0999999999999996</v>
      </c>
      <c r="C36" s="152" t="str">
        <f>'Description Sheet'!C35</f>
        <v>Lift Upgrade Savings</v>
      </c>
      <c r="D36" s="107"/>
      <c r="E36" s="153" t="str">
        <f>IF('Maintenance Schedule'!L44="x","x","")</f>
        <v/>
      </c>
      <c r="F36" s="153" t="str">
        <f>IF(E36="x","No","")</f>
        <v/>
      </c>
      <c r="G36" s="154">
        <f>IF(E36="x",1,0)</f>
        <v>0</v>
      </c>
      <c r="H36" s="155">
        <f t="shared" ref="H36:H39" si="15">IF(E36="x",P36,0)</f>
        <v>0</v>
      </c>
      <c r="I36" s="156">
        <f>IF(E36="x",G36*H36,0)</f>
        <v>0</v>
      </c>
      <c r="J36" s="14"/>
      <c r="K36" s="15"/>
      <c r="L36" s="32"/>
      <c r="M36" s="70" t="str">
        <f>'Description Sheet'!K35</f>
        <v>No</v>
      </c>
      <c r="N36" s="67">
        <f>'Description Sheet'!L35</f>
        <v>1</v>
      </c>
      <c r="O36" s="73">
        <f>'Year (2023-2024)'!O36*(('Description Sheet'!M4)+1)</f>
        <v>111165.80486400002</v>
      </c>
      <c r="P36" s="68">
        <f>N36*O36</f>
        <v>111165.80486400002</v>
      </c>
      <c r="Q36" s="14"/>
      <c r="R36" s="44"/>
    </row>
    <row r="37" spans="1:18" hidden="1">
      <c r="A37" s="14"/>
      <c r="B37" s="109">
        <f>'Description Sheet'!B36</f>
        <v>4.2</v>
      </c>
      <c r="C37" s="152" t="str">
        <f>'Description Sheet'!C36</f>
        <v>Lift Replacement (Only in 12-15 years)</v>
      </c>
      <c r="D37" s="107"/>
      <c r="E37" s="153" t="str">
        <f>IF('Maintenance Schedule'!L45="x","x","")</f>
        <v/>
      </c>
      <c r="F37" s="153" t="str">
        <f t="shared" ref="F37:F39" si="16">IF(E37="x","No","")</f>
        <v/>
      </c>
      <c r="G37" s="154">
        <f t="shared" ref="G37:G39" si="17">IF(E37="x",1,0)</f>
        <v>0</v>
      </c>
      <c r="H37" s="155">
        <f t="shared" si="15"/>
        <v>0</v>
      </c>
      <c r="I37" s="156">
        <f t="shared" ref="I37:I39" si="18">IF(E37="x",G37*H37,0)</f>
        <v>0</v>
      </c>
      <c r="J37" s="14"/>
      <c r="K37" s="15"/>
      <c r="L37" s="32"/>
      <c r="M37" s="70" t="str">
        <f>'Description Sheet'!K36</f>
        <v>No</v>
      </c>
      <c r="N37" s="67">
        <f>'Description Sheet'!L36</f>
        <v>0</v>
      </c>
      <c r="O37" s="73">
        <f>'Year (2023-2024)'!O37*(('Description Sheet'!M4)+1)</f>
        <v>1029590.3312640002</v>
      </c>
      <c r="P37" s="68">
        <f t="shared" ref="P37:P39" si="19">N37*O37</f>
        <v>0</v>
      </c>
      <c r="Q37" s="14"/>
      <c r="R37" s="44"/>
    </row>
    <row r="38" spans="1:18" hidden="1">
      <c r="A38" s="14"/>
      <c r="B38" s="109">
        <f>'Description Sheet'!B37</f>
        <v>4.3</v>
      </c>
      <c r="C38" s="152" t="str">
        <f>'Description Sheet'!C37</f>
        <v>blank</v>
      </c>
      <c r="D38" s="107"/>
      <c r="E38" s="153" t="str">
        <f>IF('Maintenance Schedule'!L46="x","x","")</f>
        <v/>
      </c>
      <c r="F38" s="153" t="str">
        <f t="shared" si="16"/>
        <v/>
      </c>
      <c r="G38" s="154">
        <f t="shared" si="17"/>
        <v>0</v>
      </c>
      <c r="H38" s="155">
        <f t="shared" si="15"/>
        <v>0</v>
      </c>
      <c r="I38" s="156">
        <f t="shared" si="18"/>
        <v>0</v>
      </c>
      <c r="J38" s="14"/>
      <c r="K38" s="15"/>
      <c r="L38" s="32"/>
      <c r="M38" s="70" t="str">
        <f>'Description Sheet'!K37</f>
        <v>No</v>
      </c>
      <c r="N38" s="67">
        <f>'Description Sheet'!L37</f>
        <v>0</v>
      </c>
      <c r="O38" s="73">
        <f>'Year (2023-2024)'!O38*(('Description Sheet'!M4)+1)</f>
        <v>0</v>
      </c>
      <c r="P38" s="68">
        <f t="shared" si="19"/>
        <v>0</v>
      </c>
      <c r="Q38" s="14"/>
      <c r="R38" s="44"/>
    </row>
    <row r="39" spans="1:18" hidden="1">
      <c r="A39" s="14"/>
      <c r="B39" s="109">
        <f>'Description Sheet'!B38</f>
        <v>4.4000000000000004</v>
      </c>
      <c r="C39" s="152" t="str">
        <f>'Description Sheet'!C38</f>
        <v>blank</v>
      </c>
      <c r="D39" s="107"/>
      <c r="E39" s="153" t="str">
        <f>IF('Maintenance Schedule'!L47="x","x","")</f>
        <v/>
      </c>
      <c r="F39" s="153" t="str">
        <f t="shared" si="16"/>
        <v/>
      </c>
      <c r="G39" s="154">
        <f t="shared" si="17"/>
        <v>0</v>
      </c>
      <c r="H39" s="155">
        <f t="shared" si="15"/>
        <v>0</v>
      </c>
      <c r="I39" s="156">
        <f t="shared" si="18"/>
        <v>0</v>
      </c>
      <c r="J39" s="14"/>
      <c r="K39" s="15"/>
      <c r="L39" s="32"/>
      <c r="M39" s="70" t="str">
        <f>'Description Sheet'!K38</f>
        <v>No</v>
      </c>
      <c r="N39" s="67">
        <f>'Description Sheet'!L38</f>
        <v>0</v>
      </c>
      <c r="O39" s="73">
        <f>'Year (2023-2024)'!O39*(('Description Sheet'!M4)+1)</f>
        <v>0</v>
      </c>
      <c r="P39" s="68">
        <f t="shared" si="19"/>
        <v>0</v>
      </c>
      <c r="Q39" s="14"/>
      <c r="R39" s="44"/>
    </row>
    <row r="40" spans="1:18" ht="17" hidden="1" thickBot="1">
      <c r="A40" s="14"/>
      <c r="B40" s="109"/>
      <c r="C40" s="152"/>
      <c r="D40" s="107"/>
      <c r="E40" s="162"/>
      <c r="F40" s="154"/>
      <c r="G40" s="154"/>
      <c r="H40" s="155"/>
      <c r="I40" s="155"/>
      <c r="J40" s="14"/>
      <c r="K40" s="15"/>
      <c r="L40" s="32"/>
      <c r="M40" s="67"/>
      <c r="N40" s="67"/>
      <c r="O40" s="73"/>
      <c r="P40" s="68"/>
      <c r="Q40" s="14"/>
      <c r="R40" s="44"/>
    </row>
    <row r="41" spans="1:18" s="4" customFormat="1" ht="15.75" hidden="1" customHeight="1" thickBot="1">
      <c r="A41" s="14"/>
      <c r="B41" s="109"/>
      <c r="C41" s="152"/>
      <c r="D41" s="107"/>
      <c r="E41" s="159"/>
      <c r="F41" s="528" t="s">
        <v>7</v>
      </c>
      <c r="G41" s="529"/>
      <c r="H41" s="530">
        <f>SUM(I36:I40)</f>
        <v>0</v>
      </c>
      <c r="I41" s="531"/>
      <c r="J41" s="14"/>
      <c r="K41" s="15"/>
      <c r="L41" s="33"/>
      <c r="M41" s="508" t="s">
        <v>7</v>
      </c>
      <c r="N41" s="509"/>
      <c r="O41" s="510">
        <f>SUM(P36:P40)</f>
        <v>111165.80486400002</v>
      </c>
      <c r="P41" s="511"/>
      <c r="Q41" s="14"/>
      <c r="R41" s="31"/>
    </row>
    <row r="42" spans="1:18" ht="17" thickBot="1">
      <c r="A42" s="14"/>
      <c r="B42" s="109">
        <f>'Description Sheet'!B41</f>
        <v>5</v>
      </c>
      <c r="C42" s="150" t="str">
        <f>'Description Sheet'!C41</f>
        <v>Carpeting and Furnishing</v>
      </c>
      <c r="D42" s="107"/>
      <c r="E42" s="110"/>
      <c r="F42" s="110"/>
      <c r="G42" s="110"/>
      <c r="H42" s="110"/>
      <c r="I42" s="151"/>
      <c r="J42" s="32"/>
      <c r="K42" s="40"/>
      <c r="L42" s="33"/>
      <c r="M42" s="24"/>
      <c r="N42" s="25"/>
      <c r="O42" s="25"/>
      <c r="P42" s="63"/>
      <c r="Q42" s="14"/>
      <c r="R42" s="44"/>
    </row>
    <row r="43" spans="1:18">
      <c r="A43" s="14"/>
      <c r="B43" s="109">
        <f>'Description Sheet'!B42</f>
        <v>5.0999999999999996</v>
      </c>
      <c r="C43" s="152" t="str">
        <f>'Description Sheet'!C42</f>
        <v>Common Area Equipment/Furnishings (Replacement/Maintenance)</v>
      </c>
      <c r="D43" s="107"/>
      <c r="E43" s="153" t="str">
        <f>IF('Maintenance Schedule'!L54="x","x","")</f>
        <v>x</v>
      </c>
      <c r="F43" s="153" t="str">
        <f>IF(E43="x","No","")</f>
        <v>No</v>
      </c>
      <c r="G43" s="154">
        <f>IF(E43="x",1,0)</f>
        <v>1</v>
      </c>
      <c r="H43" s="155">
        <f t="shared" ref="H43:H46" si="20">IF(E43="x",P43,0)</f>
        <v>4408.9920000000011</v>
      </c>
      <c r="I43" s="156">
        <f>IF(E43="x",G43*H43,0)</f>
        <v>4408.9920000000011</v>
      </c>
      <c r="J43" s="14"/>
      <c r="K43" s="15"/>
      <c r="L43" s="32"/>
      <c r="M43" s="70" t="str">
        <f>'Description Sheet'!K42</f>
        <v>No</v>
      </c>
      <c r="N43" s="67">
        <f>'Description Sheet'!L42</f>
        <v>1</v>
      </c>
      <c r="O43" s="73">
        <f>'Year (2023-2024)'!O43*(('Description Sheet'!M4)+1)</f>
        <v>4408.9920000000011</v>
      </c>
      <c r="P43" s="68">
        <f>N43*O43</f>
        <v>4408.9920000000011</v>
      </c>
      <c r="Q43" s="14"/>
      <c r="R43" s="44"/>
    </row>
    <row r="44" spans="1:18" hidden="1">
      <c r="A44" s="14"/>
      <c r="B44" s="109">
        <f>'Description Sheet'!B43</f>
        <v>5.2</v>
      </c>
      <c r="C44" s="152" t="str">
        <f>'Description Sheet'!C43</f>
        <v>blank</v>
      </c>
      <c r="D44" s="107"/>
      <c r="E44" s="153" t="str">
        <f>IF('Maintenance Schedule'!L55="x","x","")</f>
        <v/>
      </c>
      <c r="F44" s="153" t="str">
        <f t="shared" ref="F44:F46" si="21">IF(E44="x","No","")</f>
        <v/>
      </c>
      <c r="G44" s="154">
        <f t="shared" ref="G44:G46" si="22">IF(E44="x",1,0)</f>
        <v>0</v>
      </c>
      <c r="H44" s="155">
        <f t="shared" si="20"/>
        <v>0</v>
      </c>
      <c r="I44" s="156">
        <f t="shared" ref="I44:I46" si="23">IF(E44="x",G44*H44,0)</f>
        <v>0</v>
      </c>
      <c r="J44" s="14"/>
      <c r="K44" s="15"/>
      <c r="L44" s="32"/>
      <c r="M44" s="70" t="str">
        <f>'Description Sheet'!K43</f>
        <v>No</v>
      </c>
      <c r="N44" s="67">
        <f>'Description Sheet'!L43</f>
        <v>0</v>
      </c>
      <c r="O44" s="73">
        <f>'Year (2023-2024)'!O44*(('Description Sheet'!M4)+1)</f>
        <v>0</v>
      </c>
      <c r="P44" s="68">
        <f t="shared" ref="P44:P46" si="24">N44*O44</f>
        <v>0</v>
      </c>
      <c r="Q44" s="14"/>
      <c r="R44" s="44"/>
    </row>
    <row r="45" spans="1:18" hidden="1">
      <c r="A45" s="14"/>
      <c r="B45" s="109">
        <f>'Description Sheet'!B44</f>
        <v>5.3</v>
      </c>
      <c r="C45" s="152" t="str">
        <f>'Description Sheet'!C44</f>
        <v>blank</v>
      </c>
      <c r="D45" s="107"/>
      <c r="E45" s="153" t="str">
        <f>IF('Maintenance Schedule'!L56="x","x","")</f>
        <v/>
      </c>
      <c r="F45" s="153" t="str">
        <f t="shared" si="21"/>
        <v/>
      </c>
      <c r="G45" s="154">
        <f t="shared" si="22"/>
        <v>0</v>
      </c>
      <c r="H45" s="155">
        <f t="shared" si="20"/>
        <v>0</v>
      </c>
      <c r="I45" s="156">
        <f t="shared" si="23"/>
        <v>0</v>
      </c>
      <c r="J45" s="14"/>
      <c r="K45" s="15"/>
      <c r="L45" s="32"/>
      <c r="M45" s="70" t="str">
        <f>'Description Sheet'!K44</f>
        <v>No</v>
      </c>
      <c r="N45" s="67">
        <f>'Description Sheet'!L44</f>
        <v>0</v>
      </c>
      <c r="O45" s="73">
        <f>'Year (2023-2024)'!O45*(('Description Sheet'!M4)+1)</f>
        <v>0</v>
      </c>
      <c r="P45" s="68">
        <f t="shared" si="24"/>
        <v>0</v>
      </c>
      <c r="Q45" s="14"/>
      <c r="R45" s="44"/>
    </row>
    <row r="46" spans="1:18" hidden="1">
      <c r="A46" s="14"/>
      <c r="B46" s="109">
        <f>'Description Sheet'!B45</f>
        <v>5.4</v>
      </c>
      <c r="C46" s="152" t="str">
        <f>'Description Sheet'!C45</f>
        <v>blank</v>
      </c>
      <c r="D46" s="107"/>
      <c r="E46" s="153" t="str">
        <f>IF('Maintenance Schedule'!L57="x","x","")</f>
        <v/>
      </c>
      <c r="F46" s="153" t="str">
        <f t="shared" si="21"/>
        <v/>
      </c>
      <c r="G46" s="154">
        <f t="shared" si="22"/>
        <v>0</v>
      </c>
      <c r="H46" s="155">
        <f t="shared" si="20"/>
        <v>0</v>
      </c>
      <c r="I46" s="156">
        <f t="shared" si="23"/>
        <v>0</v>
      </c>
      <c r="J46" s="14"/>
      <c r="K46" s="15"/>
      <c r="L46" s="32"/>
      <c r="M46" s="70" t="str">
        <f>'Description Sheet'!K45</f>
        <v>No</v>
      </c>
      <c r="N46" s="67">
        <f>'Description Sheet'!L45</f>
        <v>0</v>
      </c>
      <c r="O46" s="73">
        <f>'Year (2023-2024)'!O46*(('Description Sheet'!M4)+1)</f>
        <v>0</v>
      </c>
      <c r="P46" s="68">
        <f t="shared" si="24"/>
        <v>0</v>
      </c>
      <c r="Q46" s="14"/>
      <c r="R46" s="44"/>
    </row>
    <row r="47" spans="1:18" ht="17" thickBot="1">
      <c r="A47" s="14"/>
      <c r="B47" s="109"/>
      <c r="C47" s="152"/>
      <c r="D47" s="107"/>
      <c r="E47" s="162"/>
      <c r="F47" s="154"/>
      <c r="G47" s="154"/>
      <c r="H47" s="155"/>
      <c r="I47" s="155"/>
      <c r="J47" s="14"/>
      <c r="K47" s="15"/>
      <c r="L47" s="32"/>
      <c r="M47" s="67"/>
      <c r="N47" s="67"/>
      <c r="O47" s="73"/>
      <c r="P47" s="68"/>
      <c r="Q47" s="14"/>
      <c r="R47" s="44"/>
    </row>
    <row r="48" spans="1:18" s="4" customFormat="1" ht="15.75" customHeight="1" thickBot="1">
      <c r="A48" s="14"/>
      <c r="B48" s="109"/>
      <c r="C48" s="115"/>
      <c r="D48" s="107"/>
      <c r="E48" s="159"/>
      <c r="F48" s="528" t="s">
        <v>7</v>
      </c>
      <c r="G48" s="529"/>
      <c r="H48" s="530">
        <f>SUM(I43:I47)</f>
        <v>4408.9920000000011</v>
      </c>
      <c r="I48" s="531"/>
      <c r="J48" s="14"/>
      <c r="K48" s="15"/>
      <c r="L48" s="33"/>
      <c r="M48" s="508" t="s">
        <v>7</v>
      </c>
      <c r="N48" s="509"/>
      <c r="O48" s="510">
        <f>SUM(P43:P47)</f>
        <v>4408.9920000000011</v>
      </c>
      <c r="P48" s="511"/>
      <c r="Q48" s="14"/>
      <c r="R48" s="31"/>
    </row>
    <row r="49" spans="1:18" ht="17" thickBot="1">
      <c r="A49" s="14"/>
      <c r="B49" s="109">
        <f>'Description Sheet'!B48</f>
        <v>6</v>
      </c>
      <c r="C49" s="113" t="str">
        <f>'Description Sheet'!C48</f>
        <v>Roof  Areas</v>
      </c>
      <c r="D49" s="107"/>
      <c r="E49" s="110"/>
      <c r="F49" s="110"/>
      <c r="G49" s="110"/>
      <c r="H49" s="110"/>
      <c r="I49" s="151"/>
      <c r="J49" s="32"/>
      <c r="K49" s="40"/>
      <c r="L49" s="33"/>
      <c r="M49" s="24"/>
      <c r="N49" s="25"/>
      <c r="O49" s="25"/>
      <c r="P49" s="63"/>
      <c r="Q49" s="14"/>
      <c r="R49" s="44"/>
    </row>
    <row r="50" spans="1:18" hidden="1">
      <c r="A50" s="14"/>
      <c r="B50" s="109">
        <f>'Description Sheet'!B49</f>
        <v>6.1</v>
      </c>
      <c r="C50" s="152" t="str">
        <f>'Description Sheet'!C49</f>
        <v xml:space="preserve">Flashings/Counter Flashings </v>
      </c>
      <c r="D50" s="107"/>
      <c r="E50" s="153" t="str">
        <f>IF('Maintenance Schedule'!L64="x","x","")</f>
        <v/>
      </c>
      <c r="F50" s="153" t="str">
        <f>IF(E50="x","No","")</f>
        <v/>
      </c>
      <c r="G50" s="154">
        <f>IF(E50="x",1,0)</f>
        <v>0</v>
      </c>
      <c r="H50" s="155">
        <f t="shared" ref="H50:H66" si="25">IF(E50="x",P50,0)</f>
        <v>0</v>
      </c>
      <c r="I50" s="156">
        <f t="shared" ref="I50:I66" si="26">IF(E50="x",G50*H50,0)</f>
        <v>0</v>
      </c>
      <c r="J50" s="14"/>
      <c r="K50" s="15"/>
      <c r="L50" s="32"/>
      <c r="M50" s="67" t="str">
        <f>'Description Sheet'!K49</f>
        <v>No</v>
      </c>
      <c r="N50" s="67">
        <f>'Description Sheet'!L49</f>
        <v>0</v>
      </c>
      <c r="O50" s="73">
        <f>'Year (2023-2024)'!O50*(('Description Sheet'!M4)+1)</f>
        <v>12244.400640000002</v>
      </c>
      <c r="P50" s="69">
        <f t="shared" ref="P50:P66" si="27">N50*O50</f>
        <v>0</v>
      </c>
      <c r="Q50" s="14"/>
      <c r="R50" s="44"/>
    </row>
    <row r="51" spans="1:18" hidden="1">
      <c r="A51" s="14"/>
      <c r="B51" s="109">
        <f>'Description Sheet'!B50</f>
        <v>6.2</v>
      </c>
      <c r="C51" s="152" t="str">
        <f>'Description Sheet'!C50</f>
        <v>General Roof Repairs</v>
      </c>
      <c r="D51" s="107"/>
      <c r="E51" s="153" t="str">
        <f>IF('Maintenance Schedule'!L65="x","x","")</f>
        <v/>
      </c>
      <c r="F51" s="153" t="str">
        <f t="shared" ref="F51:F62" si="28">IF(E51="x","No","")</f>
        <v/>
      </c>
      <c r="G51" s="154">
        <f t="shared" ref="G51:G66" si="29">IF(E51="x",1,0)</f>
        <v>0</v>
      </c>
      <c r="H51" s="155">
        <f t="shared" si="25"/>
        <v>0</v>
      </c>
      <c r="I51" s="156">
        <f t="shared" si="26"/>
        <v>0</v>
      </c>
      <c r="J51" s="14"/>
      <c r="K51" s="15"/>
      <c r="L51" s="32"/>
      <c r="M51" s="67" t="str">
        <f>'Description Sheet'!K50</f>
        <v>No</v>
      </c>
      <c r="N51" s="67">
        <f>'Description Sheet'!L50</f>
        <v>0</v>
      </c>
      <c r="O51" s="73">
        <f>'Year (2023-2024)'!O51*(('Description Sheet'!M4)+1)</f>
        <v>13.604889600000003</v>
      </c>
      <c r="P51" s="69">
        <f t="shared" si="27"/>
        <v>0</v>
      </c>
      <c r="Q51" s="14"/>
      <c r="R51" s="44"/>
    </row>
    <row r="52" spans="1:18">
      <c r="A52" s="14"/>
      <c r="B52" s="109">
        <f>'Description Sheet'!B51</f>
        <v>6.3</v>
      </c>
      <c r="C52" s="152" t="str">
        <f>'Description Sheet'!C51</f>
        <v>Cleaning &amp; Maintenance &amp; Repairs of Gutters and Downpipes</v>
      </c>
      <c r="D52" s="107"/>
      <c r="E52" s="153" t="str">
        <f>IF('Maintenance Schedule'!L66="x","x","")</f>
        <v>x</v>
      </c>
      <c r="F52" s="153" t="str">
        <f t="shared" si="28"/>
        <v>No</v>
      </c>
      <c r="G52" s="154">
        <f t="shared" si="29"/>
        <v>1</v>
      </c>
      <c r="H52" s="155">
        <f t="shared" si="25"/>
        <v>4018.4812800000004</v>
      </c>
      <c r="I52" s="156">
        <f t="shared" si="26"/>
        <v>4018.4812800000004</v>
      </c>
      <c r="J52" s="14"/>
      <c r="K52" s="15"/>
      <c r="L52" s="32"/>
      <c r="M52" s="67" t="str">
        <f>'Description Sheet'!K51</f>
        <v>lm</v>
      </c>
      <c r="N52" s="67">
        <f>'Description Sheet'!L51</f>
        <v>110</v>
      </c>
      <c r="O52" s="73">
        <f>'Year (2023-2024)'!O52*(('Description Sheet'!M4)+1)</f>
        <v>36.531648000000004</v>
      </c>
      <c r="P52" s="69">
        <f t="shared" si="27"/>
        <v>4018.4812800000004</v>
      </c>
      <c r="Q52" s="14"/>
      <c r="R52" s="44"/>
    </row>
    <row r="53" spans="1:18" hidden="1">
      <c r="A53" s="14"/>
      <c r="B53" s="109">
        <f>'Description Sheet'!B52</f>
        <v>6.4</v>
      </c>
      <c r="C53" s="152" t="str">
        <f>'Description Sheet'!C52</f>
        <v xml:space="preserve">Painting &amp; Repair of Metal Roof Areas </v>
      </c>
      <c r="D53" s="107"/>
      <c r="E53" s="153" t="str">
        <f>IF('Maintenance Schedule'!L67="x","x","")</f>
        <v/>
      </c>
      <c r="F53" s="153" t="str">
        <f>IF(E53="x","item","")</f>
        <v/>
      </c>
      <c r="G53" s="154">
        <f t="shared" si="29"/>
        <v>0</v>
      </c>
      <c r="H53" s="155">
        <f t="shared" si="25"/>
        <v>0</v>
      </c>
      <c r="I53" s="156">
        <f t="shared" si="26"/>
        <v>0</v>
      </c>
      <c r="J53" s="14"/>
      <c r="K53" s="15"/>
      <c r="L53" s="32"/>
      <c r="M53" s="67" t="str">
        <f>'Description Sheet'!K52</f>
        <v>m2</v>
      </c>
      <c r="N53" s="67">
        <f>'Description Sheet'!L52</f>
        <v>0</v>
      </c>
      <c r="O53" s="73">
        <f>'Year (2023-2024)'!O53*(('Description Sheet'!M4)+1)</f>
        <v>210.37190400000006</v>
      </c>
      <c r="P53" s="69">
        <f t="shared" si="27"/>
        <v>0</v>
      </c>
      <c r="Q53" s="14"/>
      <c r="R53" s="44"/>
    </row>
    <row r="54" spans="1:18" hidden="1">
      <c r="A54" s="14"/>
      <c r="B54" s="109">
        <f>'Description Sheet'!B53</f>
        <v>6.5</v>
      </c>
      <c r="C54" s="152" t="str">
        <f>'Description Sheet'!C53</f>
        <v xml:space="preserve">Painting &amp; Repair of Tile Roof Areas </v>
      </c>
      <c r="D54" s="107"/>
      <c r="E54" s="153" t="str">
        <f>IF('Maintenance Schedule'!L68="x","x","")</f>
        <v/>
      </c>
      <c r="F54" s="153" t="str">
        <f>IF(E54="x","item","")</f>
        <v/>
      </c>
      <c r="G54" s="154">
        <f t="shared" si="29"/>
        <v>0</v>
      </c>
      <c r="H54" s="155">
        <f t="shared" si="25"/>
        <v>0</v>
      </c>
      <c r="I54" s="156">
        <f t="shared" si="26"/>
        <v>0</v>
      </c>
      <c r="J54" s="14"/>
      <c r="K54" s="15"/>
      <c r="L54" s="32"/>
      <c r="M54" s="67" t="str">
        <f>'Description Sheet'!K53</f>
        <v>m2</v>
      </c>
      <c r="N54" s="67">
        <f>'Description Sheet'!L53</f>
        <v>0</v>
      </c>
      <c r="O54" s="73">
        <f>'Year (2023-2024)'!O54*(('Description Sheet'!M4)+1)</f>
        <v>114.63379200000001</v>
      </c>
      <c r="P54" s="69">
        <f t="shared" si="27"/>
        <v>0</v>
      </c>
      <c r="Q54" s="14"/>
      <c r="R54" s="44"/>
    </row>
    <row r="55" spans="1:18" hidden="1">
      <c r="A55" s="14"/>
      <c r="B55" s="109">
        <f>'Description Sheet'!B54</f>
        <v>6.6</v>
      </c>
      <c r="C55" s="152" t="str">
        <f>'Description Sheet'!C54</f>
        <v xml:space="preserve">Painting &amp; Repairs of Asbestos Roof Areas </v>
      </c>
      <c r="D55" s="107"/>
      <c r="E55" s="153" t="str">
        <f>IF('Maintenance Schedule'!L69="x","x","")</f>
        <v/>
      </c>
      <c r="F55" s="153" t="str">
        <f t="shared" si="28"/>
        <v/>
      </c>
      <c r="G55" s="154">
        <f t="shared" si="29"/>
        <v>0</v>
      </c>
      <c r="H55" s="155">
        <f t="shared" si="25"/>
        <v>0</v>
      </c>
      <c r="I55" s="156">
        <f t="shared" si="26"/>
        <v>0</v>
      </c>
      <c r="J55" s="14"/>
      <c r="K55" s="15"/>
      <c r="L55" s="32"/>
      <c r="M55" s="67" t="str">
        <f>'Description Sheet'!K54</f>
        <v>m2</v>
      </c>
      <c r="N55" s="67">
        <f>'Description Sheet'!L54</f>
        <v>0</v>
      </c>
      <c r="O55" s="73">
        <f>'Year (2023-2024)'!O55*(('Description Sheet'!M4)+1)</f>
        <v>238.08556800000005</v>
      </c>
      <c r="P55" s="69">
        <f t="shared" si="27"/>
        <v>0</v>
      </c>
      <c r="Q55" s="14"/>
      <c r="R55" s="44"/>
    </row>
    <row r="56" spans="1:18" hidden="1">
      <c r="A56" s="14"/>
      <c r="B56" s="109">
        <f>'Description Sheet'!B55</f>
        <v>6.7</v>
      </c>
      <c r="C56" s="152" t="str">
        <f>'Description Sheet'!C55</f>
        <v xml:space="preserve">Painting &amp; Repairs of Fibre Cement Roof Areas </v>
      </c>
      <c r="D56" s="107"/>
      <c r="E56" s="153" t="str">
        <f>IF('Maintenance Schedule'!L70="x","x","")</f>
        <v/>
      </c>
      <c r="F56" s="153" t="str">
        <f>IF(E56="x","item","")</f>
        <v/>
      </c>
      <c r="G56" s="154">
        <f t="shared" si="29"/>
        <v>0</v>
      </c>
      <c r="H56" s="155">
        <f t="shared" si="25"/>
        <v>0</v>
      </c>
      <c r="I56" s="156">
        <f t="shared" si="26"/>
        <v>0</v>
      </c>
      <c r="J56" s="14"/>
      <c r="K56" s="15"/>
      <c r="L56" s="32"/>
      <c r="M56" s="67" t="str">
        <f>'Description Sheet'!K55</f>
        <v>m2</v>
      </c>
      <c r="N56" s="67">
        <f>'Description Sheet'!L55</f>
        <v>0</v>
      </c>
      <c r="O56" s="73">
        <f>'Year (2023-2024)'!O56*(('Description Sheet'!M4)+1)</f>
        <v>224.22873600000005</v>
      </c>
      <c r="P56" s="69">
        <f t="shared" si="27"/>
        <v>0</v>
      </c>
      <c r="Q56" s="14"/>
      <c r="R56" s="44"/>
    </row>
    <row r="57" spans="1:18" hidden="1">
      <c r="A57" s="14"/>
      <c r="B57" s="109">
        <f>'Description Sheet'!B56</f>
        <v>6.8</v>
      </c>
      <c r="C57" s="152" t="str">
        <f>'Description Sheet'!C56</f>
        <v>Servicing of Roof Screws</v>
      </c>
      <c r="D57" s="107"/>
      <c r="E57" s="153" t="str">
        <f>IF('Maintenance Schedule'!L71="x","x","")</f>
        <v/>
      </c>
      <c r="F57" s="153" t="str">
        <f t="shared" ref="F57:F59" si="30">IF(E57="x","item","")</f>
        <v/>
      </c>
      <c r="G57" s="154">
        <f t="shared" si="29"/>
        <v>0</v>
      </c>
      <c r="H57" s="155">
        <f t="shared" si="25"/>
        <v>0</v>
      </c>
      <c r="I57" s="156">
        <f t="shared" si="26"/>
        <v>0</v>
      </c>
      <c r="J57" s="14"/>
      <c r="K57" s="15"/>
      <c r="L57" s="32"/>
      <c r="M57" s="67" t="str">
        <f>'Description Sheet'!K56</f>
        <v>No</v>
      </c>
      <c r="N57" s="67">
        <f>'Description Sheet'!L56</f>
        <v>0</v>
      </c>
      <c r="O57" s="73">
        <f>'Year (2023-2024)'!O57*(('Description Sheet'!M4)+1)</f>
        <v>8162.9337600000017</v>
      </c>
      <c r="P57" s="69">
        <f t="shared" si="27"/>
        <v>0</v>
      </c>
      <c r="Q57" s="14"/>
      <c r="R57" s="44"/>
    </row>
    <row r="58" spans="1:18" hidden="1">
      <c r="A58" s="14"/>
      <c r="B58" s="109">
        <f>'Description Sheet'!B57</f>
        <v>6.9</v>
      </c>
      <c r="C58" s="152" t="str">
        <f>'Description Sheet'!C57</f>
        <v xml:space="preserve">Servicing and Re-lignment of Gutters </v>
      </c>
      <c r="D58" s="107"/>
      <c r="E58" s="153" t="str">
        <f>IF('Maintenance Schedule'!L72="x","x","")</f>
        <v/>
      </c>
      <c r="F58" s="153" t="str">
        <f t="shared" si="30"/>
        <v/>
      </c>
      <c r="G58" s="154">
        <f t="shared" si="29"/>
        <v>0</v>
      </c>
      <c r="H58" s="155">
        <f t="shared" si="25"/>
        <v>0</v>
      </c>
      <c r="I58" s="156">
        <f t="shared" si="26"/>
        <v>0</v>
      </c>
      <c r="J58" s="14"/>
      <c r="K58" s="15"/>
      <c r="L58" s="32"/>
      <c r="M58" s="67" t="str">
        <f>'Description Sheet'!K57</f>
        <v>item</v>
      </c>
      <c r="N58" s="67">
        <f>'Description Sheet'!L57</f>
        <v>0</v>
      </c>
      <c r="O58" s="73">
        <f>'Year (2023-2024)'!O58*(('Description Sheet'!M4)+1)</f>
        <v>4761.7113600000002</v>
      </c>
      <c r="P58" s="69">
        <f t="shared" si="27"/>
        <v>0</v>
      </c>
      <c r="Q58" s="14"/>
      <c r="R58" s="44"/>
    </row>
    <row r="59" spans="1:18" hidden="1">
      <c r="A59" s="14"/>
      <c r="B59" s="112">
        <f>'Description Sheet'!B58</f>
        <v>6.1</v>
      </c>
      <c r="C59" s="152" t="str">
        <f>'Description Sheet'!C58</f>
        <v>Replacement of Damaged Metal Roof Sheeting</v>
      </c>
      <c r="D59" s="107"/>
      <c r="E59" s="153" t="str">
        <f>IF('Maintenance Schedule'!L73="x","x","")</f>
        <v/>
      </c>
      <c r="F59" s="153" t="str">
        <f t="shared" si="30"/>
        <v/>
      </c>
      <c r="G59" s="154">
        <f t="shared" si="29"/>
        <v>0</v>
      </c>
      <c r="H59" s="155">
        <f t="shared" si="25"/>
        <v>0</v>
      </c>
      <c r="I59" s="156">
        <f t="shared" si="26"/>
        <v>0</v>
      </c>
      <c r="J59" s="14"/>
      <c r="K59" s="15"/>
      <c r="L59" s="32"/>
      <c r="M59" s="67" t="str">
        <f>'Description Sheet'!K58</f>
        <v>m2</v>
      </c>
      <c r="N59" s="67">
        <f>'Description Sheet'!L58</f>
        <v>0</v>
      </c>
      <c r="O59" s="73">
        <f>'Year (2023-2024)'!O59*(('Description Sheet'!M4)+1)</f>
        <v>612.22003200000006</v>
      </c>
      <c r="P59" s="69">
        <f t="shared" si="27"/>
        <v>0</v>
      </c>
      <c r="Q59" s="14"/>
      <c r="R59" s="44"/>
    </row>
    <row r="60" spans="1:18" hidden="1">
      <c r="A60" s="14"/>
      <c r="B60" s="112">
        <f>'Description Sheet'!B59</f>
        <v>6.11</v>
      </c>
      <c r="C60" s="152" t="str">
        <f>'Description Sheet'!C59</f>
        <v>Replacement of Polycarbonate Roof Sheeting</v>
      </c>
      <c r="D60" s="107"/>
      <c r="E60" s="153" t="str">
        <f>IF('Maintenance Schedule'!L74="x","x","")</f>
        <v/>
      </c>
      <c r="F60" s="153" t="str">
        <f t="shared" si="28"/>
        <v/>
      </c>
      <c r="G60" s="154">
        <f t="shared" si="29"/>
        <v>0</v>
      </c>
      <c r="H60" s="155">
        <f t="shared" si="25"/>
        <v>0</v>
      </c>
      <c r="I60" s="156">
        <f t="shared" si="26"/>
        <v>0</v>
      </c>
      <c r="J60" s="14"/>
      <c r="K60" s="15"/>
      <c r="L60" s="32"/>
      <c r="M60" s="67" t="str">
        <f>'Description Sheet'!K59</f>
        <v>m2</v>
      </c>
      <c r="N60" s="67">
        <f>'Description Sheet'!L59</f>
        <v>0</v>
      </c>
      <c r="O60" s="73">
        <f>'Year (2023-2024)'!O60*(('Description Sheet'!M4)+1)</f>
        <v>680.24448000000018</v>
      </c>
      <c r="P60" s="69">
        <f t="shared" si="27"/>
        <v>0</v>
      </c>
      <c r="Q60" s="14"/>
      <c r="R60" s="44"/>
    </row>
    <row r="61" spans="1:18" hidden="1">
      <c r="A61" s="14"/>
      <c r="B61" s="112">
        <f>'Description Sheet'!B60</f>
        <v>6.12</v>
      </c>
      <c r="C61" s="152" t="str">
        <f>'Description Sheet'!C60</f>
        <v>Replacement of Tile Roofs</v>
      </c>
      <c r="D61" s="107"/>
      <c r="E61" s="153" t="str">
        <f>IF('Maintenance Schedule'!L75="x","x","")</f>
        <v/>
      </c>
      <c r="F61" s="153" t="str">
        <f t="shared" si="28"/>
        <v/>
      </c>
      <c r="G61" s="154">
        <f t="shared" si="29"/>
        <v>0</v>
      </c>
      <c r="H61" s="155">
        <f t="shared" si="25"/>
        <v>0</v>
      </c>
      <c r="I61" s="156">
        <f t="shared" si="26"/>
        <v>0</v>
      </c>
      <c r="J61" s="14"/>
      <c r="K61" s="15"/>
      <c r="L61" s="32"/>
      <c r="M61" s="67" t="str">
        <f>'Description Sheet'!K60</f>
        <v>m2</v>
      </c>
      <c r="N61" s="67">
        <f>'Description Sheet'!L60</f>
        <v>0</v>
      </c>
      <c r="O61" s="73">
        <f>'Year (2023-2024)'!O61*(('Description Sheet'!M4)+1)</f>
        <v>924.62860800000021</v>
      </c>
      <c r="P61" s="69">
        <f t="shared" si="27"/>
        <v>0</v>
      </c>
      <c r="Q61" s="14"/>
      <c r="R61" s="44"/>
    </row>
    <row r="62" spans="1:18" hidden="1">
      <c r="A62" s="14"/>
      <c r="B62" s="112">
        <f>'Description Sheet'!B61</f>
        <v>6.13</v>
      </c>
      <c r="C62" s="152" t="str">
        <f>'Description Sheet'!C61</f>
        <v>Replacement of Tile Roof and Structure</v>
      </c>
      <c r="D62" s="107"/>
      <c r="E62" s="153" t="str">
        <f>IF('Maintenance Schedule'!L76="x","x","")</f>
        <v/>
      </c>
      <c r="F62" s="153" t="str">
        <f t="shared" si="28"/>
        <v/>
      </c>
      <c r="G62" s="154">
        <f t="shared" si="29"/>
        <v>0</v>
      </c>
      <c r="H62" s="155">
        <f t="shared" si="25"/>
        <v>0</v>
      </c>
      <c r="I62" s="156">
        <f t="shared" si="26"/>
        <v>0</v>
      </c>
      <c r="J62" s="14"/>
      <c r="K62" s="15"/>
      <c r="L62" s="32"/>
      <c r="M62" s="67" t="str">
        <f>'Description Sheet'!K61</f>
        <v>m2</v>
      </c>
      <c r="N62" s="67">
        <f>'Description Sheet'!L61</f>
        <v>0</v>
      </c>
      <c r="O62" s="73">
        <f>'Year (2023-2024)'!O62*(('Description Sheet'!M4)+1)</f>
        <v>1143.8184960000001</v>
      </c>
      <c r="P62" s="69">
        <f t="shared" si="27"/>
        <v>0</v>
      </c>
      <c r="Q62" s="14"/>
      <c r="R62" s="44"/>
    </row>
    <row r="63" spans="1:18" hidden="1">
      <c r="A63" s="14"/>
      <c r="B63" s="112">
        <f>'Description Sheet'!B62</f>
        <v>6.14</v>
      </c>
      <c r="C63" s="152" t="str">
        <f>'Description Sheet'!C62</f>
        <v>Replacement of Fibre Cement Roof</v>
      </c>
      <c r="D63" s="107"/>
      <c r="E63" s="153" t="str">
        <f>IF('Maintenance Schedule'!L77="x","x","")</f>
        <v/>
      </c>
      <c r="F63" s="153" t="str">
        <f t="shared" ref="F63:F66" si="31">IF(E63="x","item","")</f>
        <v/>
      </c>
      <c r="G63" s="154">
        <f t="shared" si="29"/>
        <v>0</v>
      </c>
      <c r="H63" s="155">
        <f t="shared" si="25"/>
        <v>0</v>
      </c>
      <c r="I63" s="156">
        <f t="shared" si="26"/>
        <v>0</v>
      </c>
      <c r="J63" s="14"/>
      <c r="K63" s="15"/>
      <c r="L63" s="32"/>
      <c r="M63" s="67" t="str">
        <f>'Description Sheet'!K62</f>
        <v>m2</v>
      </c>
      <c r="N63" s="67">
        <f>'Description Sheet'!L62</f>
        <v>0</v>
      </c>
      <c r="O63" s="73">
        <f>'Year (2023-2024)'!O63*(('Description Sheet'!M4)+1)</f>
        <v>884.3178240000002</v>
      </c>
      <c r="P63" s="69">
        <f t="shared" si="27"/>
        <v>0</v>
      </c>
      <c r="Q63" s="14"/>
      <c r="R63" s="44"/>
    </row>
    <row r="64" spans="1:18" hidden="1">
      <c r="A64" s="14"/>
      <c r="B64" s="112">
        <f>'Description Sheet'!B63</f>
        <v>6.15</v>
      </c>
      <c r="C64" s="152" t="str">
        <f>'Description Sheet'!C63</f>
        <v>blank</v>
      </c>
      <c r="D64" s="107"/>
      <c r="E64" s="153" t="str">
        <f>IF('Maintenance Schedule'!L78="x","x","")</f>
        <v/>
      </c>
      <c r="F64" s="153" t="str">
        <f t="shared" si="31"/>
        <v/>
      </c>
      <c r="G64" s="154">
        <f t="shared" si="29"/>
        <v>0</v>
      </c>
      <c r="H64" s="155">
        <f t="shared" si="25"/>
        <v>0</v>
      </c>
      <c r="I64" s="156">
        <f t="shared" si="26"/>
        <v>0</v>
      </c>
      <c r="J64" s="14"/>
      <c r="K64" s="15"/>
      <c r="L64" s="32"/>
      <c r="M64" s="67" t="str">
        <f>'Description Sheet'!K63</f>
        <v>item</v>
      </c>
      <c r="N64" s="67">
        <f>'Description Sheet'!L63</f>
        <v>0</v>
      </c>
      <c r="O64" s="73">
        <f>'Year (2023-2024)'!O64*(('Description Sheet'!M4)+1)</f>
        <v>0</v>
      </c>
      <c r="P64" s="69">
        <f t="shared" si="27"/>
        <v>0</v>
      </c>
      <c r="Q64" s="14"/>
      <c r="R64" s="44"/>
    </row>
    <row r="65" spans="1:19" hidden="1">
      <c r="A65" s="14"/>
      <c r="B65" s="112">
        <f>'Description Sheet'!B64</f>
        <v>6.17</v>
      </c>
      <c r="C65" s="152" t="str">
        <f>'Description Sheet'!C64</f>
        <v>blank</v>
      </c>
      <c r="D65" s="107"/>
      <c r="E65" s="153" t="str">
        <f>IF('Maintenance Schedule'!L79="x","x","")</f>
        <v/>
      </c>
      <c r="F65" s="153" t="str">
        <f t="shared" si="31"/>
        <v/>
      </c>
      <c r="G65" s="154">
        <f t="shared" si="29"/>
        <v>0</v>
      </c>
      <c r="H65" s="155">
        <f t="shared" si="25"/>
        <v>0</v>
      </c>
      <c r="I65" s="156">
        <f t="shared" si="26"/>
        <v>0</v>
      </c>
      <c r="J65" s="14"/>
      <c r="K65" s="15"/>
      <c r="L65" s="32"/>
      <c r="M65" s="67" t="str">
        <f>'Description Sheet'!K64</f>
        <v>item</v>
      </c>
      <c r="N65" s="67">
        <f>'Description Sheet'!L64</f>
        <v>0</v>
      </c>
      <c r="O65" s="73">
        <f>'Year (2023-2024)'!O65*(('Description Sheet'!M4)+1)</f>
        <v>0</v>
      </c>
      <c r="P65" s="69">
        <f t="shared" si="27"/>
        <v>0</v>
      </c>
      <c r="Q65" s="14"/>
      <c r="R65" s="44"/>
    </row>
    <row r="66" spans="1:19" hidden="1">
      <c r="A66" s="14"/>
      <c r="B66" s="112">
        <f>'Description Sheet'!B65</f>
        <v>6.18</v>
      </c>
      <c r="C66" s="152" t="str">
        <f>'Description Sheet'!C65</f>
        <v>blank</v>
      </c>
      <c r="D66" s="107"/>
      <c r="E66" s="153" t="str">
        <f>IF('Maintenance Schedule'!L80="x","x","")</f>
        <v/>
      </c>
      <c r="F66" s="153" t="str">
        <f t="shared" si="31"/>
        <v/>
      </c>
      <c r="G66" s="154">
        <f t="shared" si="29"/>
        <v>0</v>
      </c>
      <c r="H66" s="155">
        <f t="shared" si="25"/>
        <v>0</v>
      </c>
      <c r="I66" s="156">
        <f t="shared" si="26"/>
        <v>0</v>
      </c>
      <c r="J66" s="14"/>
      <c r="K66" s="15"/>
      <c r="L66" s="32"/>
      <c r="M66" s="67" t="str">
        <f>'Description Sheet'!K65</f>
        <v>item</v>
      </c>
      <c r="N66" s="67">
        <f>'Description Sheet'!L65</f>
        <v>0</v>
      </c>
      <c r="O66" s="73">
        <f>'Year (2023-2024)'!O66*(('Description Sheet'!M4)+1)</f>
        <v>0</v>
      </c>
      <c r="P66" s="69">
        <f t="shared" si="27"/>
        <v>0</v>
      </c>
      <c r="Q66" s="14"/>
      <c r="R66" s="44"/>
    </row>
    <row r="67" spans="1:19" ht="17" thickBot="1">
      <c r="A67" s="14"/>
      <c r="B67" s="109"/>
      <c r="C67" s="152"/>
      <c r="D67" s="107"/>
      <c r="E67" s="153"/>
      <c r="F67" s="153"/>
      <c r="G67" s="154"/>
      <c r="H67" s="155"/>
      <c r="I67" s="155"/>
      <c r="J67" s="14"/>
      <c r="K67" s="15"/>
      <c r="L67" s="32"/>
      <c r="M67" s="70"/>
      <c r="N67" s="67"/>
      <c r="O67" s="73"/>
      <c r="P67" s="79"/>
      <c r="Q67" s="14"/>
      <c r="R67" s="44"/>
    </row>
    <row r="68" spans="1:19" s="4" customFormat="1" ht="15.75" customHeight="1" thickBot="1">
      <c r="A68" s="14"/>
      <c r="B68" s="109"/>
      <c r="C68" s="115"/>
      <c r="D68" s="107"/>
      <c r="E68" s="159"/>
      <c r="F68" s="528" t="s">
        <v>7</v>
      </c>
      <c r="G68" s="529"/>
      <c r="H68" s="530">
        <f>SUM(I50:I67)</f>
        <v>4018.4812800000004</v>
      </c>
      <c r="I68" s="531"/>
      <c r="J68" s="14"/>
      <c r="K68" s="15"/>
      <c r="L68" s="33"/>
      <c r="M68" s="508" t="s">
        <v>7</v>
      </c>
      <c r="N68" s="509"/>
      <c r="O68" s="510">
        <f>SUM(P50:P67)</f>
        <v>4018.4812800000004</v>
      </c>
      <c r="P68" s="511"/>
      <c r="Q68" s="14"/>
      <c r="R68" s="31"/>
    </row>
    <row r="69" spans="1:19" ht="17" hidden="1" thickBot="1">
      <c r="A69" s="14"/>
      <c r="B69" s="109">
        <f>'Description Sheet'!B68</f>
        <v>7</v>
      </c>
      <c r="C69" s="113" t="str">
        <f>'Description Sheet'!C68</f>
        <v>Painting and Repairs</v>
      </c>
      <c r="D69" s="107"/>
      <c r="E69" s="110"/>
      <c r="F69" s="110"/>
      <c r="G69" s="110"/>
      <c r="H69" s="110"/>
      <c r="I69" s="151"/>
      <c r="J69" s="32"/>
      <c r="K69" s="40"/>
      <c r="L69" s="33"/>
      <c r="M69" s="24"/>
      <c r="N69" s="25"/>
      <c r="O69" s="25"/>
      <c r="P69" s="63"/>
      <c r="Q69" s="14"/>
      <c r="R69" s="44"/>
    </row>
    <row r="70" spans="1:19" hidden="1">
      <c r="A70" s="14"/>
      <c r="B70" s="109">
        <f>'Description Sheet'!B69</f>
        <v>7.1</v>
      </c>
      <c r="C70" s="152" t="str">
        <f>'Description Sheet'!C69</f>
        <v>External  Painting and Remedial Repairs</v>
      </c>
      <c r="D70" s="107"/>
      <c r="E70" s="153" t="str">
        <f>IF('Maintenance Schedule'!L87="x","x","")</f>
        <v/>
      </c>
      <c r="F70" s="153" t="str">
        <f t="shared" ref="F70:F91" si="32">IF(E70="x","No","")</f>
        <v/>
      </c>
      <c r="G70" s="154">
        <f>IF(E70="x",1,0)</f>
        <v>0</v>
      </c>
      <c r="H70" s="155">
        <f t="shared" ref="H70:H91" si="33">IF(E70="x",P70,0)</f>
        <v>0</v>
      </c>
      <c r="I70" s="156">
        <f>IF(E70="x",G70*H70,0)</f>
        <v>0</v>
      </c>
      <c r="J70" s="14"/>
      <c r="K70" s="15"/>
      <c r="L70" s="32"/>
      <c r="M70" s="67" t="str">
        <f>'Description Sheet'!K69</f>
        <v>m2</v>
      </c>
      <c r="N70" s="67">
        <f>'Description Sheet'!L69</f>
        <v>1</v>
      </c>
      <c r="O70" s="73">
        <f>'Year (2023-2024)'!O70*(('Description Sheet'!M4)+1)</f>
        <v>2321962.6323456005</v>
      </c>
      <c r="P70" s="68">
        <f t="shared" ref="P70:P78" si="34">N70*O70</f>
        <v>2321962.6323456005</v>
      </c>
      <c r="Q70" s="14"/>
      <c r="R70" s="44"/>
    </row>
    <row r="71" spans="1:19" hidden="1">
      <c r="A71" s="14"/>
      <c r="B71" s="109">
        <f>'Description Sheet'!B70</f>
        <v>7.2</v>
      </c>
      <c r="C71" s="152" t="str">
        <f>'Description Sheet'!C70</f>
        <v>Internal Repairs to Apartments 505, 405, 305</v>
      </c>
      <c r="D71" s="107"/>
      <c r="E71" s="153" t="str">
        <f>IF('Maintenance Schedule'!L88="x","x","")</f>
        <v/>
      </c>
      <c r="F71" s="153" t="str">
        <f t="shared" si="32"/>
        <v/>
      </c>
      <c r="G71" s="154">
        <f t="shared" ref="G71:G91" si="35">IF(E71="x",1,0)</f>
        <v>0</v>
      </c>
      <c r="H71" s="155">
        <f t="shared" si="33"/>
        <v>0</v>
      </c>
      <c r="I71" s="156">
        <f t="shared" ref="I71:I91" si="36">IF(E71="x",G71*H71,0)</f>
        <v>0</v>
      </c>
      <c r="J71" s="14"/>
      <c r="K71" s="15"/>
      <c r="L71" s="32"/>
      <c r="M71" s="67" t="str">
        <f>'Description Sheet'!K70</f>
        <v>m2</v>
      </c>
      <c r="N71" s="67">
        <f>'Description Sheet'!L70</f>
        <v>1</v>
      </c>
      <c r="O71" s="73">
        <f>'Year (2023-2024)'!O71*(('Description Sheet'!M4)+1)</f>
        <v>195570.28800000003</v>
      </c>
      <c r="P71" s="68">
        <f t="shared" si="34"/>
        <v>195570.28800000003</v>
      </c>
      <c r="Q71" s="14"/>
      <c r="R71" s="44"/>
    </row>
    <row r="72" spans="1:19" hidden="1">
      <c r="A72" s="14"/>
      <c r="B72" s="109">
        <f>'Description Sheet'!B71</f>
        <v>7.3</v>
      </c>
      <c r="C72" s="152" t="str">
        <f>'Description Sheet'!C71</f>
        <v>Exposed Tops</v>
      </c>
      <c r="D72" s="107"/>
      <c r="E72" s="153" t="str">
        <f>IF('Maintenance Schedule'!L89="x","x","")</f>
        <v/>
      </c>
      <c r="F72" s="153" t="str">
        <f t="shared" si="32"/>
        <v/>
      </c>
      <c r="G72" s="154">
        <f t="shared" si="35"/>
        <v>0</v>
      </c>
      <c r="H72" s="155">
        <f t="shared" si="33"/>
        <v>0</v>
      </c>
      <c r="I72" s="156">
        <f t="shared" si="36"/>
        <v>0</v>
      </c>
      <c r="J72" s="14"/>
      <c r="K72" s="15"/>
      <c r="L72" s="32"/>
      <c r="M72" s="67" t="str">
        <f>'Description Sheet'!K71</f>
        <v>m2</v>
      </c>
      <c r="N72" s="67">
        <f>'Description Sheet'!L71</f>
        <v>0</v>
      </c>
      <c r="O72" s="73">
        <f>'Year (2023-2024)'!O72*(('Description Sheet'!M4)+1)</f>
        <v>156.20428800000005</v>
      </c>
      <c r="P72" s="68">
        <f t="shared" si="34"/>
        <v>0</v>
      </c>
      <c r="Q72" s="14"/>
      <c r="R72" s="44"/>
    </row>
    <row r="73" spans="1:19" hidden="1">
      <c r="A73" s="14"/>
      <c r="B73" s="109">
        <f>'Description Sheet'!B72</f>
        <v>7.4</v>
      </c>
      <c r="C73" s="152" t="str">
        <f>'Description Sheet'!C72</f>
        <v>Wall to Frame Sealant (Exposed)</v>
      </c>
      <c r="D73" s="107"/>
      <c r="E73" s="153" t="str">
        <f>IF('Maintenance Schedule'!L90="x","x","")</f>
        <v/>
      </c>
      <c r="F73" s="153" t="str">
        <f>IF(E73="x","All","")</f>
        <v/>
      </c>
      <c r="G73" s="154">
        <f t="shared" si="35"/>
        <v>0</v>
      </c>
      <c r="H73" s="155">
        <f t="shared" si="33"/>
        <v>0</v>
      </c>
      <c r="I73" s="156">
        <f t="shared" si="36"/>
        <v>0</v>
      </c>
      <c r="J73" s="14"/>
      <c r="K73" s="15"/>
      <c r="L73" s="32"/>
      <c r="M73" s="67" t="str">
        <f>'Description Sheet'!K72</f>
        <v>lm</v>
      </c>
      <c r="N73" s="67">
        <f>'Description Sheet'!L72</f>
        <v>0</v>
      </c>
      <c r="O73" s="73">
        <f>'Year (2023-2024)'!O73*(('Description Sheet'!M4)+1)</f>
        <v>88.179840000000013</v>
      </c>
      <c r="P73" s="68">
        <f t="shared" si="34"/>
        <v>0</v>
      </c>
      <c r="Q73" s="14"/>
      <c r="R73" s="44"/>
    </row>
    <row r="74" spans="1:19" hidden="1">
      <c r="A74" s="14"/>
      <c r="B74" s="109">
        <f>'Description Sheet'!B73</f>
        <v>7.5</v>
      </c>
      <c r="C74" s="152" t="str">
        <f>'Description Sheet'!C73</f>
        <v>Glass to Frame Sealant (Skylights)</v>
      </c>
      <c r="D74" s="107"/>
      <c r="E74" s="153" t="str">
        <f>IF('Maintenance Schedule'!L91="x","x","")</f>
        <v/>
      </c>
      <c r="F74" s="153" t="str">
        <f>IF(E74="x","All","")</f>
        <v/>
      </c>
      <c r="G74" s="154">
        <f t="shared" si="35"/>
        <v>0</v>
      </c>
      <c r="H74" s="155">
        <f t="shared" si="33"/>
        <v>0</v>
      </c>
      <c r="I74" s="156">
        <f t="shared" si="36"/>
        <v>0</v>
      </c>
      <c r="J74" s="14"/>
      <c r="K74" s="15"/>
      <c r="L74" s="32"/>
      <c r="M74" s="67" t="str">
        <f>'Description Sheet'!K73</f>
        <v>All</v>
      </c>
      <c r="N74" s="67">
        <f>'Description Sheet'!L73</f>
        <v>0</v>
      </c>
      <c r="O74" s="73">
        <f>'Year (2023-2024)'!O74*(('Description Sheet'!M4)+1)</f>
        <v>20407.334400000003</v>
      </c>
      <c r="P74" s="68">
        <f>N74*O74</f>
        <v>0</v>
      </c>
      <c r="Q74" s="14"/>
      <c r="R74" s="44"/>
    </row>
    <row r="75" spans="1:19" hidden="1">
      <c r="A75" s="14"/>
      <c r="B75" s="109">
        <f>'Description Sheet'!B74</f>
        <v>7.6</v>
      </c>
      <c r="C75" s="152" t="str">
        <f>'Description Sheet'!C74</f>
        <v>Metal Windows and Putty Repairs</v>
      </c>
      <c r="D75" s="107"/>
      <c r="E75" s="153" t="str">
        <f>IF('Maintenance Schedule'!L92="x","x","")</f>
        <v/>
      </c>
      <c r="F75" s="153" t="str">
        <f t="shared" si="32"/>
        <v/>
      </c>
      <c r="G75" s="154">
        <f t="shared" si="35"/>
        <v>0</v>
      </c>
      <c r="H75" s="155">
        <f t="shared" si="33"/>
        <v>0</v>
      </c>
      <c r="I75" s="156">
        <f t="shared" si="36"/>
        <v>0</v>
      </c>
      <c r="J75" s="14"/>
      <c r="K75" s="15"/>
      <c r="L75" s="32"/>
      <c r="M75" s="67" t="str">
        <f>'Description Sheet'!K74</f>
        <v>m2</v>
      </c>
      <c r="N75" s="67">
        <f>'Description Sheet'!L74</f>
        <v>1</v>
      </c>
      <c r="O75" s="73">
        <f>'Year (2023-2024)'!O75*(('Description Sheet'!M4)+1)</f>
        <v>12597.12</v>
      </c>
      <c r="P75" s="68">
        <f t="shared" si="34"/>
        <v>12597.12</v>
      </c>
      <c r="Q75" s="14"/>
      <c r="R75" s="44"/>
      <c r="S75" s="2"/>
    </row>
    <row r="76" spans="1:19" hidden="1">
      <c r="A76" s="14"/>
      <c r="B76" s="109">
        <f>'Description Sheet'!B75</f>
        <v>7.7</v>
      </c>
      <c r="C76" s="152" t="str">
        <f>'Description Sheet'!C75</f>
        <v xml:space="preserve">External Woodwork </v>
      </c>
      <c r="D76" s="107"/>
      <c r="E76" s="153" t="str">
        <f>IF('Maintenance Schedule'!L93="x","x","")</f>
        <v/>
      </c>
      <c r="F76" s="153" t="str">
        <f t="shared" si="32"/>
        <v/>
      </c>
      <c r="G76" s="154">
        <f t="shared" si="35"/>
        <v>0</v>
      </c>
      <c r="H76" s="155">
        <f t="shared" si="33"/>
        <v>0</v>
      </c>
      <c r="I76" s="156">
        <f t="shared" si="36"/>
        <v>0</v>
      </c>
      <c r="J76" s="14"/>
      <c r="K76" s="15"/>
      <c r="L76" s="32"/>
      <c r="M76" s="67" t="str">
        <f>'Description Sheet'!K75</f>
        <v>m2</v>
      </c>
      <c r="N76" s="67">
        <f>'Description Sheet'!L75</f>
        <v>160</v>
      </c>
      <c r="O76" s="73">
        <f>'Year (2023-2024)'!O76*(('Description Sheet'!M4)+1)</f>
        <v>258.24096000000003</v>
      </c>
      <c r="P76" s="68">
        <f t="shared" si="34"/>
        <v>41318.553600000007</v>
      </c>
      <c r="Q76" s="14"/>
      <c r="R76" s="44"/>
    </row>
    <row r="77" spans="1:19" hidden="1">
      <c r="A77" s="14"/>
      <c r="B77" s="109">
        <f>'Description Sheet'!B76</f>
        <v>7.8</v>
      </c>
      <c r="C77" s="152" t="str">
        <f>'Description Sheet'!C76</f>
        <v xml:space="preserve">External Steelwork </v>
      </c>
      <c r="D77" s="107"/>
      <c r="E77" s="153" t="str">
        <f>IF('Maintenance Schedule'!L94="x","x","")</f>
        <v/>
      </c>
      <c r="F77" s="153" t="str">
        <f t="shared" si="32"/>
        <v/>
      </c>
      <c r="G77" s="154">
        <f t="shared" si="35"/>
        <v>0</v>
      </c>
      <c r="H77" s="155">
        <f t="shared" si="33"/>
        <v>0</v>
      </c>
      <c r="I77" s="156">
        <f t="shared" si="36"/>
        <v>0</v>
      </c>
      <c r="J77" s="14"/>
      <c r="K77" s="15"/>
      <c r="L77" s="32"/>
      <c r="M77" s="67" t="str">
        <f>'Description Sheet'!K76</f>
        <v>m2</v>
      </c>
      <c r="N77" s="67">
        <f>'Description Sheet'!L76</f>
        <v>40</v>
      </c>
      <c r="O77" s="73">
        <f>'Year (2023-2024)'!O77*(('Description Sheet'!M4)+1)</f>
        <v>288.47404800000004</v>
      </c>
      <c r="P77" s="68">
        <f t="shared" si="34"/>
        <v>11538.961920000002</v>
      </c>
      <c r="Q77" s="14"/>
      <c r="R77" s="44"/>
    </row>
    <row r="78" spans="1:19" hidden="1">
      <c r="A78" s="14"/>
      <c r="B78" s="109">
        <f>'Description Sheet'!B77</f>
        <v>7.9</v>
      </c>
      <c r="C78" s="152" t="str">
        <f>'Description Sheet'!C77</f>
        <v xml:space="preserve">Pointing &amp; Brickwork Repairs </v>
      </c>
      <c r="D78" s="107"/>
      <c r="E78" s="153" t="str">
        <f>IF('Maintenance Schedule'!L95="x","x","")</f>
        <v/>
      </c>
      <c r="F78" s="153" t="str">
        <f t="shared" si="32"/>
        <v/>
      </c>
      <c r="G78" s="154">
        <f t="shared" si="35"/>
        <v>0</v>
      </c>
      <c r="H78" s="155">
        <f t="shared" si="33"/>
        <v>0</v>
      </c>
      <c r="I78" s="156">
        <f t="shared" si="36"/>
        <v>0</v>
      </c>
      <c r="J78" s="14"/>
      <c r="K78" s="15"/>
      <c r="L78" s="32"/>
      <c r="M78" s="67" t="str">
        <f>'Description Sheet'!K77</f>
        <v>m2</v>
      </c>
      <c r="N78" s="67">
        <f>'Description Sheet'!L77</f>
        <v>0</v>
      </c>
      <c r="O78" s="73">
        <f>'Year (2023-2024)'!O78*(('Description Sheet'!M4)+1)</f>
        <v>61222.003200000006</v>
      </c>
      <c r="P78" s="68">
        <f t="shared" si="34"/>
        <v>0</v>
      </c>
      <c r="Q78" s="14"/>
      <c r="R78" s="44"/>
    </row>
    <row r="79" spans="1:19" hidden="1">
      <c r="A79" s="14"/>
      <c r="B79" s="112">
        <f>'Description Sheet'!B78</f>
        <v>7.1</v>
      </c>
      <c r="C79" s="152" t="str">
        <f>'Description Sheet'!C78</f>
        <v>Brickwork Repairs</v>
      </c>
      <c r="D79" s="107"/>
      <c r="E79" s="153" t="str">
        <f>IF('Maintenance Schedule'!L96="x","x","")</f>
        <v/>
      </c>
      <c r="F79" s="153" t="str">
        <f t="shared" si="32"/>
        <v/>
      </c>
      <c r="G79" s="154">
        <f t="shared" si="35"/>
        <v>0</v>
      </c>
      <c r="H79" s="155">
        <f t="shared" si="33"/>
        <v>0</v>
      </c>
      <c r="I79" s="156">
        <f t="shared" si="36"/>
        <v>0</v>
      </c>
      <c r="J79" s="14"/>
      <c r="K79" s="15"/>
      <c r="L79" s="32"/>
      <c r="M79" s="67" t="str">
        <f>'Description Sheet'!K78</f>
        <v>m2</v>
      </c>
      <c r="N79" s="67">
        <f>'Description Sheet'!L78</f>
        <v>1</v>
      </c>
      <c r="O79" s="73">
        <f>'Year (2023-2024)'!O79*(('Description Sheet'!M4)+1)</f>
        <v>5187.4940160000015</v>
      </c>
      <c r="P79" s="68">
        <f>N79*O79</f>
        <v>5187.4940160000015</v>
      </c>
      <c r="Q79" s="14"/>
      <c r="R79" s="44"/>
    </row>
    <row r="80" spans="1:19" hidden="1">
      <c r="A80" s="14"/>
      <c r="B80" s="112">
        <f>'Description Sheet'!B79</f>
        <v>7.11</v>
      </c>
      <c r="C80" s="152" t="str">
        <f>'Description Sheet'!C79</f>
        <v>Painted Floors</v>
      </c>
      <c r="D80" s="107"/>
      <c r="E80" s="153" t="str">
        <f>IF('Maintenance Schedule'!L97="x","x","")</f>
        <v/>
      </c>
      <c r="F80" s="153" t="str">
        <f t="shared" si="32"/>
        <v/>
      </c>
      <c r="G80" s="154">
        <f t="shared" si="35"/>
        <v>0</v>
      </c>
      <c r="H80" s="155">
        <f t="shared" si="33"/>
        <v>0</v>
      </c>
      <c r="I80" s="156">
        <f t="shared" si="36"/>
        <v>0</v>
      </c>
      <c r="J80" s="14"/>
      <c r="K80" s="15"/>
      <c r="L80" s="32"/>
      <c r="M80" s="67" t="str">
        <f>'Description Sheet'!K79</f>
        <v>m2</v>
      </c>
      <c r="N80" s="67">
        <f>'Description Sheet'!L79</f>
        <v>680</v>
      </c>
      <c r="O80" s="73">
        <f>'Year (2023-2024)'!O80*(('Description Sheet'!M4)+1)</f>
        <v>191.47622400000003</v>
      </c>
      <c r="P80" s="68">
        <f>N80*O80</f>
        <v>130203.83232000002</v>
      </c>
      <c r="Q80" s="14"/>
      <c r="R80" s="44"/>
    </row>
    <row r="81" spans="1:18" hidden="1">
      <c r="A81" s="14"/>
      <c r="B81" s="112">
        <f>'Description Sheet'!B80</f>
        <v>7.12</v>
      </c>
      <c r="C81" s="152" t="str">
        <f>'Description Sheet'!C80</f>
        <v>Nutec Walls</v>
      </c>
      <c r="D81" s="107"/>
      <c r="E81" s="153" t="str">
        <f>IF('Maintenance Schedule'!L98="x","x","")</f>
        <v/>
      </c>
      <c r="F81" s="153" t="str">
        <f t="shared" si="32"/>
        <v/>
      </c>
      <c r="G81" s="154">
        <f t="shared" si="35"/>
        <v>0</v>
      </c>
      <c r="H81" s="155">
        <f t="shared" si="33"/>
        <v>0</v>
      </c>
      <c r="I81" s="156">
        <f t="shared" si="36"/>
        <v>0</v>
      </c>
      <c r="J81" s="14"/>
      <c r="K81" s="15"/>
      <c r="L81" s="32"/>
      <c r="M81" s="67" t="str">
        <f>'Description Sheet'!K80</f>
        <v>m2</v>
      </c>
      <c r="N81" s="67">
        <f>'Description Sheet'!L80</f>
        <v>390</v>
      </c>
      <c r="O81" s="73">
        <f>'Year (2023-2024)'!O81*(('Description Sheet'!M4)+1)</f>
        <v>139.82803200000004</v>
      </c>
      <c r="P81" s="68">
        <f>N81*O81</f>
        <v>54532.93248000001</v>
      </c>
      <c r="Q81" s="14"/>
      <c r="R81" s="44"/>
    </row>
    <row r="82" spans="1:18" hidden="1">
      <c r="A82" s="14"/>
      <c r="B82" s="112">
        <f>'Description Sheet'!B81</f>
        <v>7.13</v>
      </c>
      <c r="C82" s="152" t="str">
        <f>'Description Sheet'!C81</f>
        <v xml:space="preserve">Basement Parking Walls and Soffits Areas </v>
      </c>
      <c r="D82" s="107"/>
      <c r="E82" s="153" t="str">
        <f>IF('Maintenance Schedule'!L99="x","x","")</f>
        <v/>
      </c>
      <c r="F82" s="153" t="str">
        <f t="shared" si="32"/>
        <v/>
      </c>
      <c r="G82" s="154">
        <f t="shared" si="35"/>
        <v>0</v>
      </c>
      <c r="H82" s="155">
        <f t="shared" si="33"/>
        <v>0</v>
      </c>
      <c r="I82" s="156">
        <f t="shared" si="36"/>
        <v>0</v>
      </c>
      <c r="J82" s="14"/>
      <c r="K82" s="15"/>
      <c r="L82" s="32"/>
      <c r="M82" s="67" t="str">
        <f>'Description Sheet'!K81</f>
        <v>m2</v>
      </c>
      <c r="N82" s="67">
        <f>'Description Sheet'!L81</f>
        <v>0</v>
      </c>
      <c r="O82" s="73">
        <f>'Year (2023-2024)'!O82*(('Description Sheet'!M4)+1)</f>
        <v>185.17766400000005</v>
      </c>
      <c r="P82" s="68">
        <f>N82*O82</f>
        <v>0</v>
      </c>
      <c r="Q82" s="14"/>
      <c r="R82" s="44"/>
    </row>
    <row r="83" spans="1:18" hidden="1">
      <c r="A83" s="14"/>
      <c r="B83" s="112">
        <f>'Description Sheet'!B82</f>
        <v>7.14</v>
      </c>
      <c r="C83" s="152" t="str">
        <f>'Description Sheet'!C82</f>
        <v>Internal Common Walls and Soffit Areas</v>
      </c>
      <c r="D83" s="107"/>
      <c r="E83" s="153" t="str">
        <f>IF('Maintenance Schedule'!L100="x","x","")</f>
        <v/>
      </c>
      <c r="F83" s="153" t="str">
        <f t="shared" si="32"/>
        <v/>
      </c>
      <c r="G83" s="154">
        <f t="shared" si="35"/>
        <v>0</v>
      </c>
      <c r="H83" s="155">
        <f t="shared" si="33"/>
        <v>0</v>
      </c>
      <c r="I83" s="156">
        <f t="shared" si="36"/>
        <v>0</v>
      </c>
      <c r="J83" s="14"/>
      <c r="K83" s="15"/>
      <c r="L83" s="32"/>
      <c r="M83" s="67" t="str">
        <f>'Description Sheet'!K82</f>
        <v>m2</v>
      </c>
      <c r="N83" s="67">
        <f>'Description Sheet'!L82</f>
        <v>0</v>
      </c>
      <c r="O83" s="73">
        <f>'Year (2023-2024)'!O83*(('Description Sheet'!M4)+1)</f>
        <v>191.47622400000003</v>
      </c>
      <c r="P83" s="68">
        <f t="shared" ref="P83:P91" si="37">N83*O83</f>
        <v>0</v>
      </c>
      <c r="Q83" s="14"/>
      <c r="R83" s="44"/>
    </row>
    <row r="84" spans="1:18" hidden="1">
      <c r="A84" s="14"/>
      <c r="B84" s="112">
        <f>'Description Sheet'!B83</f>
        <v>7.15</v>
      </c>
      <c r="C84" s="152" t="str">
        <f>'Description Sheet'!C83</f>
        <v xml:space="preserve">Basement Parking Walls and Soffits Areas </v>
      </c>
      <c r="D84" s="107"/>
      <c r="E84" s="153" t="str">
        <f>IF('Maintenance Schedule'!L101="x","x","")</f>
        <v/>
      </c>
      <c r="F84" s="153" t="str">
        <f t="shared" si="32"/>
        <v/>
      </c>
      <c r="G84" s="154">
        <f t="shared" si="35"/>
        <v>0</v>
      </c>
      <c r="H84" s="155">
        <f t="shared" si="33"/>
        <v>0</v>
      </c>
      <c r="I84" s="156">
        <f t="shared" si="36"/>
        <v>0</v>
      </c>
      <c r="J84" s="14"/>
      <c r="K84" s="15"/>
      <c r="L84" s="32"/>
      <c r="M84" s="67" t="str">
        <f>'Description Sheet'!K83</f>
        <v>m2</v>
      </c>
      <c r="N84" s="67">
        <f>'Description Sheet'!L83</f>
        <v>0</v>
      </c>
      <c r="O84" s="73">
        <f>'Year (2023-2024)'!O84*(('Description Sheet'!M4)+1)</f>
        <v>185.17766400000005</v>
      </c>
      <c r="P84" s="68">
        <f t="shared" si="37"/>
        <v>0</v>
      </c>
      <c r="Q84" s="14"/>
      <c r="R84" s="44"/>
    </row>
    <row r="85" spans="1:18" hidden="1">
      <c r="A85" s="14"/>
      <c r="B85" s="112">
        <f>'Description Sheet'!B84</f>
        <v>7.16</v>
      </c>
      <c r="C85" s="152" t="str">
        <f>'Description Sheet'!C84</f>
        <v>Cleaning of Cladding Panels</v>
      </c>
      <c r="D85" s="107"/>
      <c r="E85" s="153" t="str">
        <f>IF('Maintenance Schedule'!L102="x","x","")</f>
        <v/>
      </c>
      <c r="F85" s="153" t="str">
        <f t="shared" si="32"/>
        <v/>
      </c>
      <c r="G85" s="154">
        <f t="shared" si="35"/>
        <v>0</v>
      </c>
      <c r="H85" s="155">
        <f t="shared" si="33"/>
        <v>0</v>
      </c>
      <c r="I85" s="156">
        <f t="shared" si="36"/>
        <v>0</v>
      </c>
      <c r="J85" s="14"/>
      <c r="K85" s="15"/>
      <c r="L85" s="32"/>
      <c r="M85" s="67" t="str">
        <f>'Description Sheet'!K84</f>
        <v>m2</v>
      </c>
      <c r="N85" s="67">
        <f>'Description Sheet'!L84</f>
        <v>0</v>
      </c>
      <c r="O85" s="73">
        <f>'Year (2023-2024)'!O85*(('Description Sheet'!M4)+1)</f>
        <v>128.49062400000003</v>
      </c>
      <c r="P85" s="68">
        <f t="shared" si="37"/>
        <v>0</v>
      </c>
      <c r="Q85" s="14"/>
      <c r="R85" s="44"/>
    </row>
    <row r="86" spans="1:18" hidden="1">
      <c r="A86" s="14"/>
      <c r="B86" s="112">
        <f>'Description Sheet'!B85</f>
        <v>7.17</v>
      </c>
      <c r="C86" s="152" t="str">
        <f>'Description Sheet'!C85</f>
        <v>Painting of Facais and Barge Boarding</v>
      </c>
      <c r="D86" s="107"/>
      <c r="E86" s="153" t="str">
        <f>IF('Maintenance Schedule'!L103="x","x","")</f>
        <v/>
      </c>
      <c r="F86" s="153" t="str">
        <f t="shared" si="32"/>
        <v/>
      </c>
      <c r="G86" s="154">
        <f t="shared" si="35"/>
        <v>0</v>
      </c>
      <c r="H86" s="155">
        <f t="shared" si="33"/>
        <v>0</v>
      </c>
      <c r="I86" s="156">
        <f t="shared" si="36"/>
        <v>0</v>
      </c>
      <c r="J86" s="14"/>
      <c r="K86" s="15"/>
      <c r="L86" s="32"/>
      <c r="M86" s="67" t="str">
        <f>'Description Sheet'!K85</f>
        <v>m2</v>
      </c>
      <c r="N86" s="67">
        <f>'Description Sheet'!L85</f>
        <v>0</v>
      </c>
      <c r="O86" s="73">
        <f>'Year (2023-2024)'!O86*(('Description Sheet'!M4)+1)</f>
        <v>170.06112000000005</v>
      </c>
      <c r="P86" s="68">
        <f t="shared" si="37"/>
        <v>0</v>
      </c>
      <c r="Q86" s="14"/>
      <c r="R86" s="44"/>
    </row>
    <row r="87" spans="1:18" hidden="1">
      <c r="A87" s="14"/>
      <c r="B87" s="112">
        <f>'Description Sheet'!B86</f>
        <v>7.18</v>
      </c>
      <c r="C87" s="152" t="str">
        <f>'Description Sheet'!C86</f>
        <v>Painting External Wooden Soffits</v>
      </c>
      <c r="D87" s="107"/>
      <c r="E87" s="153" t="str">
        <f>IF('Maintenance Schedule'!L104="x","x","")</f>
        <v/>
      </c>
      <c r="F87" s="153" t="str">
        <f t="shared" si="32"/>
        <v/>
      </c>
      <c r="G87" s="154">
        <f t="shared" si="35"/>
        <v>0</v>
      </c>
      <c r="H87" s="155">
        <f t="shared" si="33"/>
        <v>0</v>
      </c>
      <c r="I87" s="156">
        <f t="shared" si="36"/>
        <v>0</v>
      </c>
      <c r="J87" s="14"/>
      <c r="K87" s="15"/>
      <c r="L87" s="32"/>
      <c r="M87" s="67" t="str">
        <f>'Description Sheet'!K86</f>
        <v>m2</v>
      </c>
      <c r="N87" s="67">
        <f>'Description Sheet'!L86</f>
        <v>0</v>
      </c>
      <c r="O87" s="73">
        <f>'Year (2023-2024)'!O87*(('Description Sheet'!M4)+1)</f>
        <v>88.179840000000013</v>
      </c>
      <c r="P87" s="68">
        <f t="shared" si="37"/>
        <v>0</v>
      </c>
      <c r="Q87" s="14"/>
      <c r="R87" s="44"/>
    </row>
    <row r="88" spans="1:18" hidden="1">
      <c r="A88" s="14"/>
      <c r="B88" s="112">
        <f>'Description Sheet'!B87</f>
        <v>7.19</v>
      </c>
      <c r="C88" s="152" t="str">
        <f>'Description Sheet'!C87</f>
        <v>Painting of Palisade Fencing</v>
      </c>
      <c r="D88" s="107"/>
      <c r="E88" s="153" t="str">
        <f>IF('Maintenance Schedule'!L105="x","x","")</f>
        <v/>
      </c>
      <c r="F88" s="153" t="str">
        <f t="shared" si="32"/>
        <v/>
      </c>
      <c r="G88" s="154">
        <f t="shared" si="35"/>
        <v>0</v>
      </c>
      <c r="H88" s="155">
        <f t="shared" si="33"/>
        <v>0</v>
      </c>
      <c r="I88" s="156">
        <f t="shared" si="36"/>
        <v>0</v>
      </c>
      <c r="J88" s="14"/>
      <c r="K88" s="15"/>
      <c r="L88" s="32"/>
      <c r="M88" s="67" t="str">
        <f>'Description Sheet'!K87</f>
        <v>m2</v>
      </c>
      <c r="N88" s="67">
        <f>'Description Sheet'!L87</f>
        <v>0</v>
      </c>
      <c r="O88" s="73">
        <f>'Year (2023-2024)'!O88*(('Description Sheet'!M4)+1)</f>
        <v>88.179840000000013</v>
      </c>
      <c r="P88" s="68">
        <f t="shared" si="37"/>
        <v>0</v>
      </c>
      <c r="Q88" s="14"/>
      <c r="R88" s="44"/>
    </row>
    <row r="89" spans="1:18" hidden="1">
      <c r="A89" s="14"/>
      <c r="B89" s="112">
        <f>'Description Sheet'!B88</f>
        <v>7.2</v>
      </c>
      <c r="C89" s="152" t="str">
        <f>'Description Sheet'!C88</f>
        <v>blank</v>
      </c>
      <c r="D89" s="107"/>
      <c r="E89" s="153" t="str">
        <f>IF('Maintenance Schedule'!L106="x","x","")</f>
        <v/>
      </c>
      <c r="F89" s="153" t="str">
        <f t="shared" si="32"/>
        <v/>
      </c>
      <c r="G89" s="154">
        <f t="shared" si="35"/>
        <v>0</v>
      </c>
      <c r="H89" s="155">
        <f t="shared" si="33"/>
        <v>0</v>
      </c>
      <c r="I89" s="156">
        <f t="shared" si="36"/>
        <v>0</v>
      </c>
      <c r="J89" s="14"/>
      <c r="K89" s="15"/>
      <c r="L89" s="32"/>
      <c r="M89" s="67" t="str">
        <f>'Description Sheet'!K88</f>
        <v>m3</v>
      </c>
      <c r="N89" s="67">
        <f>'Description Sheet'!L88</f>
        <v>0</v>
      </c>
      <c r="O89" s="73">
        <f>'Year (2023-2024)'!O89*(('Description Sheet'!M4)+1)</f>
        <v>224.22873600000005</v>
      </c>
      <c r="P89" s="68">
        <f t="shared" si="37"/>
        <v>0</v>
      </c>
      <c r="Q89" s="14"/>
      <c r="R89" s="44"/>
    </row>
    <row r="90" spans="1:18" hidden="1">
      <c r="A90" s="14"/>
      <c r="B90" s="112">
        <f>'Description Sheet'!B89</f>
        <v>7.21</v>
      </c>
      <c r="C90" s="152" t="str">
        <f>'Description Sheet'!C89</f>
        <v>blank</v>
      </c>
      <c r="D90" s="107"/>
      <c r="E90" s="153" t="str">
        <f>IF('Maintenance Schedule'!L107="x","x","")</f>
        <v/>
      </c>
      <c r="F90" s="153" t="str">
        <f t="shared" si="32"/>
        <v/>
      </c>
      <c r="G90" s="154">
        <f t="shared" si="35"/>
        <v>0</v>
      </c>
      <c r="H90" s="155">
        <f t="shared" si="33"/>
        <v>0</v>
      </c>
      <c r="I90" s="156">
        <f t="shared" si="36"/>
        <v>0</v>
      </c>
      <c r="J90" s="14"/>
      <c r="K90" s="15"/>
      <c r="L90" s="32"/>
      <c r="M90" s="67" t="str">
        <f>'Description Sheet'!K89</f>
        <v>m3</v>
      </c>
      <c r="N90" s="67">
        <f>'Description Sheet'!L89</f>
        <v>0</v>
      </c>
      <c r="O90" s="73">
        <f>'Year (2023-2024)'!O90*(('Description Sheet'!M4)+1)</f>
        <v>12924.645120000005</v>
      </c>
      <c r="P90" s="68">
        <f t="shared" si="37"/>
        <v>0</v>
      </c>
      <c r="Q90" s="14"/>
      <c r="R90" s="44"/>
    </row>
    <row r="91" spans="1:18" hidden="1">
      <c r="A91" s="14"/>
      <c r="B91" s="112">
        <f>'Description Sheet'!B90</f>
        <v>7.22</v>
      </c>
      <c r="C91" s="152" t="str">
        <f>'Description Sheet'!C90</f>
        <v>blank</v>
      </c>
      <c r="D91" s="107"/>
      <c r="E91" s="153" t="str">
        <f>IF('Maintenance Schedule'!L108="x","x","")</f>
        <v/>
      </c>
      <c r="F91" s="153" t="str">
        <f t="shared" si="32"/>
        <v/>
      </c>
      <c r="G91" s="154">
        <f t="shared" si="35"/>
        <v>0</v>
      </c>
      <c r="H91" s="155">
        <f t="shared" si="33"/>
        <v>0</v>
      </c>
      <c r="I91" s="156">
        <f t="shared" si="36"/>
        <v>0</v>
      </c>
      <c r="J91" s="14"/>
      <c r="K91" s="15"/>
      <c r="L91" s="32"/>
      <c r="M91" s="67" t="str">
        <f>'Description Sheet'!K90</f>
        <v>m3</v>
      </c>
      <c r="N91" s="67">
        <f>'Description Sheet'!L90</f>
        <v>0</v>
      </c>
      <c r="O91" s="73">
        <f>'Year (2023-2024)'!O91*(('Description Sheet'!M4)+1)</f>
        <v>0</v>
      </c>
      <c r="P91" s="68">
        <f t="shared" si="37"/>
        <v>0</v>
      </c>
      <c r="Q91" s="14"/>
      <c r="R91" s="44"/>
    </row>
    <row r="92" spans="1:18" ht="17" hidden="1" thickBot="1">
      <c r="A92" s="14"/>
      <c r="B92" s="109"/>
      <c r="C92" s="152"/>
      <c r="D92" s="107"/>
      <c r="E92" s="153"/>
      <c r="F92" s="153" t="str">
        <f>IF(E92="x",M92,"")</f>
        <v/>
      </c>
      <c r="G92" s="154"/>
      <c r="H92" s="155"/>
      <c r="I92" s="156"/>
      <c r="J92" s="14"/>
      <c r="K92" s="15"/>
      <c r="L92" s="32"/>
      <c r="M92" s="70"/>
      <c r="N92" s="67"/>
      <c r="O92" s="73"/>
      <c r="P92" s="68"/>
      <c r="Q92" s="14"/>
      <c r="R92" s="44"/>
    </row>
    <row r="93" spans="1:18" s="4" customFormat="1" ht="15.75" hidden="1" customHeight="1" thickBot="1">
      <c r="A93" s="14"/>
      <c r="B93" s="109"/>
      <c r="C93" s="115"/>
      <c r="D93" s="107"/>
      <c r="E93" s="163"/>
      <c r="F93" s="528" t="s">
        <v>7</v>
      </c>
      <c r="G93" s="529"/>
      <c r="H93" s="530">
        <f>SUM(I70:I92)</f>
        <v>0</v>
      </c>
      <c r="I93" s="531"/>
      <c r="J93" s="14"/>
      <c r="K93" s="15"/>
      <c r="L93" s="33"/>
      <c r="M93" s="508" t="s">
        <v>7</v>
      </c>
      <c r="N93" s="509"/>
      <c r="O93" s="510">
        <f>SUM(P70:P92)</f>
        <v>2772911.8146816012</v>
      </c>
      <c r="P93" s="511"/>
      <c r="Q93" s="14"/>
      <c r="R93" s="31"/>
    </row>
    <row r="94" spans="1:18" ht="18" hidden="1" thickBot="1">
      <c r="A94" s="14"/>
      <c r="B94" s="179" t="s">
        <v>41</v>
      </c>
      <c r="C94" s="113" t="str">
        <f>'Description Sheet'!C93</f>
        <v xml:space="preserve">Waterproofing </v>
      </c>
      <c r="D94" s="107"/>
      <c r="E94" s="110"/>
      <c r="F94" s="110"/>
      <c r="G94" s="110"/>
      <c r="H94" s="110"/>
      <c r="I94" s="151"/>
      <c r="J94" s="32"/>
      <c r="K94" s="40"/>
      <c r="L94" s="33"/>
      <c r="M94" s="24"/>
      <c r="N94" s="25"/>
      <c r="O94" s="25"/>
      <c r="P94" s="63"/>
      <c r="Q94" s="14"/>
      <c r="R94" s="44"/>
    </row>
    <row r="95" spans="1:18" hidden="1">
      <c r="A95" s="14"/>
      <c r="B95" s="112">
        <f>'Description Sheet'!B94</f>
        <v>7.23</v>
      </c>
      <c r="C95" s="152" t="str">
        <f>'Description Sheet'!C94</f>
        <v>Waterproofing of Walkways</v>
      </c>
      <c r="D95" s="107"/>
      <c r="E95" s="153" t="str">
        <f>IF('Maintenance Schedule'!L115="x","x","")</f>
        <v/>
      </c>
      <c r="F95" s="153" t="str">
        <f t="shared" ref="F95:F102" si="38">IF(E95="x","No","")</f>
        <v/>
      </c>
      <c r="G95" s="154">
        <f>IF(E95="x",1,0)</f>
        <v>0</v>
      </c>
      <c r="H95" s="155">
        <f t="shared" ref="H95" si="39">IF(E95="x",P95,0)</f>
        <v>0</v>
      </c>
      <c r="I95" s="156">
        <f>IF(E95="x",G95*H95,0)</f>
        <v>0</v>
      </c>
      <c r="J95" s="14"/>
      <c r="K95" s="15"/>
      <c r="L95" s="32"/>
      <c r="M95" s="86" t="str">
        <f>'Description Sheet'!K94</f>
        <v>m2</v>
      </c>
      <c r="N95" s="67">
        <f>'Description Sheet'!L94</f>
        <v>1</v>
      </c>
      <c r="O95" s="73">
        <f>'Year (2023-2024)'!O95*(('Description Sheet'!M4)+1)</f>
        <v>203940.69632640004</v>
      </c>
      <c r="P95" s="69">
        <f>N95*O95</f>
        <v>203940.69632640004</v>
      </c>
      <c r="Q95" s="14"/>
      <c r="R95" s="44"/>
    </row>
    <row r="96" spans="1:18" hidden="1">
      <c r="A96" s="14"/>
      <c r="B96" s="112">
        <f>'Description Sheet'!B95</f>
        <v>7.24</v>
      </c>
      <c r="C96" s="152" t="str">
        <f>'Description Sheet'!C95</f>
        <v>Roof Repairs (Phase 2)</v>
      </c>
      <c r="D96" s="107"/>
      <c r="E96" s="153" t="str">
        <f>IF('Maintenance Schedule'!L116="x","x","")</f>
        <v/>
      </c>
      <c r="F96" s="153" t="str">
        <f t="shared" si="38"/>
        <v/>
      </c>
      <c r="G96" s="154">
        <f t="shared" ref="G96:G102" si="40">IF(E96="x",1,0)</f>
        <v>0</v>
      </c>
      <c r="H96" s="155">
        <f>IF(E96="x",P96,0)</f>
        <v>0</v>
      </c>
      <c r="I96" s="156">
        <f>IF(E96="x",G96*H96,0)</f>
        <v>0</v>
      </c>
      <c r="J96" s="14"/>
      <c r="K96" s="15"/>
      <c r="L96" s="32"/>
      <c r="M96" s="86" t="str">
        <f>'Description Sheet'!K95</f>
        <v>m2</v>
      </c>
      <c r="N96" s="67">
        <f>'Description Sheet'!L95</f>
        <v>1</v>
      </c>
      <c r="O96" s="73">
        <f>'Year (2023-2024)'!O96*(('Description Sheet'!M4)+1)</f>
        <v>629856</v>
      </c>
      <c r="P96" s="69">
        <f>N96*O96</f>
        <v>629856</v>
      </c>
      <c r="Q96" s="14"/>
      <c r="R96" s="44"/>
    </row>
    <row r="97" spans="1:18" hidden="1">
      <c r="A97" s="14"/>
      <c r="B97" s="112">
        <f>'Description Sheet'!B96</f>
        <v>7.25</v>
      </c>
      <c r="C97" s="152" t="str">
        <f>'Description Sheet'!C96</f>
        <v xml:space="preserve">Flat Roof Service </v>
      </c>
      <c r="D97" s="107"/>
      <c r="E97" s="153" t="str">
        <f>IF('Maintenance Schedule'!L117="x","x","")</f>
        <v/>
      </c>
      <c r="F97" s="153" t="str">
        <f t="shared" si="38"/>
        <v/>
      </c>
      <c r="G97" s="154">
        <f t="shared" si="40"/>
        <v>0</v>
      </c>
      <c r="H97" s="155">
        <f>IF(E97="x",P97,0)</f>
        <v>0</v>
      </c>
      <c r="I97" s="156">
        <f>IF(E97="x",G97*H97,0)</f>
        <v>0</v>
      </c>
      <c r="J97" s="14"/>
      <c r="K97" s="15"/>
      <c r="L97" s="32"/>
      <c r="M97" s="86" t="str">
        <f>'Description Sheet'!K96</f>
        <v>m2</v>
      </c>
      <c r="N97" s="67">
        <f>'Description Sheet'!L96</f>
        <v>895</v>
      </c>
      <c r="O97" s="73">
        <f>'Year (2023-2024)'!O97*(('Description Sheet'!M4)+1)</f>
        <v>81.881280000000004</v>
      </c>
      <c r="P97" s="69">
        <f>N97*O97</f>
        <v>73283.745600000009</v>
      </c>
      <c r="Q97" s="14"/>
      <c r="R97" s="44"/>
    </row>
    <row r="98" spans="1:18" hidden="1">
      <c r="A98" s="14"/>
      <c r="B98" s="112">
        <f>'Description Sheet'!B97</f>
        <v>7.26</v>
      </c>
      <c r="C98" s="152" t="str">
        <f>'Description Sheet'!C97</f>
        <v>Flat Roof Replacement</v>
      </c>
      <c r="D98" s="107"/>
      <c r="E98" s="153" t="str">
        <f>IF('Maintenance Schedule'!L118="x","x","")</f>
        <v/>
      </c>
      <c r="F98" s="153" t="str">
        <f t="shared" si="38"/>
        <v/>
      </c>
      <c r="G98" s="154">
        <f t="shared" si="40"/>
        <v>0</v>
      </c>
      <c r="H98" s="155">
        <f>IF(E98="x",P98,0)</f>
        <v>0</v>
      </c>
      <c r="I98" s="156">
        <f>IF(E98="x",G98*H98,0)</f>
        <v>0</v>
      </c>
      <c r="J98" s="14"/>
      <c r="K98" s="15"/>
      <c r="L98" s="32"/>
      <c r="M98" s="86" t="str">
        <f>'Description Sheet'!K97</f>
        <v>m2</v>
      </c>
      <c r="N98" s="67">
        <f>'Description Sheet'!L97</f>
        <v>1</v>
      </c>
      <c r="O98" s="73">
        <f>'Year (2023-2024)'!O98*(('Description Sheet'!M4)+1)</f>
        <v>815218.84166400007</v>
      </c>
      <c r="P98" s="69">
        <f>N98*O98</f>
        <v>815218.84166400007</v>
      </c>
      <c r="Q98" s="14"/>
      <c r="R98" s="44"/>
    </row>
    <row r="99" spans="1:18" hidden="1">
      <c r="A99" s="14"/>
      <c r="B99" s="112">
        <f>'Description Sheet'!B98</f>
        <v>7.27</v>
      </c>
      <c r="C99" s="152" t="str">
        <f>'Description Sheet'!C98</f>
        <v xml:space="preserve">Walkway and Staircases (Cementitious Waterproofing) </v>
      </c>
      <c r="D99" s="107"/>
      <c r="E99" s="153" t="str">
        <f>IF('Maintenance Schedule'!L119="x","x","")</f>
        <v/>
      </c>
      <c r="F99" s="153" t="str">
        <f t="shared" si="38"/>
        <v/>
      </c>
      <c r="G99" s="154">
        <f t="shared" si="40"/>
        <v>0</v>
      </c>
      <c r="H99" s="155">
        <f>IF(E99="x",P99,0)</f>
        <v>0</v>
      </c>
      <c r="I99" s="156">
        <f>IF(E99="x",G99*H99,0)</f>
        <v>0</v>
      </c>
      <c r="J99" s="14"/>
      <c r="K99" s="15"/>
      <c r="L99" s="32"/>
      <c r="M99" s="86" t="str">
        <f>'Description Sheet'!K98</f>
        <v>m2</v>
      </c>
      <c r="N99" s="67">
        <f>'Description Sheet'!L98</f>
        <v>0</v>
      </c>
      <c r="O99" s="73">
        <f>'Year (2023-2024)'!O99*(('Description Sheet'!M4)+1)</f>
        <v>516.48192000000006</v>
      </c>
      <c r="P99" s="69">
        <f>N99*O99</f>
        <v>0</v>
      </c>
      <c r="Q99" s="14"/>
      <c r="R99" s="44"/>
    </row>
    <row r="100" spans="1:18" hidden="1">
      <c r="A100" s="14"/>
      <c r="B100" s="112">
        <f>'Description Sheet'!B99</f>
        <v>7.28</v>
      </c>
      <c r="C100" s="152" t="str">
        <f>'Description Sheet'!C99</f>
        <v>Waterproofing Servicing of Parapets</v>
      </c>
      <c r="D100" s="107"/>
      <c r="E100" s="153" t="str">
        <f>IF('Maintenance Schedule'!L120="x","x","")</f>
        <v/>
      </c>
      <c r="F100" s="153" t="str">
        <f t="shared" si="38"/>
        <v/>
      </c>
      <c r="G100" s="154">
        <f t="shared" si="40"/>
        <v>0</v>
      </c>
      <c r="H100" s="155">
        <f t="shared" ref="H100:H102" si="41">IF(E100="x",P100,0)</f>
        <v>0</v>
      </c>
      <c r="I100" s="156">
        <f t="shared" ref="I100:I102" si="42">IF(E100="x",G100*H100,0)</f>
        <v>0</v>
      </c>
      <c r="J100" s="14"/>
      <c r="K100" s="15"/>
      <c r="L100" s="32"/>
      <c r="M100" s="86" t="str">
        <f>'Description Sheet'!K99</f>
        <v>m2</v>
      </c>
      <c r="N100" s="67">
        <f>'Description Sheet'!L99</f>
        <v>0</v>
      </c>
      <c r="O100" s="73">
        <f>'Year (2023-2024)'!O100*(('Description Sheet'!M4)+1)</f>
        <v>128.49062400000003</v>
      </c>
      <c r="P100" s="69">
        <f t="shared" ref="P100:P102" si="43">N100*O100</f>
        <v>0</v>
      </c>
      <c r="Q100" s="14"/>
      <c r="R100" s="44"/>
    </row>
    <row r="101" spans="1:18" hidden="1">
      <c r="A101" s="14"/>
      <c r="B101" s="112">
        <f>'Description Sheet'!B100</f>
        <v>7.29</v>
      </c>
      <c r="C101" s="152" t="str">
        <f>'Description Sheet'!C100</f>
        <v>blank</v>
      </c>
      <c r="D101" s="107"/>
      <c r="E101" s="153" t="str">
        <f>IF('Maintenance Schedule'!L121="x","x","")</f>
        <v/>
      </c>
      <c r="F101" s="153" t="str">
        <f t="shared" si="38"/>
        <v/>
      </c>
      <c r="G101" s="154">
        <f t="shared" si="40"/>
        <v>0</v>
      </c>
      <c r="H101" s="155">
        <f t="shared" si="41"/>
        <v>0</v>
      </c>
      <c r="I101" s="156">
        <f t="shared" si="42"/>
        <v>0</v>
      </c>
      <c r="J101" s="14"/>
      <c r="K101" s="15"/>
      <c r="L101" s="32"/>
      <c r="M101" s="86" t="str">
        <f>'Description Sheet'!K100</f>
        <v>m2</v>
      </c>
      <c r="N101" s="67">
        <f>'Description Sheet'!L100</f>
        <v>0</v>
      </c>
      <c r="O101" s="73">
        <f>'Year (2023-2024)'!O101*(('Description Sheet'!M4)+1)</f>
        <v>0</v>
      </c>
      <c r="P101" s="69">
        <f t="shared" si="43"/>
        <v>0</v>
      </c>
      <c r="Q101" s="14"/>
      <c r="R101" s="44"/>
    </row>
    <row r="102" spans="1:18" hidden="1">
      <c r="A102" s="14"/>
      <c r="B102" s="112">
        <f>'Description Sheet'!B101</f>
        <v>7.3</v>
      </c>
      <c r="C102" s="152" t="str">
        <f>'Description Sheet'!C101</f>
        <v>blank</v>
      </c>
      <c r="D102" s="107"/>
      <c r="E102" s="153" t="str">
        <f>IF('Maintenance Schedule'!L122="x","x","")</f>
        <v/>
      </c>
      <c r="F102" s="153" t="str">
        <f t="shared" si="38"/>
        <v/>
      </c>
      <c r="G102" s="154">
        <f t="shared" si="40"/>
        <v>0</v>
      </c>
      <c r="H102" s="155">
        <f t="shared" si="41"/>
        <v>0</v>
      </c>
      <c r="I102" s="156">
        <f t="shared" si="42"/>
        <v>0</v>
      </c>
      <c r="J102" s="14"/>
      <c r="K102" s="15"/>
      <c r="L102" s="32"/>
      <c r="M102" s="86" t="str">
        <f>'Description Sheet'!K101</f>
        <v>m2</v>
      </c>
      <c r="N102" s="67">
        <f>'Description Sheet'!L101</f>
        <v>0</v>
      </c>
      <c r="O102" s="73">
        <f>'Year (2023-2024)'!O102*(('Description Sheet'!M4)+1)</f>
        <v>0</v>
      </c>
      <c r="P102" s="69">
        <f t="shared" si="43"/>
        <v>0</v>
      </c>
      <c r="Q102" s="14"/>
      <c r="R102" s="44"/>
    </row>
    <row r="103" spans="1:18" ht="17" hidden="1" thickBot="1">
      <c r="A103" s="14"/>
      <c r="B103" s="109"/>
      <c r="C103" s="152"/>
      <c r="D103" s="107"/>
      <c r="E103" s="153"/>
      <c r="F103" s="154"/>
      <c r="G103" s="154"/>
      <c r="H103" s="155"/>
      <c r="I103" s="156"/>
      <c r="J103" s="14"/>
      <c r="K103" s="15"/>
      <c r="L103" s="32"/>
      <c r="M103" s="70"/>
      <c r="N103" s="67"/>
      <c r="O103" s="68"/>
      <c r="P103" s="69"/>
      <c r="Q103" s="14"/>
      <c r="R103" s="44"/>
    </row>
    <row r="104" spans="1:18" s="4" customFormat="1" ht="15.75" hidden="1" customHeight="1" thickBot="1">
      <c r="A104" s="14"/>
      <c r="B104" s="109"/>
      <c r="C104" s="115"/>
      <c r="D104" s="107"/>
      <c r="E104" s="159"/>
      <c r="F104" s="528" t="s">
        <v>7</v>
      </c>
      <c r="G104" s="529"/>
      <c r="H104" s="530">
        <f>SUM(I95:I102)</f>
        <v>0</v>
      </c>
      <c r="I104" s="531"/>
      <c r="J104" s="14"/>
      <c r="K104" s="15"/>
      <c r="L104" s="33"/>
      <c r="M104" s="508" t="s">
        <v>7</v>
      </c>
      <c r="N104" s="509"/>
      <c r="O104" s="510">
        <f>SUM(P95:P103)</f>
        <v>1722299.2835904001</v>
      </c>
      <c r="P104" s="511"/>
      <c r="Q104" s="14"/>
      <c r="R104" s="31"/>
    </row>
    <row r="105" spans="1:18" ht="17" thickBot="1">
      <c r="A105" s="14"/>
      <c r="B105" s="109">
        <f>'Description Sheet'!B104</f>
        <v>8</v>
      </c>
      <c r="C105" s="113" t="str">
        <f>'Description Sheet'!C104</f>
        <v>Communication and Service Supply Systems</v>
      </c>
      <c r="D105" s="107"/>
      <c r="E105" s="110"/>
      <c r="F105" s="110"/>
      <c r="G105" s="110"/>
      <c r="H105" s="110"/>
      <c r="I105" s="151"/>
      <c r="J105" s="32"/>
      <c r="K105" s="40"/>
      <c r="L105" s="33"/>
      <c r="M105" s="24"/>
      <c r="N105" s="25"/>
      <c r="O105" s="25"/>
      <c r="P105" s="63"/>
      <c r="Q105" s="14"/>
      <c r="R105" s="44"/>
    </row>
    <row r="106" spans="1:18" ht="17" hidden="1">
      <c r="A106" s="14"/>
      <c r="B106" s="109">
        <f>'Description Sheet'!B105</f>
        <v>8.1</v>
      </c>
      <c r="C106" s="164" t="str">
        <f>'Description Sheet'!C105</f>
        <v>Communication Systems (Service &amp; Upgrade Savings)</v>
      </c>
      <c r="D106" s="107"/>
      <c r="E106" s="153" t="str">
        <f>IF('Maintenance Schedule'!L129="x","x","")</f>
        <v/>
      </c>
      <c r="F106" s="153" t="str">
        <f>IF(E106="x","No","")</f>
        <v/>
      </c>
      <c r="G106" s="154">
        <f>IF(E106="x",1,0)</f>
        <v>0</v>
      </c>
      <c r="H106" s="155">
        <f t="shared" ref="H106:H109" si="44">IF(E106="x",P106,0)</f>
        <v>0</v>
      </c>
      <c r="I106" s="156">
        <f>IF(E106="x",G106*H106,0)</f>
        <v>0</v>
      </c>
      <c r="J106" s="14"/>
      <c r="K106" s="15"/>
      <c r="L106" s="32"/>
      <c r="M106" s="67" t="str">
        <f>'Description Sheet'!K105</f>
        <v>No</v>
      </c>
      <c r="N106" s="67">
        <f>'Description Sheet'!L105</f>
        <v>0</v>
      </c>
      <c r="O106" s="73">
        <f>'Year (2023-2024)'!O106*(('Description Sheet'!M4)+1)</f>
        <v>3704.8129920000006</v>
      </c>
      <c r="P106" s="69">
        <f>N106*O106</f>
        <v>0</v>
      </c>
      <c r="Q106" s="14"/>
      <c r="R106" s="44"/>
    </row>
    <row r="107" spans="1:18" ht="17">
      <c r="A107" s="14"/>
      <c r="B107" s="109">
        <f>'Description Sheet'!B106</f>
        <v>8.1999999999999993</v>
      </c>
      <c r="C107" s="164" t="str">
        <f>'Description Sheet'!C106</f>
        <v>Intercom Systems (Replacement Maintenance/Savings)</v>
      </c>
      <c r="D107" s="107"/>
      <c r="E107" s="153" t="str">
        <f>IF('Maintenance Schedule'!L130="x","x","")</f>
        <v>x</v>
      </c>
      <c r="F107" s="153" t="str">
        <f t="shared" ref="F107:F109" si="45">IF(E107="x","No","")</f>
        <v>No</v>
      </c>
      <c r="G107" s="154">
        <f t="shared" ref="G107:G109" si="46">IF(E107="x",1,0)</f>
        <v>1</v>
      </c>
      <c r="H107" s="155">
        <f t="shared" si="44"/>
        <v>5187.4940160000015</v>
      </c>
      <c r="I107" s="156">
        <f t="shared" ref="I107:I109" si="47">IF(E107="x",G107*H107,0)</f>
        <v>5187.4940160000015</v>
      </c>
      <c r="J107" s="14"/>
      <c r="K107" s="15"/>
      <c r="L107" s="32"/>
      <c r="M107" s="67" t="str">
        <f>'Description Sheet'!K106</f>
        <v>No</v>
      </c>
      <c r="N107" s="67">
        <f>'Description Sheet'!L106</f>
        <v>1</v>
      </c>
      <c r="O107" s="73">
        <f>'Year (2023-2024)'!O107*(('Description Sheet'!M4)+1)</f>
        <v>5187.4940160000015</v>
      </c>
      <c r="P107" s="69">
        <f t="shared" ref="P107:P109" si="48">N107*O107</f>
        <v>5187.4940160000015</v>
      </c>
      <c r="Q107" s="14"/>
      <c r="R107" s="44"/>
    </row>
    <row r="108" spans="1:18" ht="17" hidden="1">
      <c r="A108" s="14"/>
      <c r="B108" s="109">
        <f>'Description Sheet'!B107</f>
        <v>8.3000000000000007</v>
      </c>
      <c r="C108" s="164" t="str">
        <f>'Description Sheet'!C107</f>
        <v xml:space="preserve">Intercom System Replacement </v>
      </c>
      <c r="D108" s="107"/>
      <c r="E108" s="153" t="str">
        <f>IF('Maintenance Schedule'!L131="x","x","")</f>
        <v/>
      </c>
      <c r="F108" s="153" t="str">
        <f t="shared" si="45"/>
        <v/>
      </c>
      <c r="G108" s="154">
        <f t="shared" si="46"/>
        <v>0</v>
      </c>
      <c r="H108" s="155">
        <f t="shared" si="44"/>
        <v>0</v>
      </c>
      <c r="I108" s="156">
        <f t="shared" si="47"/>
        <v>0</v>
      </c>
      <c r="J108" s="14"/>
      <c r="K108" s="15"/>
      <c r="L108" s="32"/>
      <c r="M108" s="67" t="str">
        <f>'Description Sheet'!K107</f>
        <v>No</v>
      </c>
      <c r="N108" s="67">
        <f>'Description Sheet'!L107</f>
        <v>1</v>
      </c>
      <c r="O108" s="73">
        <f>'Year (2023-2024)'!O108*(('Description Sheet'!M4)+1)</f>
        <v>52907.90400000001</v>
      </c>
      <c r="P108" s="69">
        <f t="shared" si="48"/>
        <v>52907.90400000001</v>
      </c>
      <c r="Q108" s="14"/>
      <c r="R108" s="44"/>
    </row>
    <row r="109" spans="1:18" ht="17" hidden="1">
      <c r="A109" s="14"/>
      <c r="B109" s="109">
        <f>'Description Sheet'!B108</f>
        <v>8.4</v>
      </c>
      <c r="C109" s="164" t="str">
        <f>'Description Sheet'!C108</f>
        <v>blank</v>
      </c>
      <c r="D109" s="107"/>
      <c r="E109" s="153" t="str">
        <f>IF('Maintenance Schedule'!L132="x","x","")</f>
        <v/>
      </c>
      <c r="F109" s="153" t="str">
        <f t="shared" si="45"/>
        <v/>
      </c>
      <c r="G109" s="154">
        <f t="shared" si="46"/>
        <v>0</v>
      </c>
      <c r="H109" s="155">
        <f t="shared" si="44"/>
        <v>0</v>
      </c>
      <c r="I109" s="156">
        <f t="shared" si="47"/>
        <v>0</v>
      </c>
      <c r="J109" s="14"/>
      <c r="K109" s="15"/>
      <c r="L109" s="32"/>
      <c r="M109" s="67" t="str">
        <f>'Description Sheet'!K108</f>
        <v>No</v>
      </c>
      <c r="N109" s="67">
        <f>'Description Sheet'!L108</f>
        <v>0</v>
      </c>
      <c r="O109" s="73">
        <f>'Year (2023-2024)'!O109*(('Description Sheet'!M4)+1)</f>
        <v>0</v>
      </c>
      <c r="P109" s="69">
        <f t="shared" si="48"/>
        <v>0</v>
      </c>
      <c r="Q109" s="14"/>
      <c r="R109" s="44"/>
    </row>
    <row r="110" spans="1:18" ht="17" thickBot="1">
      <c r="A110" s="14"/>
      <c r="B110" s="109"/>
      <c r="C110" s="164"/>
      <c r="D110" s="107"/>
      <c r="E110" s="162"/>
      <c r="F110" s="154"/>
      <c r="G110" s="154"/>
      <c r="H110" s="155"/>
      <c r="I110" s="155"/>
      <c r="J110" s="14"/>
      <c r="K110" s="15"/>
      <c r="L110" s="32"/>
      <c r="M110" s="67"/>
      <c r="N110" s="67"/>
      <c r="O110" s="73"/>
      <c r="P110" s="68"/>
      <c r="Q110" s="14"/>
      <c r="R110" s="44"/>
    </row>
    <row r="111" spans="1:18" s="4" customFormat="1" ht="15.75" customHeight="1" thickBot="1">
      <c r="A111" s="14"/>
      <c r="B111" s="109"/>
      <c r="C111" s="158"/>
      <c r="D111" s="107"/>
      <c r="E111" s="159"/>
      <c r="F111" s="528" t="s">
        <v>7</v>
      </c>
      <c r="G111" s="529"/>
      <c r="H111" s="530">
        <f>SUM(I106:I110)</f>
        <v>5187.4940160000015</v>
      </c>
      <c r="I111" s="531"/>
      <c r="J111" s="14"/>
      <c r="K111" s="15"/>
      <c r="L111" s="33"/>
      <c r="M111" s="508" t="s">
        <v>7</v>
      </c>
      <c r="N111" s="509"/>
      <c r="O111" s="510">
        <f>SUM(P106:P110)</f>
        <v>58095.398016000014</v>
      </c>
      <c r="P111" s="511"/>
      <c r="Q111" s="14"/>
      <c r="R111" s="31"/>
    </row>
    <row r="112" spans="1:18" ht="17" hidden="1" thickBot="1">
      <c r="A112" s="14"/>
      <c r="B112" s="109">
        <f>'Description Sheet'!B111</f>
        <v>9</v>
      </c>
      <c r="C112" s="113" t="str">
        <f>'Description Sheet'!C111</f>
        <v>Parking Facilities</v>
      </c>
      <c r="D112" s="107"/>
      <c r="E112" s="110"/>
      <c r="F112" s="110"/>
      <c r="G112" s="110"/>
      <c r="H112" s="110"/>
      <c r="I112" s="151"/>
      <c r="J112" s="32"/>
      <c r="K112" s="40"/>
      <c r="L112" s="33"/>
      <c r="M112" s="24"/>
      <c r="N112" s="25"/>
      <c r="O112" s="25"/>
      <c r="P112" s="63"/>
      <c r="Q112" s="14"/>
      <c r="R112" s="44"/>
    </row>
    <row r="113" spans="1:18" ht="17" hidden="1">
      <c r="A113" s="14"/>
      <c r="B113" s="109">
        <f>'Description Sheet'!B112</f>
        <v>9.1</v>
      </c>
      <c r="C113" s="164" t="str">
        <f>'Description Sheet'!C112</f>
        <v>Painting of Demarcation Lines</v>
      </c>
      <c r="D113" s="107"/>
      <c r="E113" s="153" t="str">
        <f>IF('Maintenance Schedule'!L139="x","x","")</f>
        <v/>
      </c>
      <c r="F113" s="153" t="str">
        <f>IF(E113="x","No","")</f>
        <v/>
      </c>
      <c r="G113" s="154">
        <f>IF(E113="x",1,0)</f>
        <v>0</v>
      </c>
      <c r="H113" s="155">
        <f t="shared" ref="H113:H116" si="49">IF(E113="x",P113,0)</f>
        <v>0</v>
      </c>
      <c r="I113" s="156">
        <f>IF(E113="x",G113*H113,0)</f>
        <v>0</v>
      </c>
      <c r="J113" s="14"/>
      <c r="K113" s="15"/>
      <c r="L113" s="32"/>
      <c r="M113" s="67" t="str">
        <f>'Description Sheet'!K112</f>
        <v>lm</v>
      </c>
      <c r="N113" s="67">
        <f>'Description Sheet'!L112</f>
        <v>1</v>
      </c>
      <c r="O113" s="73">
        <f>'Year (2023-2024)'!O113*(('Description Sheet'!M4)+1)</f>
        <v>8188.1280000000015</v>
      </c>
      <c r="P113" s="68">
        <f>N113*O113</f>
        <v>8188.1280000000015</v>
      </c>
      <c r="Q113" s="14"/>
      <c r="R113" s="44"/>
    </row>
    <row r="114" spans="1:18" ht="17" hidden="1">
      <c r="A114" s="14"/>
      <c r="B114" s="109">
        <f>'Description Sheet'!B113</f>
        <v>9.1999999999999993</v>
      </c>
      <c r="C114" s="164" t="str">
        <f>'Description Sheet'!C113</f>
        <v>Shade Port Netting (Replacement and Maintanance)</v>
      </c>
      <c r="D114" s="107"/>
      <c r="E114" s="153" t="str">
        <f>IF('Maintenance Schedule'!L140="x","x","")</f>
        <v/>
      </c>
      <c r="F114" s="153" t="str">
        <f t="shared" ref="F114:F116" si="50">IF(E114="x","No","")</f>
        <v/>
      </c>
      <c r="G114" s="154">
        <f t="shared" ref="G114:G116" si="51">IF(E114="x",1,0)</f>
        <v>0</v>
      </c>
      <c r="H114" s="155">
        <f t="shared" si="49"/>
        <v>0</v>
      </c>
      <c r="I114" s="156">
        <f t="shared" ref="I114:I116" si="52">IF(E114="x",G114*H114,0)</f>
        <v>0</v>
      </c>
      <c r="J114" s="14"/>
      <c r="K114" s="15"/>
      <c r="L114" s="32"/>
      <c r="M114" s="67" t="str">
        <f>'Description Sheet'!K113</f>
        <v>No</v>
      </c>
      <c r="N114" s="67">
        <f>'Description Sheet'!L113</f>
        <v>0</v>
      </c>
      <c r="O114" s="73">
        <f>'Year (2023-2024)'!O114*(('Description Sheet'!M4)+1)</f>
        <v>9634.2773760000018</v>
      </c>
      <c r="P114" s="68">
        <f t="shared" ref="P114:P116" si="53">N114*O114</f>
        <v>0</v>
      </c>
      <c r="Q114" s="14"/>
      <c r="R114" s="44"/>
    </row>
    <row r="115" spans="1:18" ht="17" hidden="1">
      <c r="A115" s="14"/>
      <c r="B115" s="109">
        <f>'Description Sheet'!B114</f>
        <v>9.3000000000000007</v>
      </c>
      <c r="C115" s="164" t="str">
        <f>'Description Sheet'!C114</f>
        <v>Garages (Maintanance)</v>
      </c>
      <c r="D115" s="107"/>
      <c r="E115" s="153" t="str">
        <f>IF('Maintenance Schedule'!L141="x","x","")</f>
        <v/>
      </c>
      <c r="F115" s="153" t="str">
        <f t="shared" si="50"/>
        <v/>
      </c>
      <c r="G115" s="154">
        <f t="shared" si="51"/>
        <v>0</v>
      </c>
      <c r="H115" s="155">
        <f t="shared" si="49"/>
        <v>0</v>
      </c>
      <c r="I115" s="156">
        <f t="shared" si="52"/>
        <v>0</v>
      </c>
      <c r="J115" s="14"/>
      <c r="K115" s="15"/>
      <c r="L115" s="32"/>
      <c r="M115" s="67" t="str">
        <f>'Description Sheet'!K114</f>
        <v>No</v>
      </c>
      <c r="N115" s="67">
        <f>'Description Sheet'!L114</f>
        <v>0</v>
      </c>
      <c r="O115" s="73">
        <f>'Year (2023-2024)'!O115*(('Description Sheet'!M4)+1)</f>
        <v>680.24448000000018</v>
      </c>
      <c r="P115" s="68">
        <f t="shared" si="53"/>
        <v>0</v>
      </c>
      <c r="Q115" s="14"/>
      <c r="R115" s="44"/>
    </row>
    <row r="116" spans="1:18" ht="17" hidden="1">
      <c r="A116" s="14"/>
      <c r="B116" s="109">
        <f>'Description Sheet'!B115</f>
        <v>9.4</v>
      </c>
      <c r="C116" s="164" t="str">
        <f>'Description Sheet'!C115</f>
        <v>Parking Facilities</v>
      </c>
      <c r="D116" s="107"/>
      <c r="E116" s="153" t="str">
        <f>IF('Maintenance Schedule'!L142="x","x","")</f>
        <v/>
      </c>
      <c r="F116" s="153" t="str">
        <f t="shared" si="50"/>
        <v/>
      </c>
      <c r="G116" s="154">
        <f t="shared" si="51"/>
        <v>0</v>
      </c>
      <c r="H116" s="155">
        <f t="shared" si="49"/>
        <v>0</v>
      </c>
      <c r="I116" s="156">
        <f t="shared" si="52"/>
        <v>0</v>
      </c>
      <c r="J116" s="14"/>
      <c r="K116" s="15"/>
      <c r="L116" s="32"/>
      <c r="M116" s="67" t="str">
        <f>'Description Sheet'!K115</f>
        <v>No</v>
      </c>
      <c r="N116" s="67">
        <f>'Description Sheet'!L115</f>
        <v>0</v>
      </c>
      <c r="O116" s="73">
        <f>'Year (2023-2024)'!O116*(('Description Sheet'!M4)+1)</f>
        <v>6122.2003200000008</v>
      </c>
      <c r="P116" s="68">
        <f t="shared" si="53"/>
        <v>0</v>
      </c>
      <c r="Q116" s="14"/>
      <c r="R116" s="44"/>
    </row>
    <row r="117" spans="1:18" ht="17" hidden="1" thickBot="1">
      <c r="A117" s="14"/>
      <c r="B117" s="109"/>
      <c r="C117" s="164"/>
      <c r="D117" s="107"/>
      <c r="E117" s="162"/>
      <c r="F117" s="154"/>
      <c r="G117" s="154"/>
      <c r="H117" s="155"/>
      <c r="I117" s="155"/>
      <c r="J117" s="14"/>
      <c r="K117" s="15"/>
      <c r="L117" s="32"/>
      <c r="M117" s="67"/>
      <c r="N117" s="67"/>
      <c r="O117" s="73"/>
      <c r="P117" s="68"/>
      <c r="Q117" s="14"/>
      <c r="R117" s="44"/>
    </row>
    <row r="118" spans="1:18" s="4" customFormat="1" ht="15.75" hidden="1" customHeight="1" thickBot="1">
      <c r="A118" s="14"/>
      <c r="B118" s="109"/>
      <c r="C118" s="158"/>
      <c r="D118" s="107"/>
      <c r="E118" s="159"/>
      <c r="F118" s="528" t="s">
        <v>7</v>
      </c>
      <c r="G118" s="529"/>
      <c r="H118" s="530">
        <f>SUM(I113:I117)</f>
        <v>0</v>
      </c>
      <c r="I118" s="531"/>
      <c r="J118" s="14"/>
      <c r="K118" s="15"/>
      <c r="L118" s="33"/>
      <c r="M118" s="508" t="s">
        <v>7</v>
      </c>
      <c r="N118" s="509"/>
      <c r="O118" s="510">
        <f>SUM(P113:P117)</f>
        <v>8188.1280000000015</v>
      </c>
      <c r="P118" s="511"/>
      <c r="Q118" s="14"/>
      <c r="R118" s="31"/>
    </row>
    <row r="119" spans="1:18" ht="17" hidden="1" thickBot="1">
      <c r="A119" s="14"/>
      <c r="B119" s="109">
        <f>'Description Sheet'!B118</f>
        <v>10</v>
      </c>
      <c r="C119" s="113" t="str">
        <f>'Description Sheet'!C118</f>
        <v>Roadways and Paved Areas</v>
      </c>
      <c r="D119" s="107"/>
      <c r="E119" s="110"/>
      <c r="F119" s="110"/>
      <c r="G119" s="110"/>
      <c r="H119" s="110"/>
      <c r="I119" s="151"/>
      <c r="J119" s="32"/>
      <c r="K119" s="40"/>
      <c r="L119" s="33"/>
      <c r="M119" s="24"/>
      <c r="N119" s="25"/>
      <c r="O119" s="25"/>
      <c r="P119" s="63"/>
      <c r="Q119" s="14"/>
      <c r="R119" s="44"/>
    </row>
    <row r="120" spans="1:18" ht="17" hidden="1">
      <c r="A120" s="14"/>
      <c r="B120" s="109">
        <f>'Description Sheet'!B119</f>
        <v>10.1</v>
      </c>
      <c r="C120" s="114" t="str">
        <f>'Description Sheet'!C119</f>
        <v>Tarmac Areas (Reinstatement)</v>
      </c>
      <c r="D120" s="107"/>
      <c r="E120" s="153" t="str">
        <f>IF('Maintenance Schedule'!L149="x","x","")</f>
        <v/>
      </c>
      <c r="F120" s="153" t="str">
        <f>IF(E120="x","No","")</f>
        <v/>
      </c>
      <c r="G120" s="154">
        <f>IF(E120="x",1,0)</f>
        <v>0</v>
      </c>
      <c r="H120" s="155">
        <f t="shared" ref="H120" si="54">IF(E120="x",P120,0)</f>
        <v>0</v>
      </c>
      <c r="I120" s="156">
        <f>IF(E120="x",G120*H120,0)</f>
        <v>0</v>
      </c>
      <c r="J120" s="14"/>
      <c r="K120" s="15"/>
      <c r="L120" s="32"/>
      <c r="M120" s="67" t="str">
        <f>'Description Sheet'!K119</f>
        <v>No</v>
      </c>
      <c r="N120" s="67">
        <f>'Description Sheet'!L119</f>
        <v>0</v>
      </c>
      <c r="O120" s="73">
        <f>'Year (2023-2024)'!O120*(('Description Sheet'!M4)+1)</f>
        <v>6122.2003200000008</v>
      </c>
      <c r="P120" s="68">
        <f>N120*O120</f>
        <v>0</v>
      </c>
      <c r="Q120" s="14"/>
      <c r="R120" s="44"/>
    </row>
    <row r="121" spans="1:18" ht="17" hidden="1">
      <c r="A121" s="14"/>
      <c r="B121" s="109">
        <f>'Description Sheet'!B120</f>
        <v>10.199999999999999</v>
      </c>
      <c r="C121" s="114" t="str">
        <f>'Description Sheet'!C120</f>
        <v>Concrete Areas (Reinstatement)</v>
      </c>
      <c r="D121" s="107"/>
      <c r="E121" s="153" t="str">
        <f>IF('Maintenance Schedule'!L150="x","x","")</f>
        <v/>
      </c>
      <c r="F121" s="153" t="str">
        <f t="shared" ref="F121:F126" si="55">IF(E121="x","No","")</f>
        <v/>
      </c>
      <c r="G121" s="154">
        <f t="shared" ref="G121:G126" si="56">IF(E121="x",1,0)</f>
        <v>0</v>
      </c>
      <c r="H121" s="155">
        <f>IF(E121="x",P121,0)</f>
        <v>0</v>
      </c>
      <c r="I121" s="156">
        <f>IF(E121="x",G121*H121,0)</f>
        <v>0</v>
      </c>
      <c r="J121" s="14"/>
      <c r="K121" s="15"/>
      <c r="L121" s="32"/>
      <c r="M121" s="67" t="str">
        <f>'Description Sheet'!K120</f>
        <v>No</v>
      </c>
      <c r="N121" s="67">
        <f>'Description Sheet'!L120</f>
        <v>1</v>
      </c>
      <c r="O121" s="73">
        <f>'Year (2023-2024)'!O121*(('Description Sheet'!M4)+1)</f>
        <v>2964.1023360000008</v>
      </c>
      <c r="P121" s="68">
        <f>N121*O121</f>
        <v>2964.1023360000008</v>
      </c>
      <c r="Q121" s="14"/>
      <c r="R121" s="44"/>
    </row>
    <row r="122" spans="1:18" ht="17" hidden="1">
      <c r="A122" s="14"/>
      <c r="B122" s="109">
        <f>'Description Sheet'!B121</f>
        <v>10.3</v>
      </c>
      <c r="C122" s="114" t="str">
        <f>'Description Sheet'!C121</f>
        <v>Paving  Areas (Reinstatement)</v>
      </c>
      <c r="D122" s="107"/>
      <c r="E122" s="153" t="str">
        <f>IF('Maintenance Schedule'!L151="x","x","")</f>
        <v/>
      </c>
      <c r="F122" s="153" t="str">
        <f t="shared" si="55"/>
        <v/>
      </c>
      <c r="G122" s="154">
        <f t="shared" si="56"/>
        <v>0</v>
      </c>
      <c r="H122" s="155">
        <f>IF(E122="x",P122,0)</f>
        <v>0</v>
      </c>
      <c r="I122" s="156">
        <f>IF(E122="x",G122*H122,0)</f>
        <v>0</v>
      </c>
      <c r="J122" s="14"/>
      <c r="K122" s="15"/>
      <c r="L122" s="32"/>
      <c r="M122" s="67" t="str">
        <f>'Description Sheet'!K121</f>
        <v>No</v>
      </c>
      <c r="N122" s="67">
        <f>'Description Sheet'!L121</f>
        <v>1</v>
      </c>
      <c r="O122" s="73">
        <f>'Year (2023-2024)'!O122*(('Description Sheet'!M4)+1)</f>
        <v>2964.1023360000008</v>
      </c>
      <c r="P122" s="68">
        <f>N122*O122</f>
        <v>2964.1023360000008</v>
      </c>
      <c r="Q122" s="14"/>
      <c r="R122" s="44"/>
    </row>
    <row r="123" spans="1:18" ht="17" hidden="1">
      <c r="A123" s="14"/>
      <c r="B123" s="109">
        <f>'Description Sheet'!B122</f>
        <v>10.4</v>
      </c>
      <c r="C123" s="114" t="str">
        <f>'Description Sheet'!C122</f>
        <v>Reinstatement of Walkways (Grouting and Tiles)</v>
      </c>
      <c r="D123" s="107"/>
      <c r="E123" s="153" t="str">
        <f>IF('Maintenance Schedule'!L152="x","x","")</f>
        <v/>
      </c>
      <c r="F123" s="153" t="str">
        <f t="shared" si="55"/>
        <v/>
      </c>
      <c r="G123" s="154">
        <f t="shared" si="56"/>
        <v>0</v>
      </c>
      <c r="H123" s="155">
        <f>IF(E123="x",P123,0)</f>
        <v>0</v>
      </c>
      <c r="I123" s="156">
        <f>IF(E123="x",G123*H123,0)</f>
        <v>0</v>
      </c>
      <c r="J123" s="14"/>
      <c r="K123" s="15"/>
      <c r="L123" s="32"/>
      <c r="M123" s="67" t="str">
        <f>'Description Sheet'!K122</f>
        <v>No</v>
      </c>
      <c r="N123" s="67">
        <f>'Description Sheet'!L122</f>
        <v>1</v>
      </c>
      <c r="O123" s="73">
        <f>'Year (2023-2024)'!O123*(('Description Sheet'!M4)+1)</f>
        <v>2964.1023360000008</v>
      </c>
      <c r="P123" s="68">
        <f>N123*O123</f>
        <v>2964.1023360000008</v>
      </c>
      <c r="Q123" s="14"/>
      <c r="R123" s="44"/>
    </row>
    <row r="124" spans="1:18" ht="17" hidden="1">
      <c r="A124" s="14"/>
      <c r="B124" s="109">
        <f>'Description Sheet'!B123</f>
        <v>10.5</v>
      </c>
      <c r="C124" s="114" t="str">
        <f>'Description Sheet'!C123</f>
        <v>Tarmac Damaged Areas (Replacement)</v>
      </c>
      <c r="D124" s="107"/>
      <c r="E124" s="153" t="str">
        <f>IF('Maintenance Schedule'!L153="x","x","")</f>
        <v/>
      </c>
      <c r="F124" s="153" t="str">
        <f t="shared" si="55"/>
        <v/>
      </c>
      <c r="G124" s="154">
        <f t="shared" si="56"/>
        <v>0</v>
      </c>
      <c r="H124" s="155">
        <f t="shared" ref="H124:H126" si="57">IF(E124="x",P124,0)</f>
        <v>0</v>
      </c>
      <c r="I124" s="156">
        <f t="shared" ref="I124:I126" si="58">IF(E124="x",G124*H124,0)</f>
        <v>0</v>
      </c>
      <c r="J124" s="14"/>
      <c r="K124" s="15"/>
      <c r="L124" s="32"/>
      <c r="M124" s="67" t="str">
        <f>'Description Sheet'!K123</f>
        <v>No</v>
      </c>
      <c r="N124" s="67">
        <f>'Description Sheet'!L123</f>
        <v>0</v>
      </c>
      <c r="O124" s="73">
        <f>'Year (2023-2024)'!O124*(('Description Sheet'!M4)+1)</f>
        <v>0</v>
      </c>
      <c r="P124" s="68">
        <f t="shared" ref="P124:P126" si="59">N124*O124</f>
        <v>0</v>
      </c>
      <c r="Q124" s="14"/>
      <c r="R124" s="44"/>
    </row>
    <row r="125" spans="1:18" ht="17" hidden="1">
      <c r="A125" s="14"/>
      <c r="B125" s="109">
        <f>'Description Sheet'!B124</f>
        <v>10.6</v>
      </c>
      <c r="C125" s="114" t="str">
        <f>'Description Sheet'!C124</f>
        <v>blank</v>
      </c>
      <c r="D125" s="107"/>
      <c r="E125" s="153" t="str">
        <f>IF('Maintenance Schedule'!L154="x","x","")</f>
        <v/>
      </c>
      <c r="F125" s="153" t="str">
        <f t="shared" si="55"/>
        <v/>
      </c>
      <c r="G125" s="154">
        <f t="shared" si="56"/>
        <v>0</v>
      </c>
      <c r="H125" s="155">
        <f t="shared" si="57"/>
        <v>0</v>
      </c>
      <c r="I125" s="156">
        <f t="shared" si="58"/>
        <v>0</v>
      </c>
      <c r="J125" s="14"/>
      <c r="K125" s="15"/>
      <c r="L125" s="32"/>
      <c r="M125" s="67" t="str">
        <f>'Description Sheet'!K124</f>
        <v>No</v>
      </c>
      <c r="N125" s="67">
        <f>'Description Sheet'!L124</f>
        <v>0</v>
      </c>
      <c r="O125" s="73">
        <f>'Year (2023-2024)'!O125*(('Description Sheet'!M4)+1)</f>
        <v>0</v>
      </c>
      <c r="P125" s="68">
        <f t="shared" si="59"/>
        <v>0</v>
      </c>
      <c r="Q125" s="14"/>
      <c r="R125" s="44"/>
    </row>
    <row r="126" spans="1:18" ht="17" hidden="1">
      <c r="A126" s="14"/>
      <c r="B126" s="109">
        <f>'Description Sheet'!B125</f>
        <v>10.7</v>
      </c>
      <c r="C126" s="114" t="str">
        <f>'Description Sheet'!C125</f>
        <v>blank</v>
      </c>
      <c r="D126" s="107"/>
      <c r="E126" s="153" t="str">
        <f>IF('Maintenance Schedule'!L155="x","x","")</f>
        <v/>
      </c>
      <c r="F126" s="153" t="str">
        <f t="shared" si="55"/>
        <v/>
      </c>
      <c r="G126" s="154">
        <f t="shared" si="56"/>
        <v>0</v>
      </c>
      <c r="H126" s="155">
        <f t="shared" si="57"/>
        <v>0</v>
      </c>
      <c r="I126" s="156">
        <f t="shared" si="58"/>
        <v>0</v>
      </c>
      <c r="J126" s="14"/>
      <c r="K126" s="15"/>
      <c r="L126" s="32"/>
      <c r="M126" s="67" t="str">
        <f>'Description Sheet'!K125</f>
        <v>No</v>
      </c>
      <c r="N126" s="67">
        <f>'Description Sheet'!L125</f>
        <v>0</v>
      </c>
      <c r="O126" s="73">
        <f>'Year (2023-2024)'!O126*(('Description Sheet'!M4)+1)</f>
        <v>0</v>
      </c>
      <c r="P126" s="68">
        <f t="shared" si="59"/>
        <v>0</v>
      </c>
      <c r="Q126" s="14"/>
      <c r="R126" s="44"/>
    </row>
    <row r="127" spans="1:18" ht="17" hidden="1" thickBot="1">
      <c r="A127" s="14"/>
      <c r="B127" s="109"/>
      <c r="C127" s="164"/>
      <c r="D127" s="107"/>
      <c r="E127" s="162"/>
      <c r="F127" s="154"/>
      <c r="G127" s="154"/>
      <c r="H127" s="155"/>
      <c r="I127" s="155"/>
      <c r="J127" s="14"/>
      <c r="K127" s="15"/>
      <c r="L127" s="32"/>
      <c r="M127" s="67"/>
      <c r="N127" s="67"/>
      <c r="O127" s="73"/>
      <c r="P127" s="68"/>
      <c r="Q127" s="14"/>
      <c r="R127" s="44"/>
    </row>
    <row r="128" spans="1:18" s="4" customFormat="1" ht="15.75" hidden="1" customHeight="1" thickBot="1">
      <c r="A128" s="14"/>
      <c r="B128" s="109"/>
      <c r="C128" s="165"/>
      <c r="D128" s="107"/>
      <c r="E128" s="159"/>
      <c r="F128" s="528" t="s">
        <v>7</v>
      </c>
      <c r="G128" s="529"/>
      <c r="H128" s="530">
        <f>SUM(I120:I127)</f>
        <v>0</v>
      </c>
      <c r="I128" s="531"/>
      <c r="J128" s="14"/>
      <c r="K128" s="15"/>
      <c r="L128" s="33"/>
      <c r="M128" s="508" t="s">
        <v>7</v>
      </c>
      <c r="N128" s="509"/>
      <c r="O128" s="510">
        <f>SUM(P120:P127)</f>
        <v>8892.3070080000034</v>
      </c>
      <c r="P128" s="511"/>
      <c r="Q128" s="14"/>
      <c r="R128" s="31"/>
    </row>
    <row r="129" spans="1:23" ht="17" thickBot="1">
      <c r="A129" s="14"/>
      <c r="B129" s="109">
        <f>'Description Sheet'!B128</f>
        <v>11</v>
      </c>
      <c r="C129" s="113" t="str">
        <f>'Description Sheet'!C128</f>
        <v>Security Systems and Facilities</v>
      </c>
      <c r="D129" s="107"/>
      <c r="E129" s="110"/>
      <c r="F129" s="110"/>
      <c r="G129" s="110"/>
      <c r="H129" s="110"/>
      <c r="I129" s="151"/>
      <c r="J129" s="32"/>
      <c r="K129" s="40"/>
      <c r="L129" s="33"/>
      <c r="M129" s="24"/>
      <c r="N129" s="25"/>
      <c r="O129" s="25"/>
      <c r="P129" s="63"/>
      <c r="Q129" s="14"/>
      <c r="R129" s="44"/>
    </row>
    <row r="130" spans="1:23" ht="17">
      <c r="A130" s="14"/>
      <c r="B130" s="109">
        <f>'Description Sheet'!B129</f>
        <v>11.1</v>
      </c>
      <c r="C130" s="164" t="str">
        <f>'Description Sheet'!C129</f>
        <v>Security Equipment (Replacement/Upgrade Savings)</v>
      </c>
      <c r="D130" s="107"/>
      <c r="E130" s="153" t="str">
        <f>IF('Maintenance Schedule'!L162="x","x","")</f>
        <v>x</v>
      </c>
      <c r="F130" s="153" t="str">
        <f>IF(E130="x","No","")</f>
        <v>No</v>
      </c>
      <c r="G130" s="154">
        <f>IF(E130="x",1,0)</f>
        <v>1</v>
      </c>
      <c r="H130" s="155">
        <f t="shared" ref="H130:H133" si="60">IF(E130="x",P130,0)</f>
        <v>8188.1280000000015</v>
      </c>
      <c r="I130" s="156">
        <f>IF(E130="x",G130*H130,0)</f>
        <v>8188.1280000000015</v>
      </c>
      <c r="J130" s="14"/>
      <c r="K130" s="15"/>
      <c r="L130" s="32"/>
      <c r="M130" s="67" t="str">
        <f>'Description Sheet'!K129</f>
        <v>No</v>
      </c>
      <c r="N130" s="67">
        <f>'Description Sheet'!L129</f>
        <v>1</v>
      </c>
      <c r="O130" s="73">
        <f>'Year (2023-2024)'!O130*(('Description Sheet'!M4)+1)</f>
        <v>8188.1280000000015</v>
      </c>
      <c r="P130" s="68">
        <f>N130*O130</f>
        <v>8188.1280000000015</v>
      </c>
      <c r="Q130" s="14"/>
      <c r="R130" s="44"/>
    </row>
    <row r="131" spans="1:23" ht="17" hidden="1">
      <c r="A131" s="14"/>
      <c r="B131" s="109">
        <f>'Description Sheet'!B130</f>
        <v>11.2</v>
      </c>
      <c r="C131" s="164" t="str">
        <f>'Description Sheet'!C130</f>
        <v>CCTV Installation</v>
      </c>
      <c r="D131" s="107"/>
      <c r="E131" s="153" t="str">
        <f>IF('Maintenance Schedule'!L163="x","x","")</f>
        <v/>
      </c>
      <c r="F131" s="153" t="str">
        <f t="shared" ref="F131:F133" si="61">IF(E131="x","No","")</f>
        <v/>
      </c>
      <c r="G131" s="154">
        <f t="shared" ref="G131:G133" si="62">IF(E131="x",1,0)</f>
        <v>0</v>
      </c>
      <c r="H131" s="155">
        <f t="shared" si="60"/>
        <v>0</v>
      </c>
      <c r="I131" s="156">
        <f t="shared" ref="I131:I133" si="63">IF(E131="x",G131*H131,0)</f>
        <v>0</v>
      </c>
      <c r="J131" s="14"/>
      <c r="K131" s="15"/>
      <c r="L131" s="32"/>
      <c r="M131" s="67" t="str">
        <f>'Description Sheet'!K130</f>
        <v>No</v>
      </c>
      <c r="N131" s="67">
        <f>'Description Sheet'!L130</f>
        <v>1</v>
      </c>
      <c r="O131" s="73">
        <f>'Year (2023-2024)'!O131*(('Description Sheet'!M4)+1)</f>
        <v>52907.90400000001</v>
      </c>
      <c r="P131" s="68">
        <f t="shared" ref="P131:P133" si="64">N131*O131</f>
        <v>52907.90400000001</v>
      </c>
      <c r="Q131" s="14"/>
      <c r="R131" s="44"/>
    </row>
    <row r="132" spans="1:23" ht="17" hidden="1">
      <c r="A132" s="14"/>
      <c r="B132" s="109">
        <f>'Description Sheet'!B131</f>
        <v>11.3</v>
      </c>
      <c r="C132" s="164" t="str">
        <f>'Description Sheet'!C131</f>
        <v>blank</v>
      </c>
      <c r="D132" s="107"/>
      <c r="E132" s="153" t="str">
        <f>IF('Maintenance Schedule'!L164="x","x","")</f>
        <v/>
      </c>
      <c r="F132" s="153" t="str">
        <f t="shared" si="61"/>
        <v/>
      </c>
      <c r="G132" s="154">
        <f t="shared" si="62"/>
        <v>0</v>
      </c>
      <c r="H132" s="155">
        <f t="shared" si="60"/>
        <v>0</v>
      </c>
      <c r="I132" s="156">
        <f t="shared" si="63"/>
        <v>0</v>
      </c>
      <c r="J132" s="14"/>
      <c r="K132" s="15"/>
      <c r="L132" s="32"/>
      <c r="M132" s="67" t="str">
        <f>'Description Sheet'!K131</f>
        <v>No</v>
      </c>
      <c r="N132" s="67">
        <f>'Description Sheet'!L131</f>
        <v>0</v>
      </c>
      <c r="O132" s="73">
        <f>'Year (2023-2024)'!O132*(('Description Sheet'!M4)+1)</f>
        <v>0</v>
      </c>
      <c r="P132" s="68">
        <f t="shared" si="64"/>
        <v>0</v>
      </c>
      <c r="Q132" s="14"/>
      <c r="R132" s="44"/>
    </row>
    <row r="133" spans="1:23" ht="17" hidden="1">
      <c r="A133" s="14"/>
      <c r="B133" s="109">
        <f>'Description Sheet'!B132</f>
        <v>11.4</v>
      </c>
      <c r="C133" s="164" t="str">
        <f>'Description Sheet'!C132</f>
        <v>blank</v>
      </c>
      <c r="D133" s="107"/>
      <c r="E133" s="153" t="str">
        <f>IF('Maintenance Schedule'!L165="x","x","")</f>
        <v/>
      </c>
      <c r="F133" s="153" t="str">
        <f t="shared" si="61"/>
        <v/>
      </c>
      <c r="G133" s="154">
        <f t="shared" si="62"/>
        <v>0</v>
      </c>
      <c r="H133" s="155">
        <f t="shared" si="60"/>
        <v>0</v>
      </c>
      <c r="I133" s="156">
        <f t="shared" si="63"/>
        <v>0</v>
      </c>
      <c r="J133" s="14"/>
      <c r="K133" s="15"/>
      <c r="L133" s="32"/>
      <c r="M133" s="67" t="str">
        <f>'Description Sheet'!K132</f>
        <v>No</v>
      </c>
      <c r="N133" s="67">
        <f>'Description Sheet'!L132</f>
        <v>0</v>
      </c>
      <c r="O133" s="73">
        <f>'Year (2023-2024)'!O133*(('Description Sheet'!M4)+1)</f>
        <v>0</v>
      </c>
      <c r="P133" s="68">
        <f t="shared" si="64"/>
        <v>0</v>
      </c>
      <c r="Q133" s="14"/>
      <c r="R133" s="44"/>
    </row>
    <row r="134" spans="1:23" ht="17" thickBot="1">
      <c r="A134" s="14"/>
      <c r="B134" s="109"/>
      <c r="C134" s="164"/>
      <c r="D134" s="107"/>
      <c r="E134" s="162"/>
      <c r="F134" s="154"/>
      <c r="G134" s="154"/>
      <c r="H134" s="155"/>
      <c r="I134" s="155"/>
      <c r="J134" s="14"/>
      <c r="K134" s="15"/>
      <c r="L134" s="32"/>
      <c r="M134" s="67"/>
      <c r="N134" s="67"/>
      <c r="O134" s="73"/>
      <c r="P134" s="68"/>
      <c r="Q134" s="14"/>
      <c r="R134" s="44"/>
    </row>
    <row r="135" spans="1:23" s="4" customFormat="1" ht="15.75" customHeight="1" thickBot="1">
      <c r="A135" s="14"/>
      <c r="B135" s="109"/>
      <c r="C135" s="158"/>
      <c r="D135" s="107"/>
      <c r="E135" s="159"/>
      <c r="F135" s="528" t="s">
        <v>7</v>
      </c>
      <c r="G135" s="529"/>
      <c r="H135" s="530">
        <f>SUM(I130:I134)</f>
        <v>8188.1280000000015</v>
      </c>
      <c r="I135" s="531"/>
      <c r="J135" s="14"/>
      <c r="K135" s="15"/>
      <c r="L135" s="33"/>
      <c r="M135" s="508" t="s">
        <v>7</v>
      </c>
      <c r="N135" s="509"/>
      <c r="O135" s="510">
        <f>SUM(P130:P134)</f>
        <v>61096.032000000014</v>
      </c>
      <c r="P135" s="511"/>
      <c r="Q135" s="14"/>
      <c r="R135" s="31"/>
    </row>
    <row r="136" spans="1:23" ht="17" thickBot="1">
      <c r="A136" s="14"/>
      <c r="B136" s="109">
        <f>'Description Sheet'!B135</f>
        <v>12</v>
      </c>
      <c r="C136" s="113" t="str">
        <f>'Description Sheet'!C135</f>
        <v>Community and Recreational Facilities</v>
      </c>
      <c r="D136" s="107"/>
      <c r="E136" s="110"/>
      <c r="F136" s="110"/>
      <c r="G136" s="110"/>
      <c r="H136" s="110"/>
      <c r="I136" s="151"/>
      <c r="J136" s="32"/>
      <c r="K136" s="40"/>
      <c r="L136" s="33"/>
      <c r="M136" s="24"/>
      <c r="N136" s="25"/>
      <c r="O136" s="25"/>
      <c r="P136" s="63"/>
      <c r="Q136" s="14"/>
      <c r="R136" s="44"/>
    </row>
    <row r="137" spans="1:23">
      <c r="A137" s="14"/>
      <c r="B137" s="109">
        <f>'Description Sheet'!B136</f>
        <v>12.1</v>
      </c>
      <c r="C137" s="111" t="str">
        <f>'Description Sheet'!C136</f>
        <v>Fire Equipment and Signage (Replace)</v>
      </c>
      <c r="D137" s="107"/>
      <c r="E137" s="153" t="str">
        <f>IF('Maintenance Schedule'!L172="x","x","")</f>
        <v>x</v>
      </c>
      <c r="F137" s="153" t="str">
        <f>IF(E137="x","No","")</f>
        <v>No</v>
      </c>
      <c r="G137" s="154">
        <f>IF(E137="x",1,0)</f>
        <v>1</v>
      </c>
      <c r="H137" s="155">
        <f>IF(E137="x",P137,0)</f>
        <v>3779.1360000000004</v>
      </c>
      <c r="I137" s="156">
        <f>IF(E137="x",G137*H137,0)</f>
        <v>3779.1360000000004</v>
      </c>
      <c r="J137" s="14"/>
      <c r="K137" s="15"/>
      <c r="L137" s="32"/>
      <c r="M137" s="67" t="str">
        <f>'Description Sheet'!K136</f>
        <v>No</v>
      </c>
      <c r="N137" s="67">
        <f>'Description Sheet'!L136</f>
        <v>1</v>
      </c>
      <c r="O137" s="73">
        <f>'Year (2023-2024)'!O137*(('Description Sheet'!M4)+1)</f>
        <v>3779.1360000000004</v>
      </c>
      <c r="P137" s="68">
        <f>N137*O137</f>
        <v>3779.1360000000004</v>
      </c>
      <c r="Q137" s="14"/>
      <c r="R137" s="44"/>
      <c r="W137" s="1"/>
    </row>
    <row r="138" spans="1:23" hidden="1">
      <c r="A138" s="14"/>
      <c r="B138" s="109">
        <f>'Description Sheet'!B137</f>
        <v>12.2</v>
      </c>
      <c r="C138" s="111" t="str">
        <f>'Description Sheet'!C137</f>
        <v>Communal Areas (Pool, Gym Areas, ablutions etc Upgrade/Replacment of Fixtures &amp; Equipment)</v>
      </c>
      <c r="D138" s="107"/>
      <c r="E138" s="153" t="str">
        <f>IF('Maintenance Schedule'!L173="x","x","")</f>
        <v/>
      </c>
      <c r="F138" s="153" t="str">
        <f t="shared" ref="F138:F144" si="65">IF(E138="x","No","")</f>
        <v/>
      </c>
      <c r="G138" s="154">
        <f t="shared" ref="G138:G144" si="66">IF(E138="x",1,0)</f>
        <v>0</v>
      </c>
      <c r="H138" s="155">
        <f>IF(E138="x",P138,0)</f>
        <v>0</v>
      </c>
      <c r="I138" s="156">
        <f>IF(E138="x",G138*H138,0)</f>
        <v>0</v>
      </c>
      <c r="J138" s="14"/>
      <c r="K138" s="15"/>
      <c r="L138" s="32"/>
      <c r="M138" s="67" t="str">
        <f>'Description Sheet'!K137</f>
        <v>No</v>
      </c>
      <c r="N138" s="67">
        <f>'Description Sheet'!L137</f>
        <v>0</v>
      </c>
      <c r="O138" s="73">
        <f>'Year (2023-2024)'!O138*(('Description Sheet'!M4)+1)</f>
        <v>9634.2773760000018</v>
      </c>
      <c r="P138" s="68">
        <f>N138*O138</f>
        <v>0</v>
      </c>
      <c r="Q138" s="14"/>
      <c r="R138" s="44"/>
    </row>
    <row r="139" spans="1:23" hidden="1">
      <c r="A139" s="14"/>
      <c r="B139" s="109">
        <f>'Description Sheet'!B138</f>
        <v>12.3</v>
      </c>
      <c r="C139" s="111" t="str">
        <f>'Description Sheet'!C138</f>
        <v>Laundry Room (Maintain/Replace)</v>
      </c>
      <c r="D139" s="107"/>
      <c r="E139" s="153" t="str">
        <f>IF('Maintenance Schedule'!L174="x","x","")</f>
        <v/>
      </c>
      <c r="F139" s="153" t="str">
        <f t="shared" si="65"/>
        <v/>
      </c>
      <c r="G139" s="154">
        <f t="shared" si="66"/>
        <v>0</v>
      </c>
      <c r="H139" s="155">
        <f>IF(E139="x",P139,0)</f>
        <v>0</v>
      </c>
      <c r="I139" s="156">
        <f>IF(E139="x",G139*H139,0)</f>
        <v>0</v>
      </c>
      <c r="J139" s="14"/>
      <c r="K139" s="15"/>
      <c r="L139" s="32"/>
      <c r="M139" s="67" t="str">
        <f>'Description Sheet'!K138</f>
        <v>lm</v>
      </c>
      <c r="N139" s="67">
        <f>'Description Sheet'!L138</f>
        <v>0</v>
      </c>
      <c r="O139" s="73">
        <f>'Year (2023-2024)'!O139*(('Description Sheet'!M4)+1)</f>
        <v>3704.8129920000006</v>
      </c>
      <c r="P139" s="68">
        <f>N139*O139</f>
        <v>0</v>
      </c>
      <c r="Q139" s="14"/>
      <c r="R139" s="44"/>
    </row>
    <row r="140" spans="1:23" hidden="1">
      <c r="A140" s="14"/>
      <c r="B140" s="109">
        <f>'Description Sheet'!B139</f>
        <v>12.4</v>
      </c>
      <c r="C140" s="111" t="str">
        <f>'Description Sheet'!C139</f>
        <v>Bin Room</v>
      </c>
      <c r="D140" s="107"/>
      <c r="E140" s="153" t="str">
        <f>IF('Maintenance Schedule'!L175="x","x","")</f>
        <v/>
      </c>
      <c r="F140" s="153" t="str">
        <f t="shared" si="65"/>
        <v/>
      </c>
      <c r="G140" s="154">
        <f t="shared" si="66"/>
        <v>0</v>
      </c>
      <c r="H140" s="155">
        <f>IF(E140="x",P140,0)</f>
        <v>0</v>
      </c>
      <c r="I140" s="156">
        <f>IF(E140="x",G140*H140,0)</f>
        <v>0</v>
      </c>
      <c r="J140" s="14"/>
      <c r="K140" s="15"/>
      <c r="L140" s="32"/>
      <c r="M140" s="67" t="str">
        <f>'Description Sheet'!K139</f>
        <v>No</v>
      </c>
      <c r="N140" s="67">
        <f>'Description Sheet'!L139</f>
        <v>0</v>
      </c>
      <c r="O140" s="73">
        <f>'Year (2023-2024)'!O140*(('Description Sheet'!M4)+1)</f>
        <v>4761.7113600000002</v>
      </c>
      <c r="P140" s="68">
        <f>N140*O140</f>
        <v>0</v>
      </c>
      <c r="Q140" s="14"/>
      <c r="R140" s="44"/>
    </row>
    <row r="141" spans="1:23" hidden="1">
      <c r="A141" s="14"/>
      <c r="B141" s="109">
        <f>'Description Sheet'!B140</f>
        <v>12.5</v>
      </c>
      <c r="C141" s="111" t="str">
        <f>'Description Sheet'!C140</f>
        <v>Pool Area (Re-Surfacing)</v>
      </c>
      <c r="D141" s="107"/>
      <c r="E141" s="153" t="str">
        <f>IF('Maintenance Schedule'!L176="x","x","")</f>
        <v/>
      </c>
      <c r="F141" s="153" t="str">
        <f t="shared" si="65"/>
        <v/>
      </c>
      <c r="G141" s="154">
        <f t="shared" si="66"/>
        <v>0</v>
      </c>
      <c r="H141" s="155">
        <f>IF(E141="x",P141,0)</f>
        <v>0</v>
      </c>
      <c r="I141" s="156">
        <f>IF(E141="x",G141*H141,0)</f>
        <v>0</v>
      </c>
      <c r="J141" s="14"/>
      <c r="K141" s="15"/>
      <c r="L141" s="32"/>
      <c r="M141" s="67" t="str">
        <f>'Description Sheet'!K140</f>
        <v>No</v>
      </c>
      <c r="N141" s="67">
        <f>'Description Sheet'!L140</f>
        <v>0</v>
      </c>
      <c r="O141" s="73">
        <f>'Year (2023-2024)'!O141*(('Description Sheet'!M4)+1)</f>
        <v>21263.938560000002</v>
      </c>
      <c r="P141" s="68">
        <f>N141*O141</f>
        <v>0</v>
      </c>
      <c r="Q141" s="14"/>
      <c r="R141" s="44"/>
    </row>
    <row r="142" spans="1:23" hidden="1">
      <c r="A142" s="14"/>
      <c r="B142" s="109">
        <f>'Description Sheet'!B141</f>
        <v>12.6</v>
      </c>
      <c r="C142" s="111" t="str">
        <f>'Description Sheet'!C141</f>
        <v>Pool Area (Maintenance/Repairs Savings)</v>
      </c>
      <c r="D142" s="107"/>
      <c r="E142" s="153" t="str">
        <f>IF('Maintenance Schedule'!L177="x","x","")</f>
        <v/>
      </c>
      <c r="F142" s="153" t="str">
        <f t="shared" si="65"/>
        <v/>
      </c>
      <c r="G142" s="154">
        <f t="shared" si="66"/>
        <v>0</v>
      </c>
      <c r="H142" s="155">
        <f t="shared" ref="H142:H144" si="67">IF(E142="x",P142,0)</f>
        <v>0</v>
      </c>
      <c r="I142" s="156">
        <f t="shared" ref="I142:I144" si="68">IF(E142="x",G142*H142,0)</f>
        <v>0</v>
      </c>
      <c r="J142" s="14"/>
      <c r="K142" s="15"/>
      <c r="L142" s="32"/>
      <c r="M142" s="67" t="str">
        <f>'Description Sheet'!K141</f>
        <v>No</v>
      </c>
      <c r="N142" s="67">
        <f>'Description Sheet'!L141</f>
        <v>0</v>
      </c>
      <c r="O142" s="73">
        <f>'Year (2023-2024)'!O142*(('Description Sheet'!M4)+1)</f>
        <v>4635.7401600000012</v>
      </c>
      <c r="P142" s="68">
        <f t="shared" ref="P142:P144" si="69">N142*O142</f>
        <v>0</v>
      </c>
      <c r="Q142" s="14"/>
      <c r="R142" s="44"/>
    </row>
    <row r="143" spans="1:23" hidden="1">
      <c r="A143" s="14"/>
      <c r="B143" s="109">
        <f>'Description Sheet'!B142</f>
        <v>12.7</v>
      </c>
      <c r="C143" s="111" t="str">
        <f>'Description Sheet'!C142</f>
        <v>blank</v>
      </c>
      <c r="D143" s="107"/>
      <c r="E143" s="153" t="str">
        <f>IF('Maintenance Schedule'!L178="x","x","")</f>
        <v/>
      </c>
      <c r="F143" s="153" t="str">
        <f t="shared" si="65"/>
        <v/>
      </c>
      <c r="G143" s="154">
        <f t="shared" si="66"/>
        <v>0</v>
      </c>
      <c r="H143" s="155">
        <f t="shared" si="67"/>
        <v>0</v>
      </c>
      <c r="I143" s="156">
        <f t="shared" si="68"/>
        <v>0</v>
      </c>
      <c r="J143" s="14"/>
      <c r="K143" s="15"/>
      <c r="L143" s="32"/>
      <c r="M143" s="67" t="str">
        <f>'Description Sheet'!K142</f>
        <v>No</v>
      </c>
      <c r="N143" s="67">
        <f>'Description Sheet'!L142</f>
        <v>0</v>
      </c>
      <c r="O143" s="73">
        <f>'Year (2023-2024)'!O143*(('Description Sheet'!M4)+1)</f>
        <v>0</v>
      </c>
      <c r="P143" s="68">
        <f t="shared" si="69"/>
        <v>0</v>
      </c>
      <c r="Q143" s="14"/>
      <c r="R143" s="44"/>
    </row>
    <row r="144" spans="1:23" hidden="1">
      <c r="A144" s="14"/>
      <c r="B144" s="109">
        <f>'Description Sheet'!B143</f>
        <v>12.8</v>
      </c>
      <c r="C144" s="111" t="str">
        <f>'Description Sheet'!C143</f>
        <v>blank</v>
      </c>
      <c r="D144" s="107"/>
      <c r="E144" s="153" t="str">
        <f>IF('Maintenance Schedule'!L179="x","x","")</f>
        <v/>
      </c>
      <c r="F144" s="153" t="str">
        <f t="shared" si="65"/>
        <v/>
      </c>
      <c r="G144" s="154">
        <f t="shared" si="66"/>
        <v>0</v>
      </c>
      <c r="H144" s="155">
        <f t="shared" si="67"/>
        <v>0</v>
      </c>
      <c r="I144" s="156">
        <f t="shared" si="68"/>
        <v>0</v>
      </c>
      <c r="J144" s="14"/>
      <c r="K144" s="15"/>
      <c r="L144" s="32"/>
      <c r="M144" s="67" t="str">
        <f>'Description Sheet'!K143</f>
        <v>No</v>
      </c>
      <c r="N144" s="67">
        <f>'Description Sheet'!L143</f>
        <v>0</v>
      </c>
      <c r="O144" s="73">
        <f>'Year (2023-2024)'!O144*(('Description Sheet'!M4)+1)</f>
        <v>0</v>
      </c>
      <c r="P144" s="68">
        <f t="shared" si="69"/>
        <v>0</v>
      </c>
      <c r="Q144" s="14"/>
      <c r="R144" s="44"/>
    </row>
    <row r="145" spans="1:72" ht="17" thickBot="1">
      <c r="A145" s="14"/>
      <c r="B145" s="105"/>
      <c r="C145" s="111"/>
      <c r="D145" s="107"/>
      <c r="E145" s="153"/>
      <c r="F145" s="153" t="str">
        <f>IF(E145="x",M145,"")</f>
        <v/>
      </c>
      <c r="G145" s="154"/>
      <c r="H145" s="155"/>
      <c r="I145" s="166"/>
      <c r="J145" s="14"/>
      <c r="K145" s="15"/>
      <c r="L145" s="32"/>
      <c r="M145" s="67"/>
      <c r="N145" s="78"/>
      <c r="O145" s="77"/>
      <c r="P145" s="79"/>
      <c r="Q145" s="14"/>
      <c r="R145" s="44"/>
    </row>
    <row r="146" spans="1:72" s="4" customFormat="1" ht="15.75" customHeight="1" thickBot="1">
      <c r="A146" s="14"/>
      <c r="B146" s="105"/>
      <c r="C146" s="115"/>
      <c r="D146" s="107"/>
      <c r="E146" s="163"/>
      <c r="F146" s="528" t="s">
        <v>7</v>
      </c>
      <c r="G146" s="529"/>
      <c r="H146" s="530">
        <f>SUM(I137:I144)</f>
        <v>3779.1360000000004</v>
      </c>
      <c r="I146" s="531"/>
      <c r="J146" s="14"/>
      <c r="K146" s="15"/>
      <c r="L146" s="33"/>
      <c r="M146" s="508" t="s">
        <v>7</v>
      </c>
      <c r="N146" s="509"/>
      <c r="O146" s="510">
        <f>SUM(P137:P144)</f>
        <v>3779.1360000000004</v>
      </c>
      <c r="P146" s="511"/>
      <c r="Q146" s="14"/>
      <c r="R146" s="31"/>
    </row>
    <row r="147" spans="1:72" ht="7.5" customHeight="1" thickBot="1">
      <c r="A147" s="14" t="s">
        <v>57</v>
      </c>
      <c r="B147" s="105"/>
      <c r="C147" s="196"/>
      <c r="D147" s="197"/>
      <c r="E147" s="197"/>
      <c r="F147" s="197"/>
      <c r="G147" s="197"/>
      <c r="H147" s="197"/>
      <c r="I147" s="197"/>
      <c r="J147" s="197"/>
      <c r="K147" s="198"/>
      <c r="L147" s="199"/>
      <c r="M147" s="199"/>
      <c r="N147" s="199"/>
      <c r="O147" s="197"/>
      <c r="P147" s="200"/>
      <c r="Q147" s="14"/>
      <c r="R147" s="44"/>
    </row>
    <row r="148" spans="1:72" ht="17" thickBot="1">
      <c r="A148" s="14" t="s">
        <v>57</v>
      </c>
      <c r="B148" s="116"/>
      <c r="C148" s="167" t="s">
        <v>9</v>
      </c>
      <c r="D148" s="168"/>
      <c r="E148" s="553" t="s">
        <v>7</v>
      </c>
      <c r="F148" s="554"/>
      <c r="G148" s="555"/>
      <c r="H148" s="530">
        <f>H16+H26+H34+H41+H48+H68+H93+H111+H118+H128+H135++H146+H104</f>
        <v>66448.54828800002</v>
      </c>
      <c r="I148" s="531"/>
      <c r="J148" s="14"/>
      <c r="K148" s="35"/>
      <c r="L148" s="34"/>
      <c r="M148" s="87"/>
      <c r="N148" s="87"/>
      <c r="O148" s="87"/>
      <c r="P148" s="88"/>
      <c r="Q148" s="14"/>
      <c r="R148" s="44"/>
    </row>
    <row r="149" spans="1:72" ht="17.25" customHeight="1">
      <c r="A149" s="14"/>
      <c r="B149" s="478" t="str">
        <f>'Description Sheet'!B148</f>
        <v>Please Note: The above figures are estimates only based on our experience, measures taken and current rates.  An 8% escalation has been allowed for per anum .  This pricing includes 15% VAT.  Some rates have furthermore been adjusted to try and accommodate P&amp;G's.  An allowance for THC to undertake an annual inspection in order to update the maintenance plan and budget should be allowed for.</v>
      </c>
      <c r="C149" s="479"/>
      <c r="D149" s="479"/>
      <c r="E149" s="479"/>
      <c r="F149" s="479"/>
      <c r="G149" s="479"/>
      <c r="H149" s="479"/>
      <c r="I149" s="480"/>
      <c r="J149" s="14"/>
      <c r="K149" s="40"/>
      <c r="L149" s="14"/>
      <c r="M149" s="89"/>
      <c r="N149" s="89"/>
      <c r="O149" s="89"/>
      <c r="P149" s="89"/>
      <c r="Q149" s="14"/>
      <c r="R149" s="89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</row>
    <row r="150" spans="1:72">
      <c r="A150" s="14"/>
      <c r="B150" s="534"/>
      <c r="C150" s="535"/>
      <c r="D150" s="535"/>
      <c r="E150" s="535"/>
      <c r="F150" s="535"/>
      <c r="G150" s="535"/>
      <c r="H150" s="535"/>
      <c r="I150" s="536"/>
      <c r="J150" s="14"/>
      <c r="K150" s="40"/>
      <c r="L150" s="14"/>
      <c r="M150" s="89"/>
      <c r="N150" s="89"/>
      <c r="O150" s="89"/>
      <c r="P150" s="89"/>
      <c r="Q150" s="14"/>
      <c r="R150" s="89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</row>
    <row r="151" spans="1:72" ht="25.5" customHeight="1">
      <c r="A151" s="14"/>
      <c r="B151" s="534"/>
      <c r="C151" s="535"/>
      <c r="D151" s="535"/>
      <c r="E151" s="535"/>
      <c r="F151" s="535"/>
      <c r="G151" s="535"/>
      <c r="H151" s="535"/>
      <c r="I151" s="536"/>
      <c r="J151" s="14"/>
      <c r="K151" s="31"/>
      <c r="L151" s="14"/>
      <c r="M151" s="44"/>
      <c r="N151" s="44"/>
      <c r="O151" s="44"/>
      <c r="P151" s="44"/>
      <c r="Q151" s="14"/>
      <c r="R151" s="44"/>
    </row>
    <row r="152" spans="1:72">
      <c r="A152" s="44"/>
      <c r="B152" s="172"/>
      <c r="C152" s="117"/>
      <c r="D152" s="117"/>
      <c r="E152" s="139"/>
      <c r="F152" s="117"/>
      <c r="G152" s="117"/>
      <c r="H152" s="117"/>
      <c r="I152" s="117"/>
      <c r="J152" s="44"/>
      <c r="K152" s="31"/>
      <c r="L152" s="44"/>
      <c r="M152" s="44"/>
      <c r="N152" s="44"/>
      <c r="O152" s="44"/>
      <c r="P152" s="44"/>
      <c r="Q152" s="44"/>
      <c r="R152" s="44"/>
    </row>
  </sheetData>
  <sheetProtection algorithmName="SHA-512" hashValue="CXP2FlQ14tzJjkHAnELKYQ1ori0etMIM6rKwMvRo2KJWbJOMDbLZCbGt4cafy1tW7iZcNf4e7KDXw9GX6JXtHw==" saltValue="jxRi89hrbFNhAyKmxp6Ozw==" spinCount="100000" sheet="1" objects="1" scenarios="1"/>
  <mergeCells count="60">
    <mergeCell ref="F26:G26"/>
    <mergeCell ref="H26:I26"/>
    <mergeCell ref="B2:F3"/>
    <mergeCell ref="B4:I4"/>
    <mergeCell ref="E5:I5"/>
    <mergeCell ref="F16:G16"/>
    <mergeCell ref="H16:I16"/>
    <mergeCell ref="M26:N26"/>
    <mergeCell ref="O26:P26"/>
    <mergeCell ref="M2:P3"/>
    <mergeCell ref="M7:P7"/>
    <mergeCell ref="M16:N16"/>
    <mergeCell ref="O16:P16"/>
    <mergeCell ref="F104:G104"/>
    <mergeCell ref="H104:I104"/>
    <mergeCell ref="M104:N104"/>
    <mergeCell ref="O104:P104"/>
    <mergeCell ref="F93:G93"/>
    <mergeCell ref="H93:I93"/>
    <mergeCell ref="M93:N93"/>
    <mergeCell ref="O93:P93"/>
    <mergeCell ref="F34:G34"/>
    <mergeCell ref="H34:I34"/>
    <mergeCell ref="M34:N34"/>
    <mergeCell ref="O34:P34"/>
    <mergeCell ref="F41:G41"/>
    <mergeCell ref="H41:I41"/>
    <mergeCell ref="M41:N41"/>
    <mergeCell ref="O41:P41"/>
    <mergeCell ref="F48:G48"/>
    <mergeCell ref="H48:I48"/>
    <mergeCell ref="M48:N48"/>
    <mergeCell ref="O48:P48"/>
    <mergeCell ref="F68:G68"/>
    <mergeCell ref="H68:I68"/>
    <mergeCell ref="M68:N68"/>
    <mergeCell ref="O68:P68"/>
    <mergeCell ref="F111:G111"/>
    <mergeCell ref="H111:I111"/>
    <mergeCell ref="M111:N111"/>
    <mergeCell ref="O111:P111"/>
    <mergeCell ref="F118:G118"/>
    <mergeCell ref="H118:I118"/>
    <mergeCell ref="M118:N118"/>
    <mergeCell ref="O118:P118"/>
    <mergeCell ref="M146:N146"/>
    <mergeCell ref="O146:P146"/>
    <mergeCell ref="F128:G128"/>
    <mergeCell ref="H128:I128"/>
    <mergeCell ref="M128:N128"/>
    <mergeCell ref="O128:P128"/>
    <mergeCell ref="F135:G135"/>
    <mergeCell ref="H135:I135"/>
    <mergeCell ref="M135:N135"/>
    <mergeCell ref="O135:P135"/>
    <mergeCell ref="E148:G148"/>
    <mergeCell ref="H148:I148"/>
    <mergeCell ref="B149:I151"/>
    <mergeCell ref="F146:G146"/>
    <mergeCell ref="H146:I146"/>
  </mergeCells>
  <conditionalFormatting sqref="E18:E24 E9:E15">
    <cfRule type="expression" priority="1">
      <formula>$H$9:$H$10&gt;x</formula>
    </cfRule>
    <cfRule type="expression" priority="2">
      <formula>$H$9&lt;x</formula>
    </cfRule>
  </conditionalFormatting>
  <pageMargins left="0.70866141732283472" right="0.70866141732283472" top="0.74803149606299213" bottom="0.74803149606299213" header="0.31496062992125984" footer="0.31496062992125984"/>
  <pageSetup scale="69" orientation="portrait" horizontalDpi="4294967293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pageSetUpPr fitToPage="1"/>
  </sheetPr>
  <dimension ref="A1:BT152"/>
  <sheetViews>
    <sheetView view="pageBreakPreview" zoomScale="70" zoomScaleNormal="70" zoomScaleSheetLayoutView="70" workbookViewId="0">
      <pane xSplit="16" ySplit="6" topLeftCell="Q7" activePane="bottomRight" state="frozen"/>
      <selection pane="topRight"/>
      <selection pane="bottomLeft"/>
      <selection pane="bottomRight" activeCell="E1" sqref="E1:E1048576"/>
    </sheetView>
  </sheetViews>
  <sheetFormatPr baseColWidth="10" defaultColWidth="8.83203125" defaultRowHeight="16"/>
  <cols>
    <col min="1" max="1" width="2.33203125" customWidth="1"/>
    <col min="2" max="2" width="6.5" style="173" hidden="1" customWidth="1"/>
    <col min="3" max="3" width="62.5" style="169" customWidth="1"/>
    <col min="4" max="4" width="1.5" style="169" customWidth="1"/>
    <col min="5" max="5" width="12.83203125" style="170" hidden="1" customWidth="1"/>
    <col min="6" max="6" width="6.5" style="169" customWidth="1"/>
    <col min="7" max="7" width="11.33203125" style="169" customWidth="1"/>
    <col min="8" max="8" width="17.5" style="169" bestFit="1" customWidth="1"/>
    <col min="9" max="9" width="17.5" style="169" customWidth="1"/>
    <col min="10" max="10" width="2.33203125" customWidth="1"/>
    <col min="11" max="11" width="11" style="4" hidden="1" customWidth="1"/>
    <col min="12" max="12" width="20.1640625" hidden="1" customWidth="1"/>
    <col min="13" max="13" width="19.1640625" hidden="1" customWidth="1"/>
    <col min="14" max="14" width="23" hidden="1" customWidth="1"/>
    <col min="15" max="15" width="17.5" hidden="1" customWidth="1"/>
    <col min="16" max="16" width="45.5" hidden="1" customWidth="1"/>
    <col min="17" max="17" width="10" hidden="1" customWidth="1"/>
    <col min="18" max="18" width="9.1640625" customWidth="1"/>
    <col min="19" max="19" width="13.5" bestFit="1" customWidth="1"/>
  </cols>
  <sheetData>
    <row r="1" spans="1:18" ht="17" thickBot="1">
      <c r="A1" s="30"/>
      <c r="B1" s="171"/>
      <c r="C1" s="117"/>
      <c r="D1" s="118"/>
      <c r="E1" s="139"/>
      <c r="F1" s="117"/>
      <c r="G1" s="117"/>
      <c r="H1" s="117"/>
      <c r="I1" s="117"/>
      <c r="J1" s="30"/>
      <c r="K1" s="41"/>
      <c r="L1" s="30"/>
      <c r="M1" s="30"/>
      <c r="N1" s="44"/>
      <c r="O1" s="44"/>
      <c r="P1" s="44"/>
      <c r="Q1" s="30"/>
      <c r="R1" s="44"/>
    </row>
    <row r="2" spans="1:18" ht="15" customHeight="1">
      <c r="A2" s="34"/>
      <c r="B2" s="543" t="str">
        <f>'Maintenance Schedule'!D1</f>
        <v>KNIGHTSBRIDGE - DESK REVIEW MAINTENANCE SCHEDULE (2021)</v>
      </c>
      <c r="C2" s="544"/>
      <c r="D2" s="544"/>
      <c r="E2" s="544"/>
      <c r="F2" s="545"/>
      <c r="G2" s="140"/>
      <c r="H2" s="140"/>
      <c r="I2" s="140"/>
      <c r="J2" s="14"/>
      <c r="K2" s="15"/>
      <c r="L2" s="33"/>
      <c r="M2" s="537" t="s">
        <v>22</v>
      </c>
      <c r="N2" s="538"/>
      <c r="O2" s="538"/>
      <c r="P2" s="539"/>
      <c r="Q2" s="34"/>
      <c r="R2" s="44"/>
    </row>
    <row r="3" spans="1:18" ht="37.5" customHeight="1" thickBot="1">
      <c r="A3" s="38"/>
      <c r="B3" s="546"/>
      <c r="C3" s="547"/>
      <c r="D3" s="547"/>
      <c r="E3" s="547"/>
      <c r="F3" s="548"/>
      <c r="G3" s="141"/>
      <c r="H3" s="141"/>
      <c r="I3" s="141"/>
      <c r="J3" s="14"/>
      <c r="K3" s="15"/>
      <c r="L3" s="33"/>
      <c r="M3" s="540"/>
      <c r="N3" s="541"/>
      <c r="O3" s="541"/>
      <c r="P3" s="542"/>
      <c r="Q3" s="14"/>
      <c r="R3" s="44"/>
    </row>
    <row r="4" spans="1:18" ht="32.25" customHeight="1" thickBot="1">
      <c r="A4" s="14"/>
      <c r="B4" s="460" t="s">
        <v>1</v>
      </c>
      <c r="C4" s="461"/>
      <c r="D4" s="461"/>
      <c r="E4" s="461"/>
      <c r="F4" s="461"/>
      <c r="G4" s="461"/>
      <c r="H4" s="461"/>
      <c r="I4" s="549"/>
      <c r="J4" s="14"/>
      <c r="K4" s="40"/>
      <c r="L4" s="33"/>
      <c r="M4" s="51" t="s">
        <v>26</v>
      </c>
      <c r="N4" s="51"/>
      <c r="O4" s="51"/>
      <c r="P4" s="52"/>
      <c r="Q4" s="14"/>
      <c r="R4" s="44"/>
    </row>
    <row r="5" spans="1:18" ht="19" thickBot="1">
      <c r="A5" s="14"/>
      <c r="B5" s="105"/>
      <c r="C5" s="106" t="str">
        <f>'Maintenance Schedule'!E4</f>
        <v>WORK DUE IN FINANCIAL YEAR</v>
      </c>
      <c r="D5" s="107"/>
      <c r="E5" s="550" t="str">
        <f>'Maintenance Schedule'!N4</f>
        <v>2025/2026</v>
      </c>
      <c r="F5" s="551"/>
      <c r="G5" s="551"/>
      <c r="H5" s="551"/>
      <c r="I5" s="552"/>
      <c r="J5" s="14"/>
      <c r="K5" s="40"/>
      <c r="L5" s="33"/>
      <c r="M5" s="53"/>
      <c r="N5" s="53"/>
      <c r="O5" s="53"/>
      <c r="P5" s="54"/>
      <c r="Q5" s="14"/>
      <c r="R5" s="44"/>
    </row>
    <row r="6" spans="1:18" ht="18" thickBot="1">
      <c r="A6" s="14"/>
      <c r="B6" s="108" t="s">
        <v>19</v>
      </c>
      <c r="C6" s="142" t="s">
        <v>0</v>
      </c>
      <c r="D6" s="107"/>
      <c r="E6" s="143" t="s">
        <v>23</v>
      </c>
      <c r="F6" s="144" t="s">
        <v>2</v>
      </c>
      <c r="G6" s="145" t="s">
        <v>3</v>
      </c>
      <c r="H6" s="144" t="s">
        <v>4</v>
      </c>
      <c r="I6" s="144" t="s">
        <v>5</v>
      </c>
      <c r="J6" s="32"/>
      <c r="K6" s="40"/>
      <c r="L6" s="33"/>
      <c r="M6" s="59" t="s">
        <v>2</v>
      </c>
      <c r="N6" s="59" t="s">
        <v>3</v>
      </c>
      <c r="O6" s="59" t="s">
        <v>4</v>
      </c>
      <c r="P6" s="59" t="s">
        <v>5</v>
      </c>
      <c r="Q6" s="14"/>
      <c r="R6" s="44"/>
    </row>
    <row r="7" spans="1:18" ht="8.25" hidden="1" customHeight="1" thickBot="1">
      <c r="A7" s="14"/>
      <c r="B7" s="109"/>
      <c r="C7" s="146"/>
      <c r="D7" s="147"/>
      <c r="E7" s="148"/>
      <c r="F7" s="148"/>
      <c r="G7" s="148"/>
      <c r="H7" s="148"/>
      <c r="I7" s="149"/>
      <c r="J7" s="60"/>
      <c r="K7" s="84"/>
      <c r="L7" s="60"/>
      <c r="M7" s="505"/>
      <c r="N7" s="506"/>
      <c r="O7" s="506"/>
      <c r="P7" s="507"/>
      <c r="Q7" s="14"/>
      <c r="R7" s="44"/>
    </row>
    <row r="8" spans="1:18" ht="17" thickBot="1">
      <c r="A8" s="14"/>
      <c r="B8" s="108">
        <f>'Description Sheet'!B7</f>
        <v>1</v>
      </c>
      <c r="C8" s="150" t="str">
        <f>'Description Sheet'!C7</f>
        <v>Electrical Areas</v>
      </c>
      <c r="D8" s="107"/>
      <c r="E8" s="110"/>
      <c r="F8" s="110"/>
      <c r="G8" s="110"/>
      <c r="H8" s="110"/>
      <c r="I8" s="151"/>
      <c r="J8" s="32"/>
      <c r="K8" s="40"/>
      <c r="L8" s="33"/>
      <c r="M8" s="24"/>
      <c r="N8" s="25"/>
      <c r="O8" s="25"/>
      <c r="P8" s="63"/>
      <c r="Q8" s="14"/>
      <c r="R8" s="44"/>
    </row>
    <row r="9" spans="1:18">
      <c r="A9" s="14"/>
      <c r="B9" s="109">
        <f>'Description Sheet'!B8</f>
        <v>1.1000000000000001</v>
      </c>
      <c r="C9" s="152" t="str">
        <f>'Description Sheet'!C8</f>
        <v>General Electrics and Lighting (Replacement/Repairs)</v>
      </c>
      <c r="D9" s="107"/>
      <c r="E9" s="153" t="str">
        <f>IF('Maintenance Schedule'!N8="x","x","")</f>
        <v>x</v>
      </c>
      <c r="F9" s="153" t="str">
        <f>IF(E9="x","No","")</f>
        <v>No</v>
      </c>
      <c r="G9" s="154">
        <f>IF(E9="x",1,0)</f>
        <v>1</v>
      </c>
      <c r="H9" s="155">
        <f>IF(E9="x",P9,0)</f>
        <v>6122.2003200000008</v>
      </c>
      <c r="I9" s="156">
        <f>IF(E9="x",G9*H9,0)</f>
        <v>6122.2003200000008</v>
      </c>
      <c r="J9" s="14"/>
      <c r="K9" s="85"/>
      <c r="L9" s="32"/>
      <c r="M9" s="66" t="str">
        <f>'Description Sheet'!K8</f>
        <v>No</v>
      </c>
      <c r="N9" s="67">
        <f>'Description Sheet'!L8</f>
        <v>1</v>
      </c>
      <c r="O9" s="68">
        <f>'Year (2024-2025)'!O9*(('Description Sheet'!M4)+1)</f>
        <v>6122.2003200000008</v>
      </c>
      <c r="P9" s="69">
        <f>N9*O9</f>
        <v>6122.2003200000008</v>
      </c>
      <c r="Q9" s="14"/>
      <c r="R9" s="44"/>
    </row>
    <row r="10" spans="1:18" hidden="1">
      <c r="A10" s="14"/>
      <c r="B10" s="109">
        <f>'Description Sheet'!B9</f>
        <v>1.2</v>
      </c>
      <c r="C10" s="152" t="str">
        <f>'Description Sheet'!C9</f>
        <v>Generators (Maintenance Savings)</v>
      </c>
      <c r="D10" s="107"/>
      <c r="E10" s="153" t="str">
        <f>IF('Maintenance Schedule'!N9="x","x","")</f>
        <v/>
      </c>
      <c r="F10" s="153" t="str">
        <f t="shared" ref="F10:F14" si="0">IF(E10="x","No","")</f>
        <v/>
      </c>
      <c r="G10" s="154">
        <f t="shared" ref="G10:G14" si="1">IF(E10="x",1,0)</f>
        <v>0</v>
      </c>
      <c r="H10" s="155">
        <f>IF(E10="x",P10,0)</f>
        <v>0</v>
      </c>
      <c r="I10" s="156">
        <f>IF(E10="x",G10*H10,0)</f>
        <v>0</v>
      </c>
      <c r="J10" s="14"/>
      <c r="K10" s="85"/>
      <c r="L10" s="32"/>
      <c r="M10" s="66" t="str">
        <f>'Description Sheet'!K9</f>
        <v>No</v>
      </c>
      <c r="N10" s="67">
        <f>'Description Sheet'!L9</f>
        <v>0</v>
      </c>
      <c r="O10" s="68">
        <f>'Year (2024-2025)'!O10*(('Description Sheet'!M4)+1)</f>
        <v>6402.461045760002</v>
      </c>
      <c r="P10" s="69">
        <f>N10*O10</f>
        <v>0</v>
      </c>
      <c r="Q10" s="14"/>
      <c r="R10" s="44"/>
    </row>
    <row r="11" spans="1:18">
      <c r="A11" s="14"/>
      <c r="B11" s="109">
        <f>'Description Sheet'!B10</f>
        <v>1.3</v>
      </c>
      <c r="C11" s="152" t="str">
        <f>'Description Sheet'!C10</f>
        <v>Main Gate &amp; Motor (Replacement Savings)</v>
      </c>
      <c r="D11" s="107"/>
      <c r="E11" s="153" t="str">
        <f>IF('Maintenance Schedule'!N10="x","x","")</f>
        <v>x</v>
      </c>
      <c r="F11" s="153" t="str">
        <f t="shared" si="0"/>
        <v>No</v>
      </c>
      <c r="G11" s="154">
        <f t="shared" si="1"/>
        <v>1</v>
      </c>
      <c r="H11" s="155">
        <f>IF(E11="x",P11,0)</f>
        <v>4001.1980313600011</v>
      </c>
      <c r="I11" s="156">
        <f>IF(E11="x",G11*H11,0)</f>
        <v>4001.1980313600011</v>
      </c>
      <c r="J11" s="14"/>
      <c r="K11" s="85"/>
      <c r="L11" s="32"/>
      <c r="M11" s="66" t="str">
        <f>'Description Sheet'!K10</f>
        <v>No</v>
      </c>
      <c r="N11" s="67">
        <f>'Description Sheet'!L10</f>
        <v>1</v>
      </c>
      <c r="O11" s="68">
        <f>'Year (2024-2025)'!O11*(('Description Sheet'!M4)+1)</f>
        <v>4001.1980313600011</v>
      </c>
      <c r="P11" s="69">
        <f>N11*O11</f>
        <v>4001.1980313600011</v>
      </c>
      <c r="Q11" s="14"/>
      <c r="R11" s="44"/>
    </row>
    <row r="12" spans="1:18" hidden="1">
      <c r="A12" s="14"/>
      <c r="B12" s="109">
        <f>'Description Sheet'!B11</f>
        <v>1.4</v>
      </c>
      <c r="C12" s="152" t="str">
        <f>'Description Sheet'!C11</f>
        <v>Tranformers (Service Interval 3 Years)</v>
      </c>
      <c r="D12" s="107"/>
      <c r="E12" s="153" t="str">
        <f>IF('Maintenance Schedule'!N11="x","x","")</f>
        <v/>
      </c>
      <c r="F12" s="153" t="str">
        <f t="shared" si="0"/>
        <v/>
      </c>
      <c r="G12" s="154">
        <f t="shared" si="1"/>
        <v>0</v>
      </c>
      <c r="H12" s="155">
        <f t="shared" ref="H12:H14" si="2">IF(E12="x",P12,0)</f>
        <v>0</v>
      </c>
      <c r="I12" s="156">
        <f t="shared" ref="I12:I14" si="3">IF(E12="x",G12*H12,0)</f>
        <v>0</v>
      </c>
      <c r="J12" s="14"/>
      <c r="K12" s="85"/>
      <c r="L12" s="32"/>
      <c r="M12" s="66" t="str">
        <f>'Description Sheet'!K11</f>
        <v>No</v>
      </c>
      <c r="N12" s="67">
        <f>'Description Sheet'!L11</f>
        <v>0</v>
      </c>
      <c r="O12" s="68">
        <f>'Year (2024-2025)'!O12*(('Description Sheet'!M4)+1)</f>
        <v>38496.395612160006</v>
      </c>
      <c r="P12" s="69">
        <f t="shared" ref="P12:P14" si="4">N12*O12</f>
        <v>0</v>
      </c>
      <c r="Q12" s="14"/>
      <c r="R12" s="44"/>
    </row>
    <row r="13" spans="1:18" hidden="1">
      <c r="A13" s="14"/>
      <c r="B13" s="109">
        <f>'Description Sheet'!B12</f>
        <v>1.5</v>
      </c>
      <c r="C13" s="152" t="str">
        <f>'Description Sheet'!C12</f>
        <v>blank</v>
      </c>
      <c r="D13" s="107"/>
      <c r="E13" s="153" t="str">
        <f>IF('Maintenance Schedule'!N12="x","x","")</f>
        <v/>
      </c>
      <c r="F13" s="153" t="str">
        <f t="shared" si="0"/>
        <v/>
      </c>
      <c r="G13" s="154">
        <f t="shared" si="1"/>
        <v>0</v>
      </c>
      <c r="H13" s="155">
        <f t="shared" si="2"/>
        <v>0</v>
      </c>
      <c r="I13" s="156">
        <f t="shared" si="3"/>
        <v>0</v>
      </c>
      <c r="J13" s="14"/>
      <c r="K13" s="85"/>
      <c r="L13" s="32"/>
      <c r="M13" s="66" t="str">
        <f>'Description Sheet'!K12</f>
        <v>No</v>
      </c>
      <c r="N13" s="67">
        <f>'Description Sheet'!L12</f>
        <v>0</v>
      </c>
      <c r="O13" s="68">
        <f>'Year (2024-2025)'!O13*(('Description Sheet'!M4)+1)</f>
        <v>0</v>
      </c>
      <c r="P13" s="69">
        <f t="shared" si="4"/>
        <v>0</v>
      </c>
      <c r="Q13" s="14"/>
      <c r="R13" s="44"/>
    </row>
    <row r="14" spans="1:18" hidden="1">
      <c r="A14" s="14"/>
      <c r="B14" s="109">
        <f>'Description Sheet'!B13</f>
        <v>1.6</v>
      </c>
      <c r="C14" s="152" t="str">
        <f>'Description Sheet'!C13</f>
        <v>blank</v>
      </c>
      <c r="D14" s="107"/>
      <c r="E14" s="153" t="str">
        <f>IF('Maintenance Schedule'!N13="x","x","")</f>
        <v/>
      </c>
      <c r="F14" s="153" t="str">
        <f t="shared" si="0"/>
        <v/>
      </c>
      <c r="G14" s="154">
        <f t="shared" si="1"/>
        <v>0</v>
      </c>
      <c r="H14" s="155">
        <f t="shared" si="2"/>
        <v>0</v>
      </c>
      <c r="I14" s="156">
        <f t="shared" si="3"/>
        <v>0</v>
      </c>
      <c r="J14" s="14"/>
      <c r="K14" s="85"/>
      <c r="L14" s="32"/>
      <c r="M14" s="66" t="str">
        <f>'Description Sheet'!K13</f>
        <v>No</v>
      </c>
      <c r="N14" s="67">
        <f>'Description Sheet'!L13</f>
        <v>0</v>
      </c>
      <c r="O14" s="68">
        <f>'Year (2024-2025)'!O14*(('Description Sheet'!M4)+1)</f>
        <v>0</v>
      </c>
      <c r="P14" s="69">
        <f t="shared" si="4"/>
        <v>0</v>
      </c>
      <c r="Q14" s="14"/>
      <c r="R14" s="44"/>
    </row>
    <row r="15" spans="1:18" ht="17" thickBot="1">
      <c r="A15" s="14"/>
      <c r="B15" s="109"/>
      <c r="C15" s="152"/>
      <c r="D15" s="107"/>
      <c r="E15" s="153"/>
      <c r="F15" s="153"/>
      <c r="G15" s="154"/>
      <c r="H15" s="155"/>
      <c r="I15" s="157"/>
      <c r="J15" s="14"/>
      <c r="K15" s="85"/>
      <c r="L15" s="32"/>
      <c r="M15" s="70"/>
      <c r="N15" s="67"/>
      <c r="O15" s="68"/>
      <c r="P15" s="73"/>
      <c r="Q15" s="14"/>
      <c r="R15" s="44"/>
    </row>
    <row r="16" spans="1:18" s="4" customFormat="1" ht="15.75" customHeight="1" thickBot="1">
      <c r="A16" s="14"/>
      <c r="B16" s="109"/>
      <c r="C16" s="158"/>
      <c r="D16" s="107"/>
      <c r="E16" s="159"/>
      <c r="F16" s="528" t="s">
        <v>7</v>
      </c>
      <c r="G16" s="529"/>
      <c r="H16" s="530">
        <f>SUM(I9:I14)</f>
        <v>10123.398351360001</v>
      </c>
      <c r="I16" s="531"/>
      <c r="J16" s="14"/>
      <c r="K16" s="15"/>
      <c r="L16" s="33"/>
      <c r="M16" s="508" t="s">
        <v>7</v>
      </c>
      <c r="N16" s="509"/>
      <c r="O16" s="510">
        <f>SUM(P9:P14)</f>
        <v>10123.398351360001</v>
      </c>
      <c r="P16" s="511"/>
      <c r="Q16" s="14"/>
      <c r="R16" s="31"/>
    </row>
    <row r="17" spans="1:18" ht="17" thickBot="1">
      <c r="A17" s="14"/>
      <c r="B17" s="109">
        <f>'Description Sheet'!B16</f>
        <v>2</v>
      </c>
      <c r="C17" s="113" t="str">
        <f>'Description Sheet'!C16</f>
        <v>External Plumbing Areas</v>
      </c>
      <c r="D17" s="107"/>
      <c r="E17" s="110"/>
      <c r="F17" s="110"/>
      <c r="G17" s="110"/>
      <c r="H17" s="110"/>
      <c r="I17" s="151"/>
      <c r="J17" s="32"/>
      <c r="K17" s="40"/>
      <c r="L17" s="33"/>
      <c r="M17" s="24"/>
      <c r="N17" s="25"/>
      <c r="O17" s="25"/>
      <c r="P17" s="63"/>
      <c r="Q17" s="14"/>
      <c r="R17" s="44"/>
    </row>
    <row r="18" spans="1:18">
      <c r="A18" s="14"/>
      <c r="B18" s="109">
        <f>'Description Sheet'!B17</f>
        <v>2.1</v>
      </c>
      <c r="C18" s="152" t="str">
        <f>'Description Sheet'!C17</f>
        <v>General Plumbing Repairs/Upgrade (Stacks, Valves etc.)</v>
      </c>
      <c r="D18" s="107"/>
      <c r="E18" s="153" t="str">
        <f>IF('Maintenance Schedule'!N20="x","x","")</f>
        <v>x</v>
      </c>
      <c r="F18" s="153" t="str">
        <f>IF(E18="x","No","")</f>
        <v>No</v>
      </c>
      <c r="G18" s="154">
        <f>IF(E18="x",1,0)</f>
        <v>1</v>
      </c>
      <c r="H18" s="155">
        <f t="shared" ref="H18:H24" si="5">IF(E18="x",P18,0)</f>
        <v>34012.224000000009</v>
      </c>
      <c r="I18" s="156">
        <f>IF(E18="x",G18*H18,0)</f>
        <v>34012.224000000009</v>
      </c>
      <c r="J18" s="14"/>
      <c r="K18" s="15"/>
      <c r="L18" s="32"/>
      <c r="M18" s="70" t="str">
        <f>'Description Sheet'!K17</f>
        <v>No</v>
      </c>
      <c r="N18" s="67">
        <f>'Description Sheet'!L17</f>
        <v>1</v>
      </c>
      <c r="O18" s="68">
        <f>'Year (2024-2025)'!O18*(('Description Sheet'!M4)+1)</f>
        <v>34012.224000000009</v>
      </c>
      <c r="P18" s="68">
        <f>N18*O18</f>
        <v>34012.224000000009</v>
      </c>
      <c r="Q18" s="14"/>
      <c r="R18" s="44"/>
    </row>
    <row r="19" spans="1:18" hidden="1">
      <c r="A19" s="14"/>
      <c r="B19" s="109">
        <f>'Description Sheet'!B18</f>
        <v>2.2000000000000002</v>
      </c>
      <c r="C19" s="152" t="str">
        <f>'Description Sheet'!C18</f>
        <v>Rectify Reticalation Connections at Fire Hydrants</v>
      </c>
      <c r="D19" s="107"/>
      <c r="E19" s="153" t="str">
        <f>IF('Maintenance Schedule'!N21="x","x","")</f>
        <v/>
      </c>
      <c r="F19" s="153" t="str">
        <f t="shared" ref="F19:F24" si="6">IF(E19="x","No","")</f>
        <v/>
      </c>
      <c r="G19" s="154">
        <f t="shared" ref="G19:G24" si="7">IF(E19="x",1,0)</f>
        <v>0</v>
      </c>
      <c r="H19" s="155">
        <f t="shared" si="5"/>
        <v>0</v>
      </c>
      <c r="I19" s="156">
        <f>IF(E19="x",G19*H19,0)</f>
        <v>0</v>
      </c>
      <c r="J19" s="14"/>
      <c r="K19" s="15"/>
      <c r="L19" s="32"/>
      <c r="M19" s="70" t="str">
        <f>'Description Sheet'!K18</f>
        <v>No</v>
      </c>
      <c r="N19" s="67">
        <f>'Description Sheet'!L18</f>
        <v>0</v>
      </c>
      <c r="O19" s="68">
        <f>'Year (2024-2025)'!O19*(('Description Sheet'!M4)+1)</f>
        <v>73466.403840000028</v>
      </c>
      <c r="P19" s="68">
        <f>N19*O19</f>
        <v>0</v>
      </c>
      <c r="Q19" s="14"/>
      <c r="R19" s="44"/>
    </row>
    <row r="20" spans="1:18" hidden="1">
      <c r="A20" s="14"/>
      <c r="B20" s="109">
        <f>'Description Sheet'!B19</f>
        <v>2.2999999999999998</v>
      </c>
      <c r="C20" s="152" t="str">
        <f>'Description Sheet'!C19</f>
        <v>Repairs to Storm Water Gullies</v>
      </c>
      <c r="D20" s="107"/>
      <c r="E20" s="153" t="str">
        <f>IF('Maintenance Schedule'!N22="x","x","")</f>
        <v/>
      </c>
      <c r="F20" s="153" t="str">
        <f t="shared" si="6"/>
        <v/>
      </c>
      <c r="G20" s="154">
        <f t="shared" si="7"/>
        <v>0</v>
      </c>
      <c r="H20" s="155">
        <f t="shared" si="5"/>
        <v>0</v>
      </c>
      <c r="I20" s="156">
        <f>IF(E20="x",G20*H20,0)</f>
        <v>0</v>
      </c>
      <c r="J20" s="14"/>
      <c r="K20" s="15"/>
      <c r="L20" s="32"/>
      <c r="M20" s="70" t="str">
        <f>'Description Sheet'!K19</f>
        <v>No</v>
      </c>
      <c r="N20" s="67">
        <f>'Description Sheet'!L19</f>
        <v>0</v>
      </c>
      <c r="O20" s="68">
        <f>'Year (2024-2025)'!O20*(('Description Sheet'!M4)+1)</f>
        <v>6611.976345600001</v>
      </c>
      <c r="P20" s="68">
        <f>N20*O20</f>
        <v>0</v>
      </c>
      <c r="Q20" s="14"/>
      <c r="R20" s="44"/>
    </row>
    <row r="21" spans="1:18" hidden="1">
      <c r="A21" s="14"/>
      <c r="B21" s="109">
        <f>'Description Sheet'!B20</f>
        <v>2.4</v>
      </c>
      <c r="C21" s="152" t="str">
        <f>'Description Sheet'!C20</f>
        <v>Servicing of Full-Bore Piping</v>
      </c>
      <c r="D21" s="107"/>
      <c r="E21" s="153" t="str">
        <f>IF('Maintenance Schedule'!N23="x","x","")</f>
        <v/>
      </c>
      <c r="F21" s="153" t="str">
        <f t="shared" si="6"/>
        <v/>
      </c>
      <c r="G21" s="154">
        <f t="shared" si="7"/>
        <v>0</v>
      </c>
      <c r="H21" s="155">
        <f t="shared" si="5"/>
        <v>0</v>
      </c>
      <c r="I21" s="156">
        <f>IF(E21="x",G21*H21,0)</f>
        <v>0</v>
      </c>
      <c r="J21" s="14"/>
      <c r="K21" s="15"/>
      <c r="L21" s="32"/>
      <c r="M21" s="70" t="str">
        <f>'Description Sheet'!K20</f>
        <v>No</v>
      </c>
      <c r="N21" s="67">
        <f>'Description Sheet'!L20</f>
        <v>1</v>
      </c>
      <c r="O21" s="68">
        <f>'Year (2024-2025)'!O21*(('Description Sheet'!M4)+1)</f>
        <v>6402.461045760002</v>
      </c>
      <c r="P21" s="68">
        <f>O21*N21</f>
        <v>6402.461045760002</v>
      </c>
      <c r="Q21" s="14"/>
      <c r="R21" s="44"/>
    </row>
    <row r="22" spans="1:18" hidden="1">
      <c r="A22" s="14"/>
      <c r="B22" s="109">
        <f>'Description Sheet'!B21</f>
        <v>2.5</v>
      </c>
      <c r="C22" s="152" t="str">
        <f>'Description Sheet'!C21</f>
        <v>Replacing of Cast Iron Stack Pipes with PVC</v>
      </c>
      <c r="D22" s="107"/>
      <c r="E22" s="153" t="str">
        <f>IF('Maintenance Schedule'!N24="x","x","")</f>
        <v/>
      </c>
      <c r="F22" s="153" t="str">
        <f t="shared" si="6"/>
        <v/>
      </c>
      <c r="G22" s="154">
        <f t="shared" si="7"/>
        <v>0</v>
      </c>
      <c r="H22" s="155">
        <f t="shared" si="5"/>
        <v>0</v>
      </c>
      <c r="I22" s="156">
        <f t="shared" ref="I22:I24" si="8">IF(E22="x",G22*H22,0)</f>
        <v>0</v>
      </c>
      <c r="J22" s="14"/>
      <c r="K22" s="15"/>
      <c r="L22" s="33"/>
      <c r="M22" s="70" t="str">
        <f>'Description Sheet'!K21</f>
        <v>lm</v>
      </c>
      <c r="N22" s="67">
        <f>'Description Sheet'!L21</f>
        <v>1</v>
      </c>
      <c r="O22" s="68">
        <f>'Year (2024-2025)'!O22*(('Description Sheet'!M4)+1)</f>
        <v>152075.45594880002</v>
      </c>
      <c r="P22" s="68">
        <f t="shared" ref="P22:P24" si="9">O22*N22</f>
        <v>152075.45594880002</v>
      </c>
      <c r="Q22" s="14"/>
      <c r="R22" s="44"/>
    </row>
    <row r="23" spans="1:18" hidden="1">
      <c r="A23" s="14"/>
      <c r="B23" s="109">
        <f>'Description Sheet'!B22</f>
        <v>2.6</v>
      </c>
      <c r="C23" s="152" t="str">
        <f>'Description Sheet'!C22</f>
        <v>Water Tanks and Pumps (Maintenance/Repairs Savings)</v>
      </c>
      <c r="D23" s="107"/>
      <c r="E23" s="153" t="str">
        <f>IF('Maintenance Schedule'!N25="x","x","")</f>
        <v/>
      </c>
      <c r="F23" s="153" t="str">
        <f t="shared" si="6"/>
        <v/>
      </c>
      <c r="G23" s="154">
        <f t="shared" si="7"/>
        <v>0</v>
      </c>
      <c r="H23" s="155">
        <f t="shared" si="5"/>
        <v>0</v>
      </c>
      <c r="I23" s="156">
        <f t="shared" si="8"/>
        <v>0</v>
      </c>
      <c r="J23" s="14"/>
      <c r="K23" s="15"/>
      <c r="L23" s="33"/>
      <c r="M23" s="70" t="str">
        <f>'Description Sheet'!K22</f>
        <v>No</v>
      </c>
      <c r="N23" s="67">
        <f>'Description Sheet'!L22</f>
        <v>0</v>
      </c>
      <c r="O23" s="68">
        <f>'Year (2024-2025)'!O23*(('Description Sheet'!M4)+1)</f>
        <v>14693.280768000004</v>
      </c>
      <c r="P23" s="68">
        <f t="shared" si="9"/>
        <v>0</v>
      </c>
      <c r="Q23" s="14"/>
      <c r="R23" s="44"/>
    </row>
    <row r="24" spans="1:18" hidden="1">
      <c r="A24" s="14"/>
      <c r="B24" s="109">
        <f>'Description Sheet'!B23</f>
        <v>2.7</v>
      </c>
      <c r="C24" s="152" t="str">
        <f>'Description Sheet'!C23</f>
        <v>Asbestos Water Tanks (Replace)</v>
      </c>
      <c r="D24" s="107"/>
      <c r="E24" s="153" t="str">
        <f>IF('Maintenance Schedule'!N26="x","x","")</f>
        <v/>
      </c>
      <c r="F24" s="153" t="str">
        <f t="shared" si="6"/>
        <v/>
      </c>
      <c r="G24" s="154">
        <f t="shared" si="7"/>
        <v>0</v>
      </c>
      <c r="H24" s="155">
        <f t="shared" si="5"/>
        <v>0</v>
      </c>
      <c r="I24" s="156">
        <f t="shared" si="8"/>
        <v>0</v>
      </c>
      <c r="J24" s="14"/>
      <c r="K24" s="15"/>
      <c r="L24" s="33"/>
      <c r="M24" s="70" t="str">
        <f>'Description Sheet'!K23</f>
        <v>No</v>
      </c>
      <c r="N24" s="67">
        <f>'Description Sheet'!L23</f>
        <v>0</v>
      </c>
      <c r="O24" s="68">
        <f>'Year (2024-2025)'!O24*(('Description Sheet'!M4)+1)</f>
        <v>42213.251450880016</v>
      </c>
      <c r="P24" s="68">
        <f t="shared" si="9"/>
        <v>0</v>
      </c>
      <c r="Q24" s="14"/>
      <c r="R24" s="44"/>
    </row>
    <row r="25" spans="1:18" ht="17" thickBot="1">
      <c r="A25" s="14"/>
      <c r="B25" s="109"/>
      <c r="C25" s="152"/>
      <c r="D25" s="107"/>
      <c r="E25" s="160"/>
      <c r="F25" s="161"/>
      <c r="G25" s="161"/>
      <c r="H25" s="155"/>
      <c r="I25" s="155"/>
      <c r="J25" s="14"/>
      <c r="K25" s="15"/>
      <c r="L25" s="33"/>
      <c r="M25" s="76"/>
      <c r="N25" s="76"/>
      <c r="O25" s="77"/>
      <c r="P25" s="77"/>
      <c r="Q25" s="14"/>
      <c r="R25" s="44"/>
    </row>
    <row r="26" spans="1:18" s="4" customFormat="1" ht="15.75" customHeight="1" thickBot="1">
      <c r="A26" s="14"/>
      <c r="B26" s="109"/>
      <c r="C26" s="152"/>
      <c r="D26" s="107"/>
      <c r="E26" s="159"/>
      <c r="F26" s="532" t="s">
        <v>7</v>
      </c>
      <c r="G26" s="533"/>
      <c r="H26" s="530">
        <f>SUM(I18:I24)</f>
        <v>34012.224000000009</v>
      </c>
      <c r="I26" s="531"/>
      <c r="J26" s="14"/>
      <c r="K26" s="15"/>
      <c r="L26" s="33"/>
      <c r="M26" s="508" t="s">
        <v>7</v>
      </c>
      <c r="N26" s="509"/>
      <c r="O26" s="510">
        <f>SUM(P18:P24)</f>
        <v>192490.14099456003</v>
      </c>
      <c r="P26" s="511"/>
      <c r="Q26" s="14"/>
      <c r="R26" s="31"/>
    </row>
    <row r="27" spans="1:18" ht="17" hidden="1" thickBot="1">
      <c r="A27" s="14"/>
      <c r="B27" s="109">
        <f>'Description Sheet'!B26</f>
        <v>3</v>
      </c>
      <c r="C27" s="113" t="str">
        <f>'Description Sheet'!C26</f>
        <v>Heating and Cooling Systems</v>
      </c>
      <c r="D27" s="107"/>
      <c r="E27" s="110"/>
      <c r="F27" s="110"/>
      <c r="G27" s="110"/>
      <c r="H27" s="110"/>
      <c r="I27" s="151"/>
      <c r="J27" s="32"/>
      <c r="K27" s="40"/>
      <c r="L27" s="33"/>
      <c r="M27" s="24"/>
      <c r="N27" s="25"/>
      <c r="O27" s="25"/>
      <c r="P27" s="63"/>
      <c r="Q27" s="14"/>
      <c r="R27" s="44"/>
    </row>
    <row r="28" spans="1:18" hidden="1">
      <c r="A28" s="14"/>
      <c r="B28" s="109">
        <f>'Description Sheet'!B27</f>
        <v>3.1</v>
      </c>
      <c r="C28" s="152" t="str">
        <f>'Description Sheet'!C27</f>
        <v>Ventilation Shafts (Maintenance &amp; Upgrade Savings)</v>
      </c>
      <c r="D28" s="107"/>
      <c r="E28" s="153" t="str">
        <f>IF('Maintenance Schedule'!N33="x","x","")</f>
        <v/>
      </c>
      <c r="F28" s="153" t="str">
        <f>IF(E28="x","No","")</f>
        <v/>
      </c>
      <c r="G28" s="154">
        <f>IF(E28="x",1,0)</f>
        <v>0</v>
      </c>
      <c r="H28" s="155">
        <f t="shared" ref="H28:H32" si="10">IF(E28="x",P28,0)</f>
        <v>0</v>
      </c>
      <c r="I28" s="156">
        <f>IF(E28="x",G28*H28,0)</f>
        <v>0</v>
      </c>
      <c r="J28" s="14"/>
      <c r="K28" s="15"/>
      <c r="L28" s="32"/>
      <c r="M28" s="70" t="str">
        <f>'Description Sheet'!K27</f>
        <v>No</v>
      </c>
      <c r="N28" s="67">
        <f>'Description Sheet'!L27</f>
        <v>0</v>
      </c>
      <c r="O28" s="68">
        <f>'Year (2024-2025)'!O28*(('Description Sheet'!M4)+1)</f>
        <v>8003.7565516800014</v>
      </c>
      <c r="P28" s="68">
        <f>N28*O28</f>
        <v>0</v>
      </c>
      <c r="Q28" s="14"/>
      <c r="R28" s="44"/>
    </row>
    <row r="29" spans="1:18" hidden="1">
      <c r="A29" s="14"/>
      <c r="B29" s="109">
        <f>'Description Sheet'!B28</f>
        <v>3.2</v>
      </c>
      <c r="C29" s="152" t="str">
        <f>'Description Sheet'!C28</f>
        <v>Air Conditioning Units (Maintenance &amp; Upgrade Savings)</v>
      </c>
      <c r="D29" s="107"/>
      <c r="E29" s="153" t="str">
        <f>IF('Maintenance Schedule'!N34="x","x","")</f>
        <v/>
      </c>
      <c r="F29" s="153" t="str">
        <f>IF(E29="x","No","")</f>
        <v/>
      </c>
      <c r="G29" s="154">
        <f>IF(E29="x",1,0)</f>
        <v>0</v>
      </c>
      <c r="H29" s="155">
        <f t="shared" si="10"/>
        <v>0</v>
      </c>
      <c r="I29" s="156">
        <f>IF(E29="x",G29*H29,0)</f>
        <v>0</v>
      </c>
      <c r="J29" s="14"/>
      <c r="K29" s="15"/>
      <c r="L29" s="32"/>
      <c r="M29" s="70" t="str">
        <f>'Description Sheet'!K28</f>
        <v>No</v>
      </c>
      <c r="N29" s="67">
        <f>'Description Sheet'!L28</f>
        <v>0</v>
      </c>
      <c r="O29" s="73">
        <f>'Year (2024-2025)'!O29*(('Description Sheet'!M4)+1)</f>
        <v>16007.513103360003</v>
      </c>
      <c r="P29" s="68">
        <f>N29*O29</f>
        <v>0</v>
      </c>
      <c r="Q29" s="14"/>
      <c r="R29" s="44"/>
    </row>
    <row r="30" spans="1:18" hidden="1">
      <c r="A30" s="14"/>
      <c r="B30" s="109">
        <f>'Description Sheet'!B29</f>
        <v>3.3</v>
      </c>
      <c r="C30" s="152" t="str">
        <f>'Description Sheet'!C29</f>
        <v>Solar Panels (Maintenance &amp; Upgrade Savings)</v>
      </c>
      <c r="D30" s="107"/>
      <c r="E30" s="153" t="str">
        <f>IF('Maintenance Schedule'!N35="x","x","")</f>
        <v/>
      </c>
      <c r="F30" s="153" t="str">
        <f t="shared" ref="F30:F32" si="11">IF(E30="x","No","")</f>
        <v/>
      </c>
      <c r="G30" s="154">
        <f t="shared" ref="G30:G32" si="12">IF(E30="x",1,0)</f>
        <v>0</v>
      </c>
      <c r="H30" s="155">
        <f t="shared" si="10"/>
        <v>0</v>
      </c>
      <c r="I30" s="156">
        <f t="shared" ref="I30:I32" si="13">IF(E30="x",G30*H30,0)</f>
        <v>0</v>
      </c>
      <c r="J30" s="14"/>
      <c r="K30" s="15"/>
      <c r="L30" s="32"/>
      <c r="M30" s="70" t="str">
        <f>'Description Sheet'!K29</f>
        <v>No</v>
      </c>
      <c r="N30" s="67">
        <f>'Description Sheet'!L29</f>
        <v>0</v>
      </c>
      <c r="O30" s="73">
        <f>'Year (2024-2025)'!O30*(('Description Sheet'!M4)+1)</f>
        <v>8843.1782400000029</v>
      </c>
      <c r="P30" s="68">
        <f t="shared" ref="P30:P32" si="14">N30*O30</f>
        <v>0</v>
      </c>
      <c r="Q30" s="14"/>
      <c r="R30" s="44"/>
    </row>
    <row r="31" spans="1:18" hidden="1">
      <c r="A31" s="14"/>
      <c r="B31" s="109">
        <f>'Description Sheet'!B30</f>
        <v>3.4</v>
      </c>
      <c r="C31" s="152" t="str">
        <f>'Description Sheet'!C30</f>
        <v>blank</v>
      </c>
      <c r="D31" s="107"/>
      <c r="E31" s="153" t="str">
        <f>IF('Maintenance Schedule'!N36="x","x","")</f>
        <v/>
      </c>
      <c r="F31" s="153" t="str">
        <f t="shared" si="11"/>
        <v/>
      </c>
      <c r="G31" s="154">
        <f t="shared" si="12"/>
        <v>0</v>
      </c>
      <c r="H31" s="155">
        <f t="shared" si="10"/>
        <v>0</v>
      </c>
      <c r="I31" s="156">
        <f t="shared" si="13"/>
        <v>0</v>
      </c>
      <c r="J31" s="14"/>
      <c r="K31" s="15"/>
      <c r="L31" s="32"/>
      <c r="M31" s="70" t="str">
        <f>'Description Sheet'!K30</f>
        <v>No</v>
      </c>
      <c r="N31" s="67">
        <f>'Description Sheet'!L30</f>
        <v>0</v>
      </c>
      <c r="O31" s="73">
        <f>'Year (2024-2025)'!O31*(('Description Sheet'!M4)+1)</f>
        <v>0</v>
      </c>
      <c r="P31" s="68">
        <f t="shared" si="14"/>
        <v>0</v>
      </c>
      <c r="Q31" s="14"/>
      <c r="R31" s="44"/>
    </row>
    <row r="32" spans="1:18" hidden="1">
      <c r="A32" s="14"/>
      <c r="B32" s="109">
        <f>'Description Sheet'!B31</f>
        <v>3.5</v>
      </c>
      <c r="C32" s="152" t="str">
        <f>'Description Sheet'!C31</f>
        <v>blank</v>
      </c>
      <c r="D32" s="107"/>
      <c r="E32" s="153" t="str">
        <f>IF('Maintenance Schedule'!N37="x","x","")</f>
        <v/>
      </c>
      <c r="F32" s="153" t="str">
        <f t="shared" si="11"/>
        <v/>
      </c>
      <c r="G32" s="154">
        <f t="shared" si="12"/>
        <v>0</v>
      </c>
      <c r="H32" s="155">
        <f t="shared" si="10"/>
        <v>0</v>
      </c>
      <c r="I32" s="156">
        <f t="shared" si="13"/>
        <v>0</v>
      </c>
      <c r="J32" s="14"/>
      <c r="K32" s="15"/>
      <c r="L32" s="32"/>
      <c r="M32" s="70" t="str">
        <f>'Description Sheet'!K31</f>
        <v>No</v>
      </c>
      <c r="N32" s="67">
        <f>'Description Sheet'!L31</f>
        <v>0</v>
      </c>
      <c r="O32" s="73">
        <f>'Year (2024-2025)'!O32*(('Description Sheet'!M4)+1)</f>
        <v>0</v>
      </c>
      <c r="P32" s="68">
        <f t="shared" si="14"/>
        <v>0</v>
      </c>
      <c r="Q32" s="14"/>
      <c r="R32" s="44"/>
    </row>
    <row r="33" spans="1:18" ht="17" hidden="1" thickBot="1">
      <c r="A33" s="14"/>
      <c r="B33" s="109"/>
      <c r="C33" s="152"/>
      <c r="D33" s="107"/>
      <c r="E33" s="162"/>
      <c r="F33" s="154"/>
      <c r="G33" s="154"/>
      <c r="H33" s="155"/>
      <c r="I33" s="155"/>
      <c r="J33" s="14"/>
      <c r="K33" s="15"/>
      <c r="L33" s="32"/>
      <c r="M33" s="67"/>
      <c r="N33" s="67"/>
      <c r="O33" s="73"/>
      <c r="P33" s="68"/>
      <c r="Q33" s="14"/>
      <c r="R33" s="44"/>
    </row>
    <row r="34" spans="1:18" s="4" customFormat="1" ht="15.75" hidden="1" customHeight="1" thickBot="1">
      <c r="A34" s="14"/>
      <c r="B34" s="109"/>
      <c r="C34" s="152"/>
      <c r="D34" s="107"/>
      <c r="E34" s="159"/>
      <c r="F34" s="528" t="s">
        <v>7</v>
      </c>
      <c r="G34" s="529"/>
      <c r="H34" s="530">
        <f>SUM(I28:I32)</f>
        <v>0</v>
      </c>
      <c r="I34" s="531"/>
      <c r="J34" s="14"/>
      <c r="K34" s="15"/>
      <c r="L34" s="33"/>
      <c r="M34" s="508" t="s">
        <v>7</v>
      </c>
      <c r="N34" s="509"/>
      <c r="O34" s="510">
        <f>SUM(P28:P33)</f>
        <v>0</v>
      </c>
      <c r="P34" s="511"/>
      <c r="Q34" s="14"/>
      <c r="R34" s="31"/>
    </row>
    <row r="35" spans="1:18" ht="17" hidden="1" thickBot="1">
      <c r="A35" s="14"/>
      <c r="B35" s="109">
        <f>'Description Sheet'!B34</f>
        <v>4</v>
      </c>
      <c r="C35" s="113" t="str">
        <f>'Description Sheet'!C34</f>
        <v>Lifts</v>
      </c>
      <c r="D35" s="107"/>
      <c r="E35" s="110"/>
      <c r="F35" s="110"/>
      <c r="G35" s="110"/>
      <c r="H35" s="110"/>
      <c r="I35" s="151"/>
      <c r="J35" s="32"/>
      <c r="K35" s="40"/>
      <c r="L35" s="33"/>
      <c r="M35" s="24"/>
      <c r="N35" s="25"/>
      <c r="O35" s="25"/>
      <c r="P35" s="63"/>
      <c r="Q35" s="14"/>
      <c r="R35" s="44"/>
    </row>
    <row r="36" spans="1:18" hidden="1">
      <c r="A36" s="14"/>
      <c r="B36" s="109">
        <f>'Description Sheet'!B35</f>
        <v>4.0999999999999996</v>
      </c>
      <c r="C36" s="152" t="str">
        <f>'Description Sheet'!C35</f>
        <v>Lift Upgrade Savings</v>
      </c>
      <c r="D36" s="107"/>
      <c r="E36" s="153" t="str">
        <f>IF('Maintenance Schedule'!N44="x","x","")</f>
        <v/>
      </c>
      <c r="F36" s="153" t="str">
        <f>IF(E36="x","No","")</f>
        <v/>
      </c>
      <c r="G36" s="154">
        <f>IF(E36="x",1,0)</f>
        <v>0</v>
      </c>
      <c r="H36" s="155">
        <f t="shared" ref="H36:H39" si="15">IF(E36="x",P36,0)</f>
        <v>0</v>
      </c>
      <c r="I36" s="156">
        <f>IF(E36="x",G36*H36,0)</f>
        <v>0</v>
      </c>
      <c r="J36" s="14"/>
      <c r="K36" s="15"/>
      <c r="L36" s="32"/>
      <c r="M36" s="70" t="str">
        <f>'Description Sheet'!K35</f>
        <v>No</v>
      </c>
      <c r="N36" s="67">
        <f>'Description Sheet'!L35</f>
        <v>1</v>
      </c>
      <c r="O36" s="73">
        <f>'Year (2024-2025)'!O36*(('Description Sheet'!M4)+1)</f>
        <v>120059.06925312003</v>
      </c>
      <c r="P36" s="68">
        <f>N36*O36</f>
        <v>120059.06925312003</v>
      </c>
      <c r="Q36" s="14"/>
      <c r="R36" s="44"/>
    </row>
    <row r="37" spans="1:18" hidden="1">
      <c r="A37" s="14"/>
      <c r="B37" s="109">
        <f>'Description Sheet'!B36</f>
        <v>4.2</v>
      </c>
      <c r="C37" s="152" t="str">
        <f>'Description Sheet'!C36</f>
        <v>Lift Replacement (Only in 12-15 years)</v>
      </c>
      <c r="D37" s="107"/>
      <c r="E37" s="153" t="str">
        <f>IF('Maintenance Schedule'!N45="x","x","")</f>
        <v/>
      </c>
      <c r="F37" s="153" t="str">
        <f t="shared" ref="F37:F39" si="16">IF(E37="x","No","")</f>
        <v/>
      </c>
      <c r="G37" s="154">
        <f t="shared" ref="G37:G39" si="17">IF(E37="x",1,0)</f>
        <v>0</v>
      </c>
      <c r="H37" s="155">
        <f t="shared" si="15"/>
        <v>0</v>
      </c>
      <c r="I37" s="156">
        <f t="shared" ref="I37:I39" si="18">IF(E37="x",G37*H37,0)</f>
        <v>0</v>
      </c>
      <c r="J37" s="14"/>
      <c r="K37" s="15"/>
      <c r="L37" s="32"/>
      <c r="M37" s="70" t="str">
        <f>'Description Sheet'!K36</f>
        <v>No</v>
      </c>
      <c r="N37" s="67">
        <f>'Description Sheet'!L36</f>
        <v>0</v>
      </c>
      <c r="O37" s="73">
        <f>'Year (2024-2025)'!O37*(('Description Sheet'!M4)+1)</f>
        <v>1111957.5577651202</v>
      </c>
      <c r="P37" s="68">
        <f t="shared" ref="P37:P39" si="19">N37*O37</f>
        <v>0</v>
      </c>
      <c r="Q37" s="14"/>
      <c r="R37" s="44"/>
    </row>
    <row r="38" spans="1:18" hidden="1">
      <c r="A38" s="14"/>
      <c r="B38" s="109">
        <f>'Description Sheet'!B37</f>
        <v>4.3</v>
      </c>
      <c r="C38" s="152" t="str">
        <f>'Description Sheet'!C37</f>
        <v>blank</v>
      </c>
      <c r="D38" s="107"/>
      <c r="E38" s="153" t="str">
        <f>IF('Maintenance Schedule'!N46="x","x","")</f>
        <v/>
      </c>
      <c r="F38" s="153" t="str">
        <f t="shared" si="16"/>
        <v/>
      </c>
      <c r="G38" s="154">
        <f t="shared" si="17"/>
        <v>0</v>
      </c>
      <c r="H38" s="155">
        <f t="shared" si="15"/>
        <v>0</v>
      </c>
      <c r="I38" s="156">
        <f t="shared" si="18"/>
        <v>0</v>
      </c>
      <c r="J38" s="14"/>
      <c r="K38" s="15"/>
      <c r="L38" s="32"/>
      <c r="M38" s="70" t="str">
        <f>'Description Sheet'!K37</f>
        <v>No</v>
      </c>
      <c r="N38" s="67">
        <f>'Description Sheet'!L37</f>
        <v>0</v>
      </c>
      <c r="O38" s="73">
        <f>'Year (2024-2025)'!O38*(('Description Sheet'!M4)+1)</f>
        <v>0</v>
      </c>
      <c r="P38" s="68">
        <f t="shared" si="19"/>
        <v>0</v>
      </c>
      <c r="Q38" s="14"/>
      <c r="R38" s="44"/>
    </row>
    <row r="39" spans="1:18" hidden="1">
      <c r="A39" s="14"/>
      <c r="B39" s="109">
        <f>'Description Sheet'!B38</f>
        <v>4.4000000000000004</v>
      </c>
      <c r="C39" s="152" t="str">
        <f>'Description Sheet'!C38</f>
        <v>blank</v>
      </c>
      <c r="D39" s="107"/>
      <c r="E39" s="153" t="str">
        <f>IF('Maintenance Schedule'!N47="x","x","")</f>
        <v/>
      </c>
      <c r="F39" s="153" t="str">
        <f t="shared" si="16"/>
        <v/>
      </c>
      <c r="G39" s="154">
        <f t="shared" si="17"/>
        <v>0</v>
      </c>
      <c r="H39" s="155">
        <f t="shared" si="15"/>
        <v>0</v>
      </c>
      <c r="I39" s="156">
        <f t="shared" si="18"/>
        <v>0</v>
      </c>
      <c r="J39" s="14"/>
      <c r="K39" s="15"/>
      <c r="L39" s="32"/>
      <c r="M39" s="70" t="str">
        <f>'Description Sheet'!K38</f>
        <v>No</v>
      </c>
      <c r="N39" s="67">
        <f>'Description Sheet'!L38</f>
        <v>0</v>
      </c>
      <c r="O39" s="73">
        <f>'Year (2024-2025)'!O39*(('Description Sheet'!M4)+1)</f>
        <v>0</v>
      </c>
      <c r="P39" s="68">
        <f t="shared" si="19"/>
        <v>0</v>
      </c>
      <c r="Q39" s="14"/>
      <c r="R39" s="44"/>
    </row>
    <row r="40" spans="1:18" ht="17" hidden="1" thickBot="1">
      <c r="A40" s="14"/>
      <c r="B40" s="109"/>
      <c r="C40" s="152"/>
      <c r="D40" s="107"/>
      <c r="E40" s="162"/>
      <c r="F40" s="154"/>
      <c r="G40" s="154"/>
      <c r="H40" s="155"/>
      <c r="I40" s="155"/>
      <c r="J40" s="14"/>
      <c r="K40" s="15"/>
      <c r="L40" s="32"/>
      <c r="M40" s="67"/>
      <c r="N40" s="67"/>
      <c r="O40" s="73"/>
      <c r="P40" s="68"/>
      <c r="Q40" s="14"/>
      <c r="R40" s="44"/>
    </row>
    <row r="41" spans="1:18" s="4" customFormat="1" ht="15.75" hidden="1" customHeight="1" thickBot="1">
      <c r="A41" s="14"/>
      <c r="B41" s="109"/>
      <c r="C41" s="152"/>
      <c r="D41" s="107"/>
      <c r="E41" s="159"/>
      <c r="F41" s="528" t="s">
        <v>7</v>
      </c>
      <c r="G41" s="529"/>
      <c r="H41" s="530">
        <f>SUM(I36:I40)</f>
        <v>0</v>
      </c>
      <c r="I41" s="531"/>
      <c r="J41" s="14"/>
      <c r="K41" s="15"/>
      <c r="L41" s="33"/>
      <c r="M41" s="508" t="s">
        <v>7</v>
      </c>
      <c r="N41" s="509"/>
      <c r="O41" s="510">
        <f>SUM(P36:P40)</f>
        <v>120059.06925312003</v>
      </c>
      <c r="P41" s="511"/>
      <c r="Q41" s="14"/>
      <c r="R41" s="31"/>
    </row>
    <row r="42" spans="1:18" ht="17" thickBot="1">
      <c r="A42" s="14"/>
      <c r="B42" s="109">
        <f>'Description Sheet'!B41</f>
        <v>5</v>
      </c>
      <c r="C42" s="150" t="str">
        <f>'Description Sheet'!C41</f>
        <v>Carpeting and Furnishing</v>
      </c>
      <c r="D42" s="107"/>
      <c r="E42" s="110"/>
      <c r="F42" s="110"/>
      <c r="G42" s="110"/>
      <c r="H42" s="110"/>
      <c r="I42" s="151"/>
      <c r="J42" s="32"/>
      <c r="K42" s="40"/>
      <c r="L42" s="33"/>
      <c r="M42" s="24"/>
      <c r="N42" s="25"/>
      <c r="O42" s="25"/>
      <c r="P42" s="63"/>
      <c r="Q42" s="14"/>
      <c r="R42" s="44"/>
    </row>
    <row r="43" spans="1:18">
      <c r="A43" s="14"/>
      <c r="B43" s="109">
        <f>'Description Sheet'!B42</f>
        <v>5.0999999999999996</v>
      </c>
      <c r="C43" s="152" t="str">
        <f>'Description Sheet'!C42</f>
        <v>Common Area Equipment/Furnishings (Replacement/Maintenance)</v>
      </c>
      <c r="D43" s="107"/>
      <c r="E43" s="153" t="str">
        <f>IF('Maintenance Schedule'!N54="x","x","")</f>
        <v>x</v>
      </c>
      <c r="F43" s="153" t="str">
        <f>IF(E43="x","No","")</f>
        <v>No</v>
      </c>
      <c r="G43" s="154">
        <f>IF(E43="x",1,0)</f>
        <v>1</v>
      </c>
      <c r="H43" s="155">
        <f t="shared" ref="H43:H46" si="20">IF(E43="x",P43,0)</f>
        <v>4761.7113600000012</v>
      </c>
      <c r="I43" s="156">
        <f>IF(E43="x",G43*H43,0)</f>
        <v>4761.7113600000012</v>
      </c>
      <c r="J43" s="14"/>
      <c r="K43" s="15"/>
      <c r="L43" s="32"/>
      <c r="M43" s="70" t="str">
        <f>'Description Sheet'!K42</f>
        <v>No</v>
      </c>
      <c r="N43" s="67">
        <f>'Description Sheet'!L42</f>
        <v>1</v>
      </c>
      <c r="O43" s="73">
        <f>'Year (2024-2025)'!O43*(('Description Sheet'!M4)+1)</f>
        <v>4761.7113600000012</v>
      </c>
      <c r="P43" s="68">
        <f>N43*O43</f>
        <v>4761.7113600000012</v>
      </c>
      <c r="Q43" s="14"/>
      <c r="R43" s="44"/>
    </row>
    <row r="44" spans="1:18" hidden="1">
      <c r="A44" s="14"/>
      <c r="B44" s="109">
        <f>'Description Sheet'!B43</f>
        <v>5.2</v>
      </c>
      <c r="C44" s="152" t="str">
        <f>'Description Sheet'!C43</f>
        <v>blank</v>
      </c>
      <c r="D44" s="107"/>
      <c r="E44" s="153" t="str">
        <f>IF('Maintenance Schedule'!N55="x","x","")</f>
        <v/>
      </c>
      <c r="F44" s="153" t="str">
        <f t="shared" ref="F44:F46" si="21">IF(E44="x","No","")</f>
        <v/>
      </c>
      <c r="G44" s="154">
        <f t="shared" ref="G44:G46" si="22">IF(E44="x",1,0)</f>
        <v>0</v>
      </c>
      <c r="H44" s="155">
        <f t="shared" si="20"/>
        <v>0</v>
      </c>
      <c r="I44" s="156">
        <f t="shared" ref="I44:I46" si="23">IF(E44="x",G44*H44,0)</f>
        <v>0</v>
      </c>
      <c r="J44" s="14"/>
      <c r="K44" s="15"/>
      <c r="L44" s="32"/>
      <c r="M44" s="70" t="str">
        <f>'Description Sheet'!K43</f>
        <v>No</v>
      </c>
      <c r="N44" s="67">
        <f>'Description Sheet'!L43</f>
        <v>0</v>
      </c>
      <c r="O44" s="73">
        <f>'Year (2024-2025)'!O44*(('Description Sheet'!M4)+1)</f>
        <v>0</v>
      </c>
      <c r="P44" s="68">
        <f t="shared" ref="P44:P46" si="24">N44*O44</f>
        <v>0</v>
      </c>
      <c r="Q44" s="14"/>
      <c r="R44" s="44"/>
    </row>
    <row r="45" spans="1:18" hidden="1">
      <c r="A45" s="14"/>
      <c r="B45" s="109">
        <f>'Description Sheet'!B44</f>
        <v>5.3</v>
      </c>
      <c r="C45" s="152" t="str">
        <f>'Description Sheet'!C44</f>
        <v>blank</v>
      </c>
      <c r="D45" s="107"/>
      <c r="E45" s="153" t="str">
        <f>IF('Maintenance Schedule'!N56="x","x","")</f>
        <v/>
      </c>
      <c r="F45" s="153" t="str">
        <f t="shared" si="21"/>
        <v/>
      </c>
      <c r="G45" s="154">
        <f t="shared" si="22"/>
        <v>0</v>
      </c>
      <c r="H45" s="155">
        <f t="shared" si="20"/>
        <v>0</v>
      </c>
      <c r="I45" s="156">
        <f t="shared" si="23"/>
        <v>0</v>
      </c>
      <c r="J45" s="14"/>
      <c r="K45" s="15"/>
      <c r="L45" s="32"/>
      <c r="M45" s="70" t="str">
        <f>'Description Sheet'!K44</f>
        <v>No</v>
      </c>
      <c r="N45" s="67">
        <f>'Description Sheet'!L44</f>
        <v>0</v>
      </c>
      <c r="O45" s="73">
        <f>'Year (2024-2025)'!O45*(('Description Sheet'!M4)+1)</f>
        <v>0</v>
      </c>
      <c r="P45" s="68">
        <f t="shared" si="24"/>
        <v>0</v>
      </c>
      <c r="Q45" s="14"/>
      <c r="R45" s="44"/>
    </row>
    <row r="46" spans="1:18" hidden="1">
      <c r="A46" s="14"/>
      <c r="B46" s="109">
        <f>'Description Sheet'!B45</f>
        <v>5.4</v>
      </c>
      <c r="C46" s="152" t="str">
        <f>'Description Sheet'!C45</f>
        <v>blank</v>
      </c>
      <c r="D46" s="107"/>
      <c r="E46" s="153" t="str">
        <f>IF('Maintenance Schedule'!N57="x","x","")</f>
        <v/>
      </c>
      <c r="F46" s="153" t="str">
        <f t="shared" si="21"/>
        <v/>
      </c>
      <c r="G46" s="154">
        <f t="shared" si="22"/>
        <v>0</v>
      </c>
      <c r="H46" s="155">
        <f t="shared" si="20"/>
        <v>0</v>
      </c>
      <c r="I46" s="156">
        <f t="shared" si="23"/>
        <v>0</v>
      </c>
      <c r="J46" s="14"/>
      <c r="K46" s="15"/>
      <c r="L46" s="32"/>
      <c r="M46" s="70" t="str">
        <f>'Description Sheet'!K45</f>
        <v>No</v>
      </c>
      <c r="N46" s="67">
        <f>'Description Sheet'!L45</f>
        <v>0</v>
      </c>
      <c r="O46" s="73">
        <f>'Year (2024-2025)'!O46*(('Description Sheet'!M4)+1)</f>
        <v>0</v>
      </c>
      <c r="P46" s="68">
        <f t="shared" si="24"/>
        <v>0</v>
      </c>
      <c r="Q46" s="14"/>
      <c r="R46" s="44"/>
    </row>
    <row r="47" spans="1:18" ht="17" thickBot="1">
      <c r="A47" s="14"/>
      <c r="B47" s="109"/>
      <c r="C47" s="152"/>
      <c r="D47" s="107"/>
      <c r="E47" s="162"/>
      <c r="F47" s="154"/>
      <c r="G47" s="154"/>
      <c r="H47" s="155"/>
      <c r="I47" s="155"/>
      <c r="J47" s="14"/>
      <c r="K47" s="15"/>
      <c r="L47" s="32"/>
      <c r="M47" s="67"/>
      <c r="N47" s="67"/>
      <c r="O47" s="73"/>
      <c r="P47" s="68"/>
      <c r="Q47" s="14"/>
      <c r="R47" s="44"/>
    </row>
    <row r="48" spans="1:18" s="4" customFormat="1" ht="15.75" customHeight="1" thickBot="1">
      <c r="A48" s="14"/>
      <c r="B48" s="109"/>
      <c r="C48" s="115"/>
      <c r="D48" s="107"/>
      <c r="E48" s="159"/>
      <c r="F48" s="528" t="s">
        <v>7</v>
      </c>
      <c r="G48" s="529"/>
      <c r="H48" s="530">
        <f>SUM(I43:I47)</f>
        <v>4761.7113600000012</v>
      </c>
      <c r="I48" s="531"/>
      <c r="J48" s="14"/>
      <c r="K48" s="15"/>
      <c r="L48" s="33"/>
      <c r="M48" s="508" t="s">
        <v>7</v>
      </c>
      <c r="N48" s="509"/>
      <c r="O48" s="510">
        <f>SUM(P43:P47)</f>
        <v>4761.7113600000012</v>
      </c>
      <c r="P48" s="511"/>
      <c r="Q48" s="14"/>
      <c r="R48" s="31"/>
    </row>
    <row r="49" spans="1:18" ht="17" thickBot="1">
      <c r="A49" s="14"/>
      <c r="B49" s="109">
        <f>'Description Sheet'!B48</f>
        <v>6</v>
      </c>
      <c r="C49" s="113" t="str">
        <f>'Description Sheet'!C48</f>
        <v>Roof  Areas</v>
      </c>
      <c r="D49" s="107"/>
      <c r="E49" s="110"/>
      <c r="F49" s="110"/>
      <c r="G49" s="110"/>
      <c r="H49" s="110"/>
      <c r="I49" s="151"/>
      <c r="J49" s="32"/>
      <c r="K49" s="40"/>
      <c r="L49" s="33"/>
      <c r="M49" s="24"/>
      <c r="N49" s="25"/>
      <c r="O49" s="25"/>
      <c r="P49" s="63"/>
      <c r="Q49" s="14"/>
      <c r="R49" s="44"/>
    </row>
    <row r="50" spans="1:18" hidden="1">
      <c r="A50" s="14"/>
      <c r="B50" s="109">
        <f>'Description Sheet'!B49</f>
        <v>6.1</v>
      </c>
      <c r="C50" s="152" t="str">
        <f>'Description Sheet'!C49</f>
        <v xml:space="preserve">Flashings/Counter Flashings </v>
      </c>
      <c r="D50" s="107"/>
      <c r="E50" s="153" t="str">
        <f>IF('Maintenance Schedule'!N64="x","x","")</f>
        <v/>
      </c>
      <c r="F50" s="153" t="str">
        <f>IF(E50="x","No","")</f>
        <v/>
      </c>
      <c r="G50" s="154">
        <f>IF(E50="x",1,0)</f>
        <v>0</v>
      </c>
      <c r="H50" s="155">
        <f t="shared" ref="H50:H66" si="25">IF(E50="x",P50,0)</f>
        <v>0</v>
      </c>
      <c r="I50" s="156">
        <f t="shared" ref="I50:I66" si="26">IF(E50="x",G50*H50,0)</f>
        <v>0</v>
      </c>
      <c r="J50" s="14"/>
      <c r="K50" s="15"/>
      <c r="L50" s="32"/>
      <c r="M50" s="67" t="str">
        <f>'Description Sheet'!K49</f>
        <v>No</v>
      </c>
      <c r="N50" s="67">
        <f>'Description Sheet'!L49</f>
        <v>0</v>
      </c>
      <c r="O50" s="73">
        <f>'Year (2024-2025)'!O50*(('Description Sheet'!M4)+1)</f>
        <v>13223.952691200002</v>
      </c>
      <c r="P50" s="69">
        <f t="shared" ref="P50:P66" si="27">N50*O50</f>
        <v>0</v>
      </c>
      <c r="Q50" s="14"/>
      <c r="R50" s="44"/>
    </row>
    <row r="51" spans="1:18" hidden="1">
      <c r="A51" s="14"/>
      <c r="B51" s="109">
        <f>'Description Sheet'!B50</f>
        <v>6.2</v>
      </c>
      <c r="C51" s="152" t="str">
        <f>'Description Sheet'!C50</f>
        <v>General Roof Repairs</v>
      </c>
      <c r="D51" s="107"/>
      <c r="E51" s="153" t="str">
        <f>IF('Maintenance Schedule'!N65="x","x","")</f>
        <v/>
      </c>
      <c r="F51" s="153" t="str">
        <f t="shared" ref="F51:F62" si="28">IF(E51="x","No","")</f>
        <v/>
      </c>
      <c r="G51" s="154">
        <f t="shared" ref="G51:G66" si="29">IF(E51="x",1,0)</f>
        <v>0</v>
      </c>
      <c r="H51" s="155">
        <f t="shared" si="25"/>
        <v>0</v>
      </c>
      <c r="I51" s="156">
        <f t="shared" si="26"/>
        <v>0</v>
      </c>
      <c r="J51" s="14"/>
      <c r="K51" s="15"/>
      <c r="L51" s="32"/>
      <c r="M51" s="67" t="str">
        <f>'Description Sheet'!K50</f>
        <v>No</v>
      </c>
      <c r="N51" s="67">
        <f>'Description Sheet'!L50</f>
        <v>0</v>
      </c>
      <c r="O51" s="73">
        <f>'Year (2024-2025)'!O51*(('Description Sheet'!M4)+1)</f>
        <v>14.693280768000005</v>
      </c>
      <c r="P51" s="69">
        <f t="shared" si="27"/>
        <v>0</v>
      </c>
      <c r="Q51" s="14"/>
      <c r="R51" s="44"/>
    </row>
    <row r="52" spans="1:18">
      <c r="A52" s="14"/>
      <c r="B52" s="109">
        <f>'Description Sheet'!B51</f>
        <v>6.3</v>
      </c>
      <c r="C52" s="152" t="str">
        <f>'Description Sheet'!C51</f>
        <v>Cleaning &amp; Maintenance &amp; Repairs of Gutters and Downpipes</v>
      </c>
      <c r="D52" s="107"/>
      <c r="E52" s="153" t="str">
        <f>IF('Maintenance Schedule'!N66="x","x","")</f>
        <v>x</v>
      </c>
      <c r="F52" s="153" t="str">
        <f t="shared" si="28"/>
        <v>No</v>
      </c>
      <c r="G52" s="154">
        <f t="shared" si="29"/>
        <v>1</v>
      </c>
      <c r="H52" s="155">
        <f t="shared" si="25"/>
        <v>4339.9597824000011</v>
      </c>
      <c r="I52" s="156">
        <f t="shared" si="26"/>
        <v>4339.9597824000011</v>
      </c>
      <c r="J52" s="14"/>
      <c r="K52" s="15"/>
      <c r="L52" s="32"/>
      <c r="M52" s="67" t="str">
        <f>'Description Sheet'!K51</f>
        <v>lm</v>
      </c>
      <c r="N52" s="67">
        <f>'Description Sheet'!L51</f>
        <v>110</v>
      </c>
      <c r="O52" s="73">
        <f>'Year (2024-2025)'!O52*(('Description Sheet'!M4)+1)</f>
        <v>39.454179840000009</v>
      </c>
      <c r="P52" s="69">
        <f t="shared" si="27"/>
        <v>4339.9597824000011</v>
      </c>
      <c r="Q52" s="14"/>
      <c r="R52" s="44"/>
    </row>
    <row r="53" spans="1:18" hidden="1">
      <c r="A53" s="14"/>
      <c r="B53" s="109">
        <f>'Description Sheet'!B52</f>
        <v>6.4</v>
      </c>
      <c r="C53" s="152" t="str">
        <f>'Description Sheet'!C52</f>
        <v xml:space="preserve">Painting &amp; Repair of Metal Roof Areas </v>
      </c>
      <c r="D53" s="107"/>
      <c r="E53" s="153" t="str">
        <f>IF('Maintenance Schedule'!N67="x","x","")</f>
        <v/>
      </c>
      <c r="F53" s="153" t="str">
        <f>IF(E53="x","item","")</f>
        <v/>
      </c>
      <c r="G53" s="154">
        <f t="shared" si="29"/>
        <v>0</v>
      </c>
      <c r="H53" s="155">
        <f t="shared" si="25"/>
        <v>0</v>
      </c>
      <c r="I53" s="156">
        <f t="shared" si="26"/>
        <v>0</v>
      </c>
      <c r="J53" s="14"/>
      <c r="K53" s="15"/>
      <c r="L53" s="32"/>
      <c r="M53" s="67" t="str">
        <f>'Description Sheet'!K52</f>
        <v>m2</v>
      </c>
      <c r="N53" s="67">
        <f>'Description Sheet'!L52</f>
        <v>0</v>
      </c>
      <c r="O53" s="73">
        <f>'Year (2024-2025)'!O53*(('Description Sheet'!M4)+1)</f>
        <v>227.20165632000007</v>
      </c>
      <c r="P53" s="69">
        <f t="shared" si="27"/>
        <v>0</v>
      </c>
      <c r="Q53" s="14"/>
      <c r="R53" s="44"/>
    </row>
    <row r="54" spans="1:18" hidden="1">
      <c r="A54" s="14"/>
      <c r="B54" s="109">
        <f>'Description Sheet'!B53</f>
        <v>6.5</v>
      </c>
      <c r="C54" s="152" t="str">
        <f>'Description Sheet'!C53</f>
        <v xml:space="preserve">Painting &amp; Repair of Tile Roof Areas </v>
      </c>
      <c r="D54" s="107"/>
      <c r="E54" s="153" t="str">
        <f>IF('Maintenance Schedule'!N68="x","x","")</f>
        <v/>
      </c>
      <c r="F54" s="153" t="str">
        <f>IF(E54="x","item","")</f>
        <v/>
      </c>
      <c r="G54" s="154">
        <f t="shared" si="29"/>
        <v>0</v>
      </c>
      <c r="H54" s="155">
        <f t="shared" si="25"/>
        <v>0</v>
      </c>
      <c r="I54" s="156">
        <f t="shared" si="26"/>
        <v>0</v>
      </c>
      <c r="J54" s="14"/>
      <c r="K54" s="15"/>
      <c r="L54" s="32"/>
      <c r="M54" s="67" t="str">
        <f>'Description Sheet'!K53</f>
        <v>m2</v>
      </c>
      <c r="N54" s="67">
        <f>'Description Sheet'!L53</f>
        <v>0</v>
      </c>
      <c r="O54" s="73">
        <f>'Year (2024-2025)'!O54*(('Description Sheet'!M4)+1)</f>
        <v>123.80449536000002</v>
      </c>
      <c r="P54" s="69">
        <f t="shared" si="27"/>
        <v>0</v>
      </c>
      <c r="Q54" s="14"/>
      <c r="R54" s="44"/>
    </row>
    <row r="55" spans="1:18" hidden="1">
      <c r="A55" s="14"/>
      <c r="B55" s="109">
        <f>'Description Sheet'!B54</f>
        <v>6.6</v>
      </c>
      <c r="C55" s="152" t="str">
        <f>'Description Sheet'!C54</f>
        <v xml:space="preserve">Painting &amp; Repairs of Asbestos Roof Areas </v>
      </c>
      <c r="D55" s="107"/>
      <c r="E55" s="153" t="str">
        <f>IF('Maintenance Schedule'!N69="x","x","")</f>
        <v/>
      </c>
      <c r="F55" s="153" t="str">
        <f t="shared" si="28"/>
        <v/>
      </c>
      <c r="G55" s="154">
        <f t="shared" si="29"/>
        <v>0</v>
      </c>
      <c r="H55" s="155">
        <f t="shared" si="25"/>
        <v>0</v>
      </c>
      <c r="I55" s="156">
        <f t="shared" si="26"/>
        <v>0</v>
      </c>
      <c r="J55" s="14"/>
      <c r="K55" s="15"/>
      <c r="L55" s="32"/>
      <c r="M55" s="67" t="str">
        <f>'Description Sheet'!K54</f>
        <v>m2</v>
      </c>
      <c r="N55" s="67">
        <f>'Description Sheet'!L54</f>
        <v>0</v>
      </c>
      <c r="O55" s="73">
        <f>'Year (2024-2025)'!O55*(('Description Sheet'!M4)+1)</f>
        <v>257.13241344000005</v>
      </c>
      <c r="P55" s="69">
        <f t="shared" si="27"/>
        <v>0</v>
      </c>
      <c r="Q55" s="14"/>
      <c r="R55" s="44"/>
    </row>
    <row r="56" spans="1:18" hidden="1">
      <c r="A56" s="14"/>
      <c r="B56" s="109">
        <f>'Description Sheet'!B55</f>
        <v>6.7</v>
      </c>
      <c r="C56" s="152" t="str">
        <f>'Description Sheet'!C55</f>
        <v xml:space="preserve">Painting &amp; Repairs of Fibre Cement Roof Areas </v>
      </c>
      <c r="D56" s="107"/>
      <c r="E56" s="153" t="str">
        <f>IF('Maintenance Schedule'!N70="x","x","")</f>
        <v/>
      </c>
      <c r="F56" s="153" t="str">
        <f>IF(E56="x","item","")</f>
        <v/>
      </c>
      <c r="G56" s="154">
        <f t="shared" si="29"/>
        <v>0</v>
      </c>
      <c r="H56" s="155">
        <f t="shared" si="25"/>
        <v>0</v>
      </c>
      <c r="I56" s="156">
        <f t="shared" si="26"/>
        <v>0</v>
      </c>
      <c r="J56" s="14"/>
      <c r="K56" s="15"/>
      <c r="L56" s="32"/>
      <c r="M56" s="67" t="str">
        <f>'Description Sheet'!K55</f>
        <v>m2</v>
      </c>
      <c r="N56" s="67">
        <f>'Description Sheet'!L55</f>
        <v>0</v>
      </c>
      <c r="O56" s="73">
        <f>'Year (2024-2025)'!O56*(('Description Sheet'!M4)+1)</f>
        <v>242.16703488000007</v>
      </c>
      <c r="P56" s="69">
        <f t="shared" si="27"/>
        <v>0</v>
      </c>
      <c r="Q56" s="14"/>
      <c r="R56" s="44"/>
    </row>
    <row r="57" spans="1:18" hidden="1">
      <c r="A57" s="14"/>
      <c r="B57" s="109">
        <f>'Description Sheet'!B56</f>
        <v>6.8</v>
      </c>
      <c r="C57" s="152" t="str">
        <f>'Description Sheet'!C56</f>
        <v>Servicing of Roof Screws</v>
      </c>
      <c r="D57" s="107"/>
      <c r="E57" s="153" t="str">
        <f>IF('Maintenance Schedule'!N71="x","x","")</f>
        <v/>
      </c>
      <c r="F57" s="153" t="str">
        <f t="shared" ref="F57:F59" si="30">IF(E57="x","item","")</f>
        <v/>
      </c>
      <c r="G57" s="154">
        <f t="shared" si="29"/>
        <v>0</v>
      </c>
      <c r="H57" s="155">
        <f t="shared" si="25"/>
        <v>0</v>
      </c>
      <c r="I57" s="156">
        <f t="shared" si="26"/>
        <v>0</v>
      </c>
      <c r="J57" s="14"/>
      <c r="K57" s="15"/>
      <c r="L57" s="32"/>
      <c r="M57" s="67" t="str">
        <f>'Description Sheet'!K56</f>
        <v>No</v>
      </c>
      <c r="N57" s="67">
        <f>'Description Sheet'!L56</f>
        <v>0</v>
      </c>
      <c r="O57" s="73">
        <f>'Year (2024-2025)'!O57*(('Description Sheet'!M4)+1)</f>
        <v>8815.9684608000025</v>
      </c>
      <c r="P57" s="69">
        <f t="shared" si="27"/>
        <v>0</v>
      </c>
      <c r="Q57" s="14"/>
      <c r="R57" s="44"/>
    </row>
    <row r="58" spans="1:18" hidden="1">
      <c r="A58" s="14"/>
      <c r="B58" s="109">
        <f>'Description Sheet'!B57</f>
        <v>6.9</v>
      </c>
      <c r="C58" s="152" t="str">
        <f>'Description Sheet'!C57</f>
        <v xml:space="preserve">Servicing and Re-lignment of Gutters </v>
      </c>
      <c r="D58" s="107"/>
      <c r="E58" s="153" t="str">
        <f>IF('Maintenance Schedule'!N72="x","x","")</f>
        <v/>
      </c>
      <c r="F58" s="153" t="str">
        <f t="shared" si="30"/>
        <v/>
      </c>
      <c r="G58" s="154">
        <f t="shared" si="29"/>
        <v>0</v>
      </c>
      <c r="H58" s="155">
        <f t="shared" si="25"/>
        <v>0</v>
      </c>
      <c r="I58" s="156">
        <f t="shared" si="26"/>
        <v>0</v>
      </c>
      <c r="J58" s="14"/>
      <c r="K58" s="15"/>
      <c r="L58" s="32"/>
      <c r="M58" s="67" t="str">
        <f>'Description Sheet'!K57</f>
        <v>item</v>
      </c>
      <c r="N58" s="67">
        <f>'Description Sheet'!L57</f>
        <v>0</v>
      </c>
      <c r="O58" s="73">
        <f>'Year (2024-2025)'!O58*(('Description Sheet'!M4)+1)</f>
        <v>5142.6482688000006</v>
      </c>
      <c r="P58" s="69">
        <f t="shared" si="27"/>
        <v>0</v>
      </c>
      <c r="Q58" s="14"/>
      <c r="R58" s="44"/>
    </row>
    <row r="59" spans="1:18" hidden="1">
      <c r="A59" s="14"/>
      <c r="B59" s="112">
        <f>'Description Sheet'!B58</f>
        <v>6.1</v>
      </c>
      <c r="C59" s="152" t="str">
        <f>'Description Sheet'!C58</f>
        <v>Replacement of Damaged Metal Roof Sheeting</v>
      </c>
      <c r="D59" s="107"/>
      <c r="E59" s="153" t="str">
        <f>IF('Maintenance Schedule'!N73="x","x","")</f>
        <v/>
      </c>
      <c r="F59" s="153" t="str">
        <f t="shared" si="30"/>
        <v/>
      </c>
      <c r="G59" s="154">
        <f t="shared" si="29"/>
        <v>0</v>
      </c>
      <c r="H59" s="155">
        <f t="shared" si="25"/>
        <v>0</v>
      </c>
      <c r="I59" s="156">
        <f t="shared" si="26"/>
        <v>0</v>
      </c>
      <c r="J59" s="14"/>
      <c r="K59" s="15"/>
      <c r="L59" s="32"/>
      <c r="M59" s="67" t="str">
        <f>'Description Sheet'!K58</f>
        <v>m2</v>
      </c>
      <c r="N59" s="67">
        <f>'Description Sheet'!L58</f>
        <v>0</v>
      </c>
      <c r="O59" s="73">
        <f>'Year (2024-2025)'!O59*(('Description Sheet'!M4)+1)</f>
        <v>661.1976345600001</v>
      </c>
      <c r="P59" s="69">
        <f t="shared" si="27"/>
        <v>0</v>
      </c>
      <c r="Q59" s="14"/>
      <c r="R59" s="44"/>
    </row>
    <row r="60" spans="1:18" hidden="1">
      <c r="A60" s="14"/>
      <c r="B60" s="112">
        <f>'Description Sheet'!B59</f>
        <v>6.11</v>
      </c>
      <c r="C60" s="152" t="str">
        <f>'Description Sheet'!C59</f>
        <v>Replacement of Polycarbonate Roof Sheeting</v>
      </c>
      <c r="D60" s="107"/>
      <c r="E60" s="153" t="str">
        <f>IF('Maintenance Schedule'!N74="x","x","")</f>
        <v/>
      </c>
      <c r="F60" s="153" t="str">
        <f t="shared" si="28"/>
        <v/>
      </c>
      <c r="G60" s="154">
        <f t="shared" si="29"/>
        <v>0</v>
      </c>
      <c r="H60" s="155">
        <f t="shared" si="25"/>
        <v>0</v>
      </c>
      <c r="I60" s="156">
        <f t="shared" si="26"/>
        <v>0</v>
      </c>
      <c r="J60" s="14"/>
      <c r="K60" s="15"/>
      <c r="L60" s="32"/>
      <c r="M60" s="67" t="str">
        <f>'Description Sheet'!K59</f>
        <v>m2</v>
      </c>
      <c r="N60" s="67">
        <f>'Description Sheet'!L59</f>
        <v>0</v>
      </c>
      <c r="O60" s="73">
        <f>'Year (2024-2025)'!O60*(('Description Sheet'!M4)+1)</f>
        <v>734.66403840000021</v>
      </c>
      <c r="P60" s="69">
        <f t="shared" si="27"/>
        <v>0</v>
      </c>
      <c r="Q60" s="14"/>
      <c r="R60" s="44"/>
    </row>
    <row r="61" spans="1:18" hidden="1">
      <c r="A61" s="14"/>
      <c r="B61" s="112">
        <f>'Description Sheet'!B60</f>
        <v>6.12</v>
      </c>
      <c r="C61" s="152" t="str">
        <f>'Description Sheet'!C60</f>
        <v>Replacement of Tile Roofs</v>
      </c>
      <c r="D61" s="107"/>
      <c r="E61" s="153" t="str">
        <f>IF('Maintenance Schedule'!N75="x","x","")</f>
        <v/>
      </c>
      <c r="F61" s="153" t="str">
        <f t="shared" si="28"/>
        <v/>
      </c>
      <c r="G61" s="154">
        <f t="shared" si="29"/>
        <v>0</v>
      </c>
      <c r="H61" s="155">
        <f t="shared" si="25"/>
        <v>0</v>
      </c>
      <c r="I61" s="156">
        <f t="shared" si="26"/>
        <v>0</v>
      </c>
      <c r="J61" s="14"/>
      <c r="K61" s="15"/>
      <c r="L61" s="32"/>
      <c r="M61" s="67" t="str">
        <f>'Description Sheet'!K60</f>
        <v>m2</v>
      </c>
      <c r="N61" s="67">
        <f>'Description Sheet'!L60</f>
        <v>0</v>
      </c>
      <c r="O61" s="73">
        <f>'Year (2024-2025)'!O61*(('Description Sheet'!M4)+1)</f>
        <v>998.59889664000025</v>
      </c>
      <c r="P61" s="69">
        <f t="shared" si="27"/>
        <v>0</v>
      </c>
      <c r="Q61" s="14"/>
      <c r="R61" s="44"/>
    </row>
    <row r="62" spans="1:18" hidden="1">
      <c r="A62" s="14"/>
      <c r="B62" s="112">
        <f>'Description Sheet'!B61</f>
        <v>6.13</v>
      </c>
      <c r="C62" s="152" t="str">
        <f>'Description Sheet'!C61</f>
        <v>Replacement of Tile Roof and Structure</v>
      </c>
      <c r="D62" s="107"/>
      <c r="E62" s="153" t="str">
        <f>IF('Maintenance Schedule'!N76="x","x","")</f>
        <v/>
      </c>
      <c r="F62" s="153" t="str">
        <f t="shared" si="28"/>
        <v/>
      </c>
      <c r="G62" s="154">
        <f t="shared" si="29"/>
        <v>0</v>
      </c>
      <c r="H62" s="155">
        <f t="shared" si="25"/>
        <v>0</v>
      </c>
      <c r="I62" s="156">
        <f t="shared" si="26"/>
        <v>0</v>
      </c>
      <c r="J62" s="14"/>
      <c r="K62" s="15"/>
      <c r="L62" s="32"/>
      <c r="M62" s="67" t="str">
        <f>'Description Sheet'!K61</f>
        <v>m2</v>
      </c>
      <c r="N62" s="67">
        <f>'Description Sheet'!L61</f>
        <v>0</v>
      </c>
      <c r="O62" s="73">
        <f>'Year (2024-2025)'!O62*(('Description Sheet'!M4)+1)</f>
        <v>1235.3239756800001</v>
      </c>
      <c r="P62" s="69">
        <f t="shared" si="27"/>
        <v>0</v>
      </c>
      <c r="Q62" s="14"/>
      <c r="R62" s="44"/>
    </row>
    <row r="63" spans="1:18" hidden="1">
      <c r="A63" s="14"/>
      <c r="B63" s="112">
        <f>'Description Sheet'!B62</f>
        <v>6.14</v>
      </c>
      <c r="C63" s="152" t="str">
        <f>'Description Sheet'!C62</f>
        <v>Replacement of Fibre Cement Roof</v>
      </c>
      <c r="D63" s="107"/>
      <c r="E63" s="153" t="str">
        <f>IF('Maintenance Schedule'!N77="x","x","")</f>
        <v/>
      </c>
      <c r="F63" s="153" t="str">
        <f t="shared" ref="F63:F66" si="31">IF(E63="x","item","")</f>
        <v/>
      </c>
      <c r="G63" s="154">
        <f t="shared" si="29"/>
        <v>0</v>
      </c>
      <c r="H63" s="155">
        <f t="shared" si="25"/>
        <v>0</v>
      </c>
      <c r="I63" s="156">
        <f t="shared" si="26"/>
        <v>0</v>
      </c>
      <c r="J63" s="14"/>
      <c r="K63" s="15"/>
      <c r="L63" s="32"/>
      <c r="M63" s="67" t="str">
        <f>'Description Sheet'!K62</f>
        <v>m2</v>
      </c>
      <c r="N63" s="67">
        <f>'Description Sheet'!L62</f>
        <v>0</v>
      </c>
      <c r="O63" s="73">
        <f>'Year (2024-2025)'!O63*(('Description Sheet'!M4)+1)</f>
        <v>955.06324992000032</v>
      </c>
      <c r="P63" s="69">
        <f t="shared" si="27"/>
        <v>0</v>
      </c>
      <c r="Q63" s="14"/>
      <c r="R63" s="44"/>
    </row>
    <row r="64" spans="1:18" hidden="1">
      <c r="A64" s="14"/>
      <c r="B64" s="112">
        <f>'Description Sheet'!B63</f>
        <v>6.15</v>
      </c>
      <c r="C64" s="152" t="str">
        <f>'Description Sheet'!C63</f>
        <v>blank</v>
      </c>
      <c r="D64" s="107"/>
      <c r="E64" s="153" t="str">
        <f>IF('Maintenance Schedule'!N78="x","x","")</f>
        <v/>
      </c>
      <c r="F64" s="153" t="str">
        <f t="shared" si="31"/>
        <v/>
      </c>
      <c r="G64" s="154">
        <f t="shared" si="29"/>
        <v>0</v>
      </c>
      <c r="H64" s="155">
        <f t="shared" si="25"/>
        <v>0</v>
      </c>
      <c r="I64" s="156">
        <f t="shared" si="26"/>
        <v>0</v>
      </c>
      <c r="J64" s="14"/>
      <c r="K64" s="15"/>
      <c r="L64" s="32"/>
      <c r="M64" s="67" t="str">
        <f>'Description Sheet'!K63</f>
        <v>item</v>
      </c>
      <c r="N64" s="67">
        <f>'Description Sheet'!L63</f>
        <v>0</v>
      </c>
      <c r="O64" s="73">
        <f>'Year (2024-2025)'!O64*(('Description Sheet'!M4)+1)</f>
        <v>0</v>
      </c>
      <c r="P64" s="69">
        <f t="shared" si="27"/>
        <v>0</v>
      </c>
      <c r="Q64" s="14"/>
      <c r="R64" s="44"/>
    </row>
    <row r="65" spans="1:19" hidden="1">
      <c r="A65" s="14"/>
      <c r="B65" s="112">
        <f>'Description Sheet'!B64</f>
        <v>6.17</v>
      </c>
      <c r="C65" s="152" t="str">
        <f>'Description Sheet'!C64</f>
        <v>blank</v>
      </c>
      <c r="D65" s="107"/>
      <c r="E65" s="153" t="str">
        <f>IF('Maintenance Schedule'!N79="x","x","")</f>
        <v/>
      </c>
      <c r="F65" s="153" t="str">
        <f t="shared" si="31"/>
        <v/>
      </c>
      <c r="G65" s="154">
        <f t="shared" si="29"/>
        <v>0</v>
      </c>
      <c r="H65" s="155">
        <f t="shared" si="25"/>
        <v>0</v>
      </c>
      <c r="I65" s="156">
        <f t="shared" si="26"/>
        <v>0</v>
      </c>
      <c r="J65" s="14"/>
      <c r="K65" s="15"/>
      <c r="L65" s="32"/>
      <c r="M65" s="67" t="str">
        <f>'Description Sheet'!K64</f>
        <v>item</v>
      </c>
      <c r="N65" s="67">
        <f>'Description Sheet'!L64</f>
        <v>0</v>
      </c>
      <c r="O65" s="73">
        <f>'Year (2024-2025)'!O65*(('Description Sheet'!M4)+1)</f>
        <v>0</v>
      </c>
      <c r="P65" s="69">
        <f t="shared" si="27"/>
        <v>0</v>
      </c>
      <c r="Q65" s="14"/>
      <c r="R65" s="44"/>
    </row>
    <row r="66" spans="1:19" hidden="1">
      <c r="A66" s="14"/>
      <c r="B66" s="112">
        <f>'Description Sheet'!B65</f>
        <v>6.18</v>
      </c>
      <c r="C66" s="152" t="str">
        <f>'Description Sheet'!C65</f>
        <v>blank</v>
      </c>
      <c r="D66" s="107"/>
      <c r="E66" s="153" t="str">
        <f>IF('Maintenance Schedule'!N80="x","x","")</f>
        <v/>
      </c>
      <c r="F66" s="153" t="str">
        <f t="shared" si="31"/>
        <v/>
      </c>
      <c r="G66" s="154">
        <f t="shared" si="29"/>
        <v>0</v>
      </c>
      <c r="H66" s="155">
        <f t="shared" si="25"/>
        <v>0</v>
      </c>
      <c r="I66" s="156">
        <f t="shared" si="26"/>
        <v>0</v>
      </c>
      <c r="J66" s="14"/>
      <c r="K66" s="15"/>
      <c r="L66" s="32"/>
      <c r="M66" s="67" t="str">
        <f>'Description Sheet'!K65</f>
        <v>item</v>
      </c>
      <c r="N66" s="67">
        <f>'Description Sheet'!L65</f>
        <v>0</v>
      </c>
      <c r="O66" s="73">
        <f>'Year (2024-2025)'!O66*(('Description Sheet'!M4)+1)</f>
        <v>0</v>
      </c>
      <c r="P66" s="69">
        <f t="shared" si="27"/>
        <v>0</v>
      </c>
      <c r="Q66" s="14"/>
      <c r="R66" s="44"/>
    </row>
    <row r="67" spans="1:19" ht="17" thickBot="1">
      <c r="A67" s="14"/>
      <c r="B67" s="109"/>
      <c r="C67" s="152"/>
      <c r="D67" s="107"/>
      <c r="E67" s="153"/>
      <c r="F67" s="153"/>
      <c r="G67" s="154"/>
      <c r="H67" s="155"/>
      <c r="I67" s="155"/>
      <c r="J67" s="14"/>
      <c r="K67" s="15"/>
      <c r="L67" s="32"/>
      <c r="M67" s="70"/>
      <c r="N67" s="67"/>
      <c r="O67" s="73"/>
      <c r="P67" s="79"/>
      <c r="Q67" s="14"/>
      <c r="R67" s="44"/>
    </row>
    <row r="68" spans="1:19" s="4" customFormat="1" ht="15.75" customHeight="1" thickBot="1">
      <c r="A68" s="14"/>
      <c r="B68" s="109"/>
      <c r="C68" s="115"/>
      <c r="D68" s="107"/>
      <c r="E68" s="159"/>
      <c r="F68" s="528" t="s">
        <v>7</v>
      </c>
      <c r="G68" s="529"/>
      <c r="H68" s="530">
        <f>SUM(I50:I67)</f>
        <v>4339.9597824000011</v>
      </c>
      <c r="I68" s="531"/>
      <c r="J68" s="14"/>
      <c r="K68" s="15"/>
      <c r="L68" s="33"/>
      <c r="M68" s="508" t="s">
        <v>7</v>
      </c>
      <c r="N68" s="509"/>
      <c r="O68" s="510">
        <f>SUM(P50:P67)</f>
        <v>4339.9597824000011</v>
      </c>
      <c r="P68" s="511"/>
      <c r="Q68" s="14"/>
      <c r="R68" s="31"/>
    </row>
    <row r="69" spans="1:19" ht="17" thickBot="1">
      <c r="A69" s="14"/>
      <c r="B69" s="109">
        <f>'Description Sheet'!B68</f>
        <v>7</v>
      </c>
      <c r="C69" s="113" t="str">
        <f>'Description Sheet'!C68</f>
        <v>Painting and Repairs</v>
      </c>
      <c r="D69" s="107"/>
      <c r="E69" s="110"/>
      <c r="F69" s="110"/>
      <c r="G69" s="110"/>
      <c r="H69" s="110"/>
      <c r="I69" s="151"/>
      <c r="J69" s="32"/>
      <c r="K69" s="40"/>
      <c r="L69" s="33"/>
      <c r="M69" s="24"/>
      <c r="N69" s="25"/>
      <c r="O69" s="25"/>
      <c r="P69" s="63"/>
      <c r="Q69" s="14"/>
      <c r="R69" s="44"/>
    </row>
    <row r="70" spans="1:19" hidden="1">
      <c r="A70" s="14"/>
      <c r="B70" s="109">
        <f>'Description Sheet'!B69</f>
        <v>7.1</v>
      </c>
      <c r="C70" s="152" t="str">
        <f>'Description Sheet'!C69</f>
        <v>External  Painting and Remedial Repairs</v>
      </c>
      <c r="D70" s="107"/>
      <c r="E70" s="153" t="str">
        <f>IF('Maintenance Schedule'!N87="x","x","")</f>
        <v/>
      </c>
      <c r="F70" s="153" t="str">
        <f t="shared" ref="F70:F91" si="32">IF(E70="x","No","")</f>
        <v/>
      </c>
      <c r="G70" s="154">
        <f>IF(E70="x",1,0)</f>
        <v>0</v>
      </c>
      <c r="H70" s="155">
        <f t="shared" ref="H70:H91" si="33">IF(E70="x",P70,0)</f>
        <v>0</v>
      </c>
      <c r="I70" s="156">
        <f>IF(E70="x",G70*H70,0)</f>
        <v>0</v>
      </c>
      <c r="J70" s="14"/>
      <c r="K70" s="15"/>
      <c r="L70" s="32"/>
      <c r="M70" s="67" t="str">
        <f>'Description Sheet'!K69</f>
        <v>m2</v>
      </c>
      <c r="N70" s="67">
        <f>'Description Sheet'!L69</f>
        <v>1</v>
      </c>
      <c r="O70" s="73">
        <f>'Year (2024-2025)'!O70*(('Description Sheet'!M4)+1)</f>
        <v>2507719.6429332485</v>
      </c>
      <c r="P70" s="68">
        <f t="shared" ref="P70:P78" si="34">N70*O70</f>
        <v>2507719.6429332485</v>
      </c>
      <c r="Q70" s="14"/>
      <c r="R70" s="44"/>
    </row>
    <row r="71" spans="1:19" hidden="1">
      <c r="A71" s="14"/>
      <c r="B71" s="109">
        <f>'Description Sheet'!B70</f>
        <v>7.2</v>
      </c>
      <c r="C71" s="152" t="str">
        <f>'Description Sheet'!C70</f>
        <v>Internal Repairs to Apartments 505, 405, 305</v>
      </c>
      <c r="D71" s="107"/>
      <c r="E71" s="153" t="str">
        <f>IF('Maintenance Schedule'!N88="x","x","")</f>
        <v/>
      </c>
      <c r="F71" s="153" t="str">
        <f t="shared" si="32"/>
        <v/>
      </c>
      <c r="G71" s="154">
        <f t="shared" ref="G71:G91" si="35">IF(E71="x",1,0)</f>
        <v>0</v>
      </c>
      <c r="H71" s="155">
        <f t="shared" si="33"/>
        <v>0</v>
      </c>
      <c r="I71" s="156">
        <f t="shared" ref="I71:I91" si="36">IF(E71="x",G71*H71,0)</f>
        <v>0</v>
      </c>
      <c r="J71" s="14"/>
      <c r="K71" s="15"/>
      <c r="L71" s="32"/>
      <c r="M71" s="67" t="str">
        <f>'Description Sheet'!K70</f>
        <v>m2</v>
      </c>
      <c r="N71" s="67">
        <f>'Description Sheet'!L70</f>
        <v>1</v>
      </c>
      <c r="O71" s="73">
        <f>'Year (2024-2025)'!O71*(('Description Sheet'!M4)+1)</f>
        <v>211215.91104000004</v>
      </c>
      <c r="P71" s="68">
        <f t="shared" si="34"/>
        <v>211215.91104000004</v>
      </c>
      <c r="Q71" s="14"/>
      <c r="R71" s="44"/>
    </row>
    <row r="72" spans="1:19" hidden="1">
      <c r="A72" s="14"/>
      <c r="B72" s="109">
        <f>'Description Sheet'!B71</f>
        <v>7.3</v>
      </c>
      <c r="C72" s="152" t="str">
        <f>'Description Sheet'!C71</f>
        <v>Exposed Tops</v>
      </c>
      <c r="D72" s="107"/>
      <c r="E72" s="153" t="str">
        <f>IF('Maintenance Schedule'!N89="x","x","")</f>
        <v/>
      </c>
      <c r="F72" s="153" t="str">
        <f t="shared" si="32"/>
        <v/>
      </c>
      <c r="G72" s="154">
        <f t="shared" si="35"/>
        <v>0</v>
      </c>
      <c r="H72" s="155">
        <f t="shared" si="33"/>
        <v>0</v>
      </c>
      <c r="I72" s="156">
        <f t="shared" si="36"/>
        <v>0</v>
      </c>
      <c r="J72" s="14"/>
      <c r="K72" s="15"/>
      <c r="L72" s="32"/>
      <c r="M72" s="67" t="str">
        <f>'Description Sheet'!K71</f>
        <v>m2</v>
      </c>
      <c r="N72" s="67">
        <f>'Description Sheet'!L71</f>
        <v>0</v>
      </c>
      <c r="O72" s="73">
        <f>'Year (2024-2025)'!O72*(('Description Sheet'!M4)+1)</f>
        <v>168.70063104000008</v>
      </c>
      <c r="P72" s="68">
        <f t="shared" si="34"/>
        <v>0</v>
      </c>
      <c r="Q72" s="14"/>
      <c r="R72" s="44"/>
    </row>
    <row r="73" spans="1:19" hidden="1">
      <c r="A73" s="14"/>
      <c r="B73" s="109">
        <f>'Description Sheet'!B72</f>
        <v>7.4</v>
      </c>
      <c r="C73" s="152" t="str">
        <f>'Description Sheet'!C72</f>
        <v>Wall to Frame Sealant (Exposed)</v>
      </c>
      <c r="D73" s="107"/>
      <c r="E73" s="153" t="str">
        <f>IF('Maintenance Schedule'!N90="x","x","")</f>
        <v/>
      </c>
      <c r="F73" s="153" t="str">
        <f>IF(E73="x","All","")</f>
        <v/>
      </c>
      <c r="G73" s="154">
        <f t="shared" si="35"/>
        <v>0</v>
      </c>
      <c r="H73" s="155">
        <f t="shared" si="33"/>
        <v>0</v>
      </c>
      <c r="I73" s="156">
        <f t="shared" si="36"/>
        <v>0</v>
      </c>
      <c r="J73" s="14"/>
      <c r="K73" s="15"/>
      <c r="L73" s="32"/>
      <c r="M73" s="67" t="str">
        <f>'Description Sheet'!K72</f>
        <v>lm</v>
      </c>
      <c r="N73" s="67">
        <f>'Description Sheet'!L72</f>
        <v>0</v>
      </c>
      <c r="O73" s="73">
        <f>'Year (2024-2025)'!O73*(('Description Sheet'!M4)+1)</f>
        <v>95.234227200000021</v>
      </c>
      <c r="P73" s="68">
        <f t="shared" si="34"/>
        <v>0</v>
      </c>
      <c r="Q73" s="14"/>
      <c r="R73" s="44"/>
    </row>
    <row r="74" spans="1:19" hidden="1">
      <c r="A74" s="14"/>
      <c r="B74" s="109">
        <f>'Description Sheet'!B73</f>
        <v>7.5</v>
      </c>
      <c r="C74" s="152" t="str">
        <f>'Description Sheet'!C73</f>
        <v>Glass to Frame Sealant (Skylights)</v>
      </c>
      <c r="D74" s="107"/>
      <c r="E74" s="153" t="str">
        <f>IF('Maintenance Schedule'!N91="x","x","")</f>
        <v/>
      </c>
      <c r="F74" s="153" t="str">
        <f>IF(E74="x","All","")</f>
        <v/>
      </c>
      <c r="G74" s="154">
        <f t="shared" si="35"/>
        <v>0</v>
      </c>
      <c r="H74" s="155">
        <f t="shared" si="33"/>
        <v>0</v>
      </c>
      <c r="I74" s="156">
        <f t="shared" si="36"/>
        <v>0</v>
      </c>
      <c r="J74" s="14"/>
      <c r="K74" s="15"/>
      <c r="L74" s="32"/>
      <c r="M74" s="67" t="str">
        <f>'Description Sheet'!K73</f>
        <v>All</v>
      </c>
      <c r="N74" s="67">
        <f>'Description Sheet'!L73</f>
        <v>0</v>
      </c>
      <c r="O74" s="73">
        <f>'Year (2024-2025)'!O74*(('Description Sheet'!M4)+1)</f>
        <v>22039.921152000006</v>
      </c>
      <c r="P74" s="68">
        <f>N74*O74</f>
        <v>0</v>
      </c>
      <c r="Q74" s="14"/>
      <c r="R74" s="44"/>
    </row>
    <row r="75" spans="1:19" hidden="1">
      <c r="A75" s="14"/>
      <c r="B75" s="109">
        <f>'Description Sheet'!B74</f>
        <v>7.6</v>
      </c>
      <c r="C75" s="152" t="str">
        <f>'Description Sheet'!C74</f>
        <v>Metal Windows and Putty Repairs</v>
      </c>
      <c r="D75" s="107"/>
      <c r="E75" s="153" t="str">
        <f>IF('Maintenance Schedule'!N92="x","x","")</f>
        <v/>
      </c>
      <c r="F75" s="153" t="str">
        <f t="shared" si="32"/>
        <v/>
      </c>
      <c r="G75" s="154">
        <f t="shared" si="35"/>
        <v>0</v>
      </c>
      <c r="H75" s="155">
        <f t="shared" si="33"/>
        <v>0</v>
      </c>
      <c r="I75" s="156">
        <f t="shared" si="36"/>
        <v>0</v>
      </c>
      <c r="J75" s="14"/>
      <c r="K75" s="15"/>
      <c r="L75" s="32"/>
      <c r="M75" s="67" t="str">
        <f>'Description Sheet'!K74</f>
        <v>m2</v>
      </c>
      <c r="N75" s="67">
        <f>'Description Sheet'!L74</f>
        <v>1</v>
      </c>
      <c r="O75" s="73">
        <f>'Year (2024-2025)'!O75*(('Description Sheet'!M4)+1)</f>
        <v>13604.889600000002</v>
      </c>
      <c r="P75" s="68">
        <f t="shared" si="34"/>
        <v>13604.889600000002</v>
      </c>
      <c r="Q75" s="14"/>
      <c r="R75" s="44"/>
      <c r="S75" s="2"/>
    </row>
    <row r="76" spans="1:19">
      <c r="A76" s="14"/>
      <c r="B76" s="109">
        <f>'Description Sheet'!B75</f>
        <v>7.7</v>
      </c>
      <c r="C76" s="152" t="str">
        <f>'Description Sheet'!C75</f>
        <v xml:space="preserve">External Woodwork </v>
      </c>
      <c r="D76" s="107"/>
      <c r="E76" s="153" t="str">
        <f>IF('Maintenance Schedule'!N93="x","x","")</f>
        <v>x</v>
      </c>
      <c r="F76" s="153" t="str">
        <f t="shared" si="32"/>
        <v>No</v>
      </c>
      <c r="G76" s="154">
        <f t="shared" si="35"/>
        <v>1</v>
      </c>
      <c r="H76" s="155">
        <f t="shared" si="33"/>
        <v>44624.037888000013</v>
      </c>
      <c r="I76" s="156">
        <f t="shared" si="36"/>
        <v>44624.037888000013</v>
      </c>
      <c r="J76" s="14"/>
      <c r="K76" s="15"/>
      <c r="L76" s="32"/>
      <c r="M76" s="67" t="str">
        <f>'Description Sheet'!K75</f>
        <v>m2</v>
      </c>
      <c r="N76" s="67">
        <f>'Description Sheet'!L75</f>
        <v>160</v>
      </c>
      <c r="O76" s="73">
        <f>'Year (2024-2025)'!O76*(('Description Sheet'!M4)+1)</f>
        <v>278.90023680000007</v>
      </c>
      <c r="P76" s="68">
        <f t="shared" si="34"/>
        <v>44624.037888000013</v>
      </c>
      <c r="Q76" s="14"/>
      <c r="R76" s="44"/>
    </row>
    <row r="77" spans="1:19">
      <c r="A77" s="14"/>
      <c r="B77" s="109">
        <f>'Description Sheet'!B76</f>
        <v>7.8</v>
      </c>
      <c r="C77" s="152" t="str">
        <f>'Description Sheet'!C76</f>
        <v xml:space="preserve">External Steelwork </v>
      </c>
      <c r="D77" s="107"/>
      <c r="E77" s="153" t="str">
        <f>IF('Maintenance Schedule'!N94="x","x","")</f>
        <v>x</v>
      </c>
      <c r="F77" s="153" t="str">
        <f t="shared" si="32"/>
        <v>No</v>
      </c>
      <c r="G77" s="154">
        <f t="shared" si="35"/>
        <v>1</v>
      </c>
      <c r="H77" s="155">
        <f t="shared" si="33"/>
        <v>12462.078873600003</v>
      </c>
      <c r="I77" s="156">
        <f t="shared" si="36"/>
        <v>12462.078873600003</v>
      </c>
      <c r="J77" s="14"/>
      <c r="K77" s="15"/>
      <c r="L77" s="32"/>
      <c r="M77" s="67" t="str">
        <f>'Description Sheet'!K76</f>
        <v>m2</v>
      </c>
      <c r="N77" s="67">
        <f>'Description Sheet'!L76</f>
        <v>40</v>
      </c>
      <c r="O77" s="73">
        <f>'Year (2024-2025)'!O77*(('Description Sheet'!M4)+1)</f>
        <v>311.55197184000008</v>
      </c>
      <c r="P77" s="68">
        <f t="shared" si="34"/>
        <v>12462.078873600003</v>
      </c>
      <c r="Q77" s="14"/>
      <c r="R77" s="44"/>
    </row>
    <row r="78" spans="1:19" hidden="1">
      <c r="A78" s="14"/>
      <c r="B78" s="109">
        <f>'Description Sheet'!B77</f>
        <v>7.9</v>
      </c>
      <c r="C78" s="152" t="str">
        <f>'Description Sheet'!C77</f>
        <v xml:space="preserve">Pointing &amp; Brickwork Repairs </v>
      </c>
      <c r="D78" s="107"/>
      <c r="E78" s="153" t="str">
        <f>IF('Maintenance Schedule'!N95="x","x","")</f>
        <v/>
      </c>
      <c r="F78" s="153" t="str">
        <f t="shared" si="32"/>
        <v/>
      </c>
      <c r="G78" s="154">
        <f t="shared" si="35"/>
        <v>0</v>
      </c>
      <c r="H78" s="155">
        <f t="shared" si="33"/>
        <v>0</v>
      </c>
      <c r="I78" s="156">
        <f t="shared" si="36"/>
        <v>0</v>
      </c>
      <c r="J78" s="14"/>
      <c r="K78" s="15"/>
      <c r="L78" s="32"/>
      <c r="M78" s="67" t="str">
        <f>'Description Sheet'!K77</f>
        <v>m2</v>
      </c>
      <c r="N78" s="67">
        <f>'Description Sheet'!L77</f>
        <v>0</v>
      </c>
      <c r="O78" s="73">
        <f>'Year (2024-2025)'!O78*(('Description Sheet'!M4)+1)</f>
        <v>66119.763456000015</v>
      </c>
      <c r="P78" s="68">
        <f t="shared" si="34"/>
        <v>0</v>
      </c>
      <c r="Q78" s="14"/>
      <c r="R78" s="44"/>
    </row>
    <row r="79" spans="1:19" hidden="1">
      <c r="A79" s="14"/>
      <c r="B79" s="112">
        <f>'Description Sheet'!B78</f>
        <v>7.1</v>
      </c>
      <c r="C79" s="152" t="str">
        <f>'Description Sheet'!C78</f>
        <v>Brickwork Repairs</v>
      </c>
      <c r="D79" s="107"/>
      <c r="E79" s="153" t="str">
        <f>IF('Maintenance Schedule'!N96="x","x","")</f>
        <v/>
      </c>
      <c r="F79" s="153" t="str">
        <f t="shared" si="32"/>
        <v/>
      </c>
      <c r="G79" s="154">
        <f t="shared" si="35"/>
        <v>0</v>
      </c>
      <c r="H79" s="155">
        <f t="shared" si="33"/>
        <v>0</v>
      </c>
      <c r="I79" s="156">
        <f t="shared" si="36"/>
        <v>0</v>
      </c>
      <c r="J79" s="14"/>
      <c r="K79" s="15"/>
      <c r="L79" s="32"/>
      <c r="M79" s="67" t="str">
        <f>'Description Sheet'!K78</f>
        <v>m2</v>
      </c>
      <c r="N79" s="67">
        <f>'Description Sheet'!L78</f>
        <v>1</v>
      </c>
      <c r="O79" s="73">
        <f>'Year (2024-2025)'!O79*(('Description Sheet'!M4)+1)</f>
        <v>5602.4935372800019</v>
      </c>
      <c r="P79" s="68">
        <f>N79*O79</f>
        <v>5602.4935372800019</v>
      </c>
      <c r="Q79" s="14"/>
      <c r="R79" s="44"/>
    </row>
    <row r="80" spans="1:19" hidden="1">
      <c r="A80" s="14"/>
      <c r="B80" s="112">
        <f>'Description Sheet'!B79</f>
        <v>7.11</v>
      </c>
      <c r="C80" s="152" t="str">
        <f>'Description Sheet'!C79</f>
        <v>Painted Floors</v>
      </c>
      <c r="D80" s="107"/>
      <c r="E80" s="153" t="str">
        <f>IF('Maintenance Schedule'!N97="x","x","")</f>
        <v/>
      </c>
      <c r="F80" s="153" t="str">
        <f t="shared" si="32"/>
        <v/>
      </c>
      <c r="G80" s="154">
        <f t="shared" si="35"/>
        <v>0</v>
      </c>
      <c r="H80" s="155">
        <f t="shared" si="33"/>
        <v>0</v>
      </c>
      <c r="I80" s="156">
        <f t="shared" si="36"/>
        <v>0</v>
      </c>
      <c r="J80" s="14"/>
      <c r="K80" s="15"/>
      <c r="L80" s="32"/>
      <c r="M80" s="67" t="str">
        <f>'Description Sheet'!K79</f>
        <v>m2</v>
      </c>
      <c r="N80" s="67">
        <f>'Description Sheet'!L79</f>
        <v>680</v>
      </c>
      <c r="O80" s="73">
        <f>'Year (2024-2025)'!O80*(('Description Sheet'!M4)+1)</f>
        <v>206.79432192000004</v>
      </c>
      <c r="P80" s="68">
        <f>N80*O80</f>
        <v>140620.13890560003</v>
      </c>
      <c r="Q80" s="14"/>
      <c r="R80" s="44"/>
    </row>
    <row r="81" spans="1:18" hidden="1">
      <c r="A81" s="14"/>
      <c r="B81" s="112">
        <f>'Description Sheet'!B80</f>
        <v>7.12</v>
      </c>
      <c r="C81" s="152" t="str">
        <f>'Description Sheet'!C80</f>
        <v>Nutec Walls</v>
      </c>
      <c r="D81" s="107"/>
      <c r="E81" s="153" t="str">
        <f>IF('Maintenance Schedule'!N98="x","x","")</f>
        <v/>
      </c>
      <c r="F81" s="153" t="str">
        <f t="shared" si="32"/>
        <v/>
      </c>
      <c r="G81" s="154">
        <f t="shared" si="35"/>
        <v>0</v>
      </c>
      <c r="H81" s="155">
        <f t="shared" si="33"/>
        <v>0</v>
      </c>
      <c r="I81" s="156">
        <f t="shared" si="36"/>
        <v>0</v>
      </c>
      <c r="J81" s="14"/>
      <c r="K81" s="15"/>
      <c r="L81" s="32"/>
      <c r="M81" s="67" t="str">
        <f>'Description Sheet'!K80</f>
        <v>m2</v>
      </c>
      <c r="N81" s="67">
        <f>'Description Sheet'!L80</f>
        <v>390</v>
      </c>
      <c r="O81" s="73">
        <f>'Year (2024-2025)'!O81*(('Description Sheet'!M4)+1)</f>
        <v>151.01427456000005</v>
      </c>
      <c r="P81" s="68">
        <f>N81*O81</f>
        <v>58895.567078400018</v>
      </c>
      <c r="Q81" s="14"/>
      <c r="R81" s="44"/>
    </row>
    <row r="82" spans="1:18" hidden="1">
      <c r="A82" s="14"/>
      <c r="B82" s="112">
        <f>'Description Sheet'!B81</f>
        <v>7.13</v>
      </c>
      <c r="C82" s="152" t="str">
        <f>'Description Sheet'!C81</f>
        <v xml:space="preserve">Basement Parking Walls and Soffits Areas </v>
      </c>
      <c r="D82" s="107"/>
      <c r="E82" s="153" t="str">
        <f>IF('Maintenance Schedule'!N99="x","x","")</f>
        <v/>
      </c>
      <c r="F82" s="153" t="str">
        <f t="shared" si="32"/>
        <v/>
      </c>
      <c r="G82" s="154">
        <f t="shared" si="35"/>
        <v>0</v>
      </c>
      <c r="H82" s="155">
        <f t="shared" si="33"/>
        <v>0</v>
      </c>
      <c r="I82" s="156">
        <f t="shared" si="36"/>
        <v>0</v>
      </c>
      <c r="J82" s="14"/>
      <c r="K82" s="15"/>
      <c r="L82" s="32"/>
      <c r="M82" s="67" t="str">
        <f>'Description Sheet'!K81</f>
        <v>m2</v>
      </c>
      <c r="N82" s="67">
        <f>'Description Sheet'!L81</f>
        <v>0</v>
      </c>
      <c r="O82" s="73">
        <f>'Year (2024-2025)'!O82*(('Description Sheet'!M4)+1)</f>
        <v>199.99187712000005</v>
      </c>
      <c r="P82" s="68">
        <f>N82*O82</f>
        <v>0</v>
      </c>
      <c r="Q82" s="14"/>
      <c r="R82" s="44"/>
    </row>
    <row r="83" spans="1:18" hidden="1">
      <c r="A83" s="14"/>
      <c r="B83" s="112">
        <f>'Description Sheet'!B82</f>
        <v>7.14</v>
      </c>
      <c r="C83" s="152" t="str">
        <f>'Description Sheet'!C82</f>
        <v>Internal Common Walls and Soffit Areas</v>
      </c>
      <c r="D83" s="107"/>
      <c r="E83" s="153" t="str">
        <f>IF('Maintenance Schedule'!N100="x","x","")</f>
        <v/>
      </c>
      <c r="F83" s="153" t="str">
        <f t="shared" si="32"/>
        <v/>
      </c>
      <c r="G83" s="154">
        <f t="shared" si="35"/>
        <v>0</v>
      </c>
      <c r="H83" s="155">
        <f t="shared" si="33"/>
        <v>0</v>
      </c>
      <c r="I83" s="156">
        <f t="shared" si="36"/>
        <v>0</v>
      </c>
      <c r="J83" s="14"/>
      <c r="K83" s="15"/>
      <c r="L83" s="32"/>
      <c r="M83" s="67" t="str">
        <f>'Description Sheet'!K82</f>
        <v>m2</v>
      </c>
      <c r="N83" s="67">
        <f>'Description Sheet'!L82</f>
        <v>0</v>
      </c>
      <c r="O83" s="73">
        <f>'Year (2024-2025)'!O83*(('Description Sheet'!M4)+1)</f>
        <v>206.79432192000004</v>
      </c>
      <c r="P83" s="68">
        <f t="shared" ref="P83:P91" si="37">N83*O83</f>
        <v>0</v>
      </c>
      <c r="Q83" s="14"/>
      <c r="R83" s="44"/>
    </row>
    <row r="84" spans="1:18" hidden="1">
      <c r="A84" s="14"/>
      <c r="B84" s="112">
        <f>'Description Sheet'!B83</f>
        <v>7.15</v>
      </c>
      <c r="C84" s="152" t="str">
        <f>'Description Sheet'!C83</f>
        <v xml:space="preserve">Basement Parking Walls and Soffits Areas </v>
      </c>
      <c r="D84" s="107"/>
      <c r="E84" s="153" t="str">
        <f>IF('Maintenance Schedule'!N101="x","x","")</f>
        <v/>
      </c>
      <c r="F84" s="153" t="str">
        <f t="shared" si="32"/>
        <v/>
      </c>
      <c r="G84" s="154">
        <f t="shared" si="35"/>
        <v>0</v>
      </c>
      <c r="H84" s="155">
        <f t="shared" si="33"/>
        <v>0</v>
      </c>
      <c r="I84" s="156">
        <f t="shared" si="36"/>
        <v>0</v>
      </c>
      <c r="J84" s="14"/>
      <c r="K84" s="15"/>
      <c r="L84" s="32"/>
      <c r="M84" s="67" t="str">
        <f>'Description Sheet'!K83</f>
        <v>m2</v>
      </c>
      <c r="N84" s="67">
        <f>'Description Sheet'!L83</f>
        <v>0</v>
      </c>
      <c r="O84" s="73">
        <f>'Year (2024-2025)'!O84*(('Description Sheet'!M4)+1)</f>
        <v>199.99187712000005</v>
      </c>
      <c r="P84" s="68">
        <f t="shared" si="37"/>
        <v>0</v>
      </c>
      <c r="Q84" s="14"/>
      <c r="R84" s="44"/>
    </row>
    <row r="85" spans="1:18" hidden="1">
      <c r="A85" s="14"/>
      <c r="B85" s="112">
        <f>'Description Sheet'!B84</f>
        <v>7.16</v>
      </c>
      <c r="C85" s="152" t="str">
        <f>'Description Sheet'!C84</f>
        <v>Cleaning of Cladding Panels</v>
      </c>
      <c r="D85" s="107"/>
      <c r="E85" s="153" t="str">
        <f>IF('Maintenance Schedule'!N102="x","x","")</f>
        <v/>
      </c>
      <c r="F85" s="153" t="str">
        <f t="shared" si="32"/>
        <v/>
      </c>
      <c r="G85" s="154">
        <f t="shared" si="35"/>
        <v>0</v>
      </c>
      <c r="H85" s="155">
        <f t="shared" si="33"/>
        <v>0</v>
      </c>
      <c r="I85" s="156">
        <f t="shared" si="36"/>
        <v>0</v>
      </c>
      <c r="J85" s="14"/>
      <c r="K85" s="15"/>
      <c r="L85" s="32"/>
      <c r="M85" s="67" t="str">
        <f>'Description Sheet'!K84</f>
        <v>m2</v>
      </c>
      <c r="N85" s="67">
        <f>'Description Sheet'!L84</f>
        <v>0</v>
      </c>
      <c r="O85" s="73">
        <f>'Year (2024-2025)'!O85*(('Description Sheet'!M4)+1)</f>
        <v>138.76987392000004</v>
      </c>
      <c r="P85" s="68">
        <f t="shared" si="37"/>
        <v>0</v>
      </c>
      <c r="Q85" s="14"/>
      <c r="R85" s="44"/>
    </row>
    <row r="86" spans="1:18" hidden="1">
      <c r="A86" s="14"/>
      <c r="B86" s="112">
        <f>'Description Sheet'!B85</f>
        <v>7.17</v>
      </c>
      <c r="C86" s="152" t="str">
        <f>'Description Sheet'!C85</f>
        <v>Painting of Facais and Barge Boarding</v>
      </c>
      <c r="D86" s="107"/>
      <c r="E86" s="153" t="str">
        <f>IF('Maintenance Schedule'!N103="x","x","")</f>
        <v/>
      </c>
      <c r="F86" s="153" t="str">
        <f t="shared" si="32"/>
        <v/>
      </c>
      <c r="G86" s="154">
        <f t="shared" si="35"/>
        <v>0</v>
      </c>
      <c r="H86" s="155">
        <f t="shared" si="33"/>
        <v>0</v>
      </c>
      <c r="I86" s="156">
        <f t="shared" si="36"/>
        <v>0</v>
      </c>
      <c r="J86" s="14"/>
      <c r="K86" s="15"/>
      <c r="L86" s="32"/>
      <c r="M86" s="67" t="str">
        <f>'Description Sheet'!K85</f>
        <v>m2</v>
      </c>
      <c r="N86" s="67">
        <f>'Description Sheet'!L85</f>
        <v>0</v>
      </c>
      <c r="O86" s="73">
        <f>'Year (2024-2025)'!O86*(('Description Sheet'!M4)+1)</f>
        <v>183.66600960000005</v>
      </c>
      <c r="P86" s="68">
        <f t="shared" si="37"/>
        <v>0</v>
      </c>
      <c r="Q86" s="14"/>
      <c r="R86" s="44"/>
    </row>
    <row r="87" spans="1:18" hidden="1">
      <c r="A87" s="14"/>
      <c r="B87" s="112">
        <f>'Description Sheet'!B86</f>
        <v>7.18</v>
      </c>
      <c r="C87" s="152" t="str">
        <f>'Description Sheet'!C86</f>
        <v>Painting External Wooden Soffits</v>
      </c>
      <c r="D87" s="107"/>
      <c r="E87" s="153" t="str">
        <f>IF('Maintenance Schedule'!N104="x","x","")</f>
        <v/>
      </c>
      <c r="F87" s="153" t="str">
        <f t="shared" si="32"/>
        <v/>
      </c>
      <c r="G87" s="154">
        <f t="shared" si="35"/>
        <v>0</v>
      </c>
      <c r="H87" s="155">
        <f t="shared" si="33"/>
        <v>0</v>
      </c>
      <c r="I87" s="156">
        <f t="shared" si="36"/>
        <v>0</v>
      </c>
      <c r="J87" s="14"/>
      <c r="K87" s="15"/>
      <c r="L87" s="32"/>
      <c r="M87" s="67" t="str">
        <f>'Description Sheet'!K86</f>
        <v>m2</v>
      </c>
      <c r="N87" s="67">
        <f>'Description Sheet'!L86</f>
        <v>0</v>
      </c>
      <c r="O87" s="73">
        <f>'Year (2024-2025)'!O87*(('Description Sheet'!M4)+1)</f>
        <v>95.234227200000021</v>
      </c>
      <c r="P87" s="68">
        <f t="shared" si="37"/>
        <v>0</v>
      </c>
      <c r="Q87" s="14"/>
      <c r="R87" s="44"/>
    </row>
    <row r="88" spans="1:18" hidden="1">
      <c r="A88" s="14"/>
      <c r="B88" s="112">
        <f>'Description Sheet'!B87</f>
        <v>7.19</v>
      </c>
      <c r="C88" s="152" t="str">
        <f>'Description Sheet'!C87</f>
        <v>Painting of Palisade Fencing</v>
      </c>
      <c r="D88" s="107"/>
      <c r="E88" s="153" t="str">
        <f>IF('Maintenance Schedule'!N105="x","x","")</f>
        <v/>
      </c>
      <c r="F88" s="153" t="str">
        <f t="shared" si="32"/>
        <v/>
      </c>
      <c r="G88" s="154">
        <f t="shared" si="35"/>
        <v>0</v>
      </c>
      <c r="H88" s="155">
        <f t="shared" si="33"/>
        <v>0</v>
      </c>
      <c r="I88" s="156">
        <f t="shared" si="36"/>
        <v>0</v>
      </c>
      <c r="J88" s="14"/>
      <c r="K88" s="15"/>
      <c r="L88" s="32"/>
      <c r="M88" s="67" t="str">
        <f>'Description Sheet'!K87</f>
        <v>m2</v>
      </c>
      <c r="N88" s="67">
        <f>'Description Sheet'!L87</f>
        <v>0</v>
      </c>
      <c r="O88" s="73">
        <f>'Year (2024-2025)'!O88*(('Description Sheet'!M4)+1)</f>
        <v>95.234227200000021</v>
      </c>
      <c r="P88" s="68">
        <f t="shared" si="37"/>
        <v>0</v>
      </c>
      <c r="Q88" s="14"/>
      <c r="R88" s="44"/>
    </row>
    <row r="89" spans="1:18" hidden="1">
      <c r="A89" s="14"/>
      <c r="B89" s="112">
        <f>'Description Sheet'!B88</f>
        <v>7.2</v>
      </c>
      <c r="C89" s="152" t="str">
        <f>'Description Sheet'!C88</f>
        <v>blank</v>
      </c>
      <c r="D89" s="107"/>
      <c r="E89" s="153" t="str">
        <f>IF('Maintenance Schedule'!N106="x","x","")</f>
        <v/>
      </c>
      <c r="F89" s="153" t="str">
        <f t="shared" si="32"/>
        <v/>
      </c>
      <c r="G89" s="154">
        <f t="shared" si="35"/>
        <v>0</v>
      </c>
      <c r="H89" s="155">
        <f t="shared" si="33"/>
        <v>0</v>
      </c>
      <c r="I89" s="156">
        <f t="shared" si="36"/>
        <v>0</v>
      </c>
      <c r="J89" s="14"/>
      <c r="K89" s="15"/>
      <c r="L89" s="32"/>
      <c r="M89" s="67" t="str">
        <f>'Description Sheet'!K88</f>
        <v>m3</v>
      </c>
      <c r="N89" s="67">
        <f>'Description Sheet'!L88</f>
        <v>0</v>
      </c>
      <c r="O89" s="73">
        <f>'Year (2024-2025)'!O89*(('Description Sheet'!M4)+1)</f>
        <v>242.16703488000007</v>
      </c>
      <c r="P89" s="68">
        <f t="shared" si="37"/>
        <v>0</v>
      </c>
      <c r="Q89" s="14"/>
      <c r="R89" s="44"/>
    </row>
    <row r="90" spans="1:18" hidden="1">
      <c r="A90" s="14"/>
      <c r="B90" s="112">
        <f>'Description Sheet'!B89</f>
        <v>7.21</v>
      </c>
      <c r="C90" s="152" t="str">
        <f>'Description Sheet'!C89</f>
        <v>blank</v>
      </c>
      <c r="D90" s="107"/>
      <c r="E90" s="153" t="str">
        <f>IF('Maintenance Schedule'!N107="x","x","")</f>
        <v/>
      </c>
      <c r="F90" s="153" t="str">
        <f t="shared" si="32"/>
        <v/>
      </c>
      <c r="G90" s="154">
        <f t="shared" si="35"/>
        <v>0</v>
      </c>
      <c r="H90" s="155">
        <f t="shared" si="33"/>
        <v>0</v>
      </c>
      <c r="I90" s="156">
        <f t="shared" si="36"/>
        <v>0</v>
      </c>
      <c r="J90" s="14"/>
      <c r="K90" s="15"/>
      <c r="L90" s="32"/>
      <c r="M90" s="67" t="str">
        <f>'Description Sheet'!K89</f>
        <v>m3</v>
      </c>
      <c r="N90" s="67">
        <f>'Description Sheet'!L89</f>
        <v>0</v>
      </c>
      <c r="O90" s="73">
        <f>'Year (2024-2025)'!O90*(('Description Sheet'!M4)+1)</f>
        <v>13958.616729600006</v>
      </c>
      <c r="P90" s="68">
        <f t="shared" si="37"/>
        <v>0</v>
      </c>
      <c r="Q90" s="14"/>
      <c r="R90" s="44"/>
    </row>
    <row r="91" spans="1:18" hidden="1">
      <c r="A91" s="14"/>
      <c r="B91" s="112">
        <f>'Description Sheet'!B90</f>
        <v>7.22</v>
      </c>
      <c r="C91" s="152" t="str">
        <f>'Description Sheet'!C90</f>
        <v>blank</v>
      </c>
      <c r="D91" s="107"/>
      <c r="E91" s="153" t="str">
        <f>IF('Maintenance Schedule'!N108="x","x","")</f>
        <v/>
      </c>
      <c r="F91" s="153" t="str">
        <f t="shared" si="32"/>
        <v/>
      </c>
      <c r="G91" s="154">
        <f t="shared" si="35"/>
        <v>0</v>
      </c>
      <c r="H91" s="155">
        <f t="shared" si="33"/>
        <v>0</v>
      </c>
      <c r="I91" s="156">
        <f t="shared" si="36"/>
        <v>0</v>
      </c>
      <c r="J91" s="14"/>
      <c r="K91" s="15"/>
      <c r="L91" s="32"/>
      <c r="M91" s="67" t="str">
        <f>'Description Sheet'!K90</f>
        <v>m3</v>
      </c>
      <c r="N91" s="67">
        <f>'Description Sheet'!L90</f>
        <v>0</v>
      </c>
      <c r="O91" s="73">
        <f>'Year (2024-2025)'!O91*(('Description Sheet'!M4)+1)</f>
        <v>0</v>
      </c>
      <c r="P91" s="68">
        <f t="shared" si="37"/>
        <v>0</v>
      </c>
      <c r="Q91" s="14"/>
      <c r="R91" s="44"/>
    </row>
    <row r="92" spans="1:18" ht="17" thickBot="1">
      <c r="A92" s="14"/>
      <c r="B92" s="109"/>
      <c r="C92" s="152"/>
      <c r="D92" s="107"/>
      <c r="E92" s="153"/>
      <c r="F92" s="153" t="str">
        <f>IF(E92="x",M92,"")</f>
        <v/>
      </c>
      <c r="G92" s="154"/>
      <c r="H92" s="155"/>
      <c r="I92" s="156"/>
      <c r="J92" s="14"/>
      <c r="K92" s="15"/>
      <c r="L92" s="32"/>
      <c r="M92" s="70"/>
      <c r="N92" s="67"/>
      <c r="O92" s="73"/>
      <c r="P92" s="68"/>
      <c r="Q92" s="14"/>
      <c r="R92" s="44"/>
    </row>
    <row r="93" spans="1:18" s="4" customFormat="1" ht="15.75" customHeight="1" thickBot="1">
      <c r="A93" s="14"/>
      <c r="B93" s="109"/>
      <c r="C93" s="115"/>
      <c r="D93" s="107"/>
      <c r="E93" s="163"/>
      <c r="F93" s="528" t="s">
        <v>7</v>
      </c>
      <c r="G93" s="529"/>
      <c r="H93" s="530">
        <f>SUM(I70:I92)</f>
        <v>57086.116761600017</v>
      </c>
      <c r="I93" s="531"/>
      <c r="J93" s="14"/>
      <c r="K93" s="15"/>
      <c r="L93" s="33"/>
      <c r="M93" s="508" t="s">
        <v>7</v>
      </c>
      <c r="N93" s="509"/>
      <c r="O93" s="510">
        <f>SUM(P70:P92)</f>
        <v>2994744.7598561281</v>
      </c>
      <c r="P93" s="511"/>
      <c r="Q93" s="14"/>
      <c r="R93" s="31"/>
    </row>
    <row r="94" spans="1:18" ht="18" hidden="1" thickBot="1">
      <c r="A94" s="14"/>
      <c r="B94" s="179" t="s">
        <v>41</v>
      </c>
      <c r="C94" s="113" t="str">
        <f>'Description Sheet'!C93</f>
        <v xml:space="preserve">Waterproofing </v>
      </c>
      <c r="D94" s="107"/>
      <c r="E94" s="110"/>
      <c r="F94" s="110"/>
      <c r="G94" s="110"/>
      <c r="H94" s="110"/>
      <c r="I94" s="151"/>
      <c r="J94" s="32"/>
      <c r="K94" s="40"/>
      <c r="L94" s="33"/>
      <c r="M94" s="24"/>
      <c r="N94" s="25"/>
      <c r="O94" s="25"/>
      <c r="P94" s="63"/>
      <c r="Q94" s="14"/>
      <c r="R94" s="44"/>
    </row>
    <row r="95" spans="1:18" hidden="1">
      <c r="A95" s="14"/>
      <c r="B95" s="112">
        <f>'Description Sheet'!B94</f>
        <v>7.23</v>
      </c>
      <c r="C95" s="152" t="str">
        <f>'Description Sheet'!C94</f>
        <v>Waterproofing of Walkways</v>
      </c>
      <c r="D95" s="107"/>
      <c r="E95" s="153" t="str">
        <f>IF('Maintenance Schedule'!N115="x","x","")</f>
        <v/>
      </c>
      <c r="F95" s="153" t="str">
        <f t="shared" ref="F95:F102" si="38">IF(E95="x","No","")</f>
        <v/>
      </c>
      <c r="G95" s="154">
        <f>IF(E95="x",1,0)</f>
        <v>0</v>
      </c>
      <c r="H95" s="155">
        <f t="shared" ref="H95" si="39">IF(E95="x",P95,0)</f>
        <v>0</v>
      </c>
      <c r="I95" s="156">
        <f>IF(E95="x",G95*H95,0)</f>
        <v>0</v>
      </c>
      <c r="J95" s="14"/>
      <c r="K95" s="15"/>
      <c r="L95" s="32"/>
      <c r="M95" s="86" t="str">
        <f>'Description Sheet'!K94</f>
        <v>m2</v>
      </c>
      <c r="N95" s="67">
        <f>'Description Sheet'!L94</f>
        <v>1</v>
      </c>
      <c r="O95" s="73">
        <f>'Year (2024-2025)'!O95*(('Description Sheet'!M4)+1)</f>
        <v>220255.95203251205</v>
      </c>
      <c r="P95" s="69">
        <f>N95*O95</f>
        <v>220255.95203251205</v>
      </c>
      <c r="Q95" s="14"/>
      <c r="R95" s="44"/>
    </row>
    <row r="96" spans="1:18" hidden="1">
      <c r="A96" s="14"/>
      <c r="B96" s="112">
        <f>'Description Sheet'!B95</f>
        <v>7.24</v>
      </c>
      <c r="C96" s="152" t="str">
        <f>'Description Sheet'!C95</f>
        <v>Roof Repairs (Phase 2)</v>
      </c>
      <c r="D96" s="107"/>
      <c r="E96" s="153" t="str">
        <f>IF('Maintenance Schedule'!N116="x","x","")</f>
        <v/>
      </c>
      <c r="F96" s="153" t="str">
        <f t="shared" si="38"/>
        <v/>
      </c>
      <c r="G96" s="154">
        <f t="shared" ref="G96:G102" si="40">IF(E96="x",1,0)</f>
        <v>0</v>
      </c>
      <c r="H96" s="155">
        <f>IF(E96="x",P96,0)</f>
        <v>0</v>
      </c>
      <c r="I96" s="156">
        <f>IF(E96="x",G96*H96,0)</f>
        <v>0</v>
      </c>
      <c r="J96" s="14"/>
      <c r="K96" s="15"/>
      <c r="L96" s="32"/>
      <c r="M96" s="86" t="str">
        <f>'Description Sheet'!K95</f>
        <v>m2</v>
      </c>
      <c r="N96" s="67">
        <f>'Description Sheet'!L95</f>
        <v>1</v>
      </c>
      <c r="O96" s="73">
        <f>'Year (2024-2025)'!O96*(('Description Sheet'!M4)+1)</f>
        <v>680244.4800000001</v>
      </c>
      <c r="P96" s="69">
        <f>N96*O96</f>
        <v>680244.4800000001</v>
      </c>
      <c r="Q96" s="14"/>
      <c r="R96" s="44"/>
    </row>
    <row r="97" spans="1:18" hidden="1">
      <c r="A97" s="14"/>
      <c r="B97" s="112">
        <f>'Description Sheet'!B96</f>
        <v>7.25</v>
      </c>
      <c r="C97" s="152" t="str">
        <f>'Description Sheet'!C96</f>
        <v xml:space="preserve">Flat Roof Service </v>
      </c>
      <c r="D97" s="107"/>
      <c r="E97" s="153" t="str">
        <f>IF('Maintenance Schedule'!N117="x","x","")</f>
        <v/>
      </c>
      <c r="F97" s="153" t="str">
        <f t="shared" si="38"/>
        <v/>
      </c>
      <c r="G97" s="154">
        <f t="shared" si="40"/>
        <v>0</v>
      </c>
      <c r="H97" s="155">
        <f>IF(E97="x",P97,0)</f>
        <v>0</v>
      </c>
      <c r="I97" s="156">
        <f>IF(E97="x",G97*H97,0)</f>
        <v>0</v>
      </c>
      <c r="J97" s="14"/>
      <c r="K97" s="15"/>
      <c r="L97" s="32"/>
      <c r="M97" s="86" t="str">
        <f>'Description Sheet'!K96</f>
        <v>m2</v>
      </c>
      <c r="N97" s="67">
        <f>'Description Sheet'!L96</f>
        <v>895</v>
      </c>
      <c r="O97" s="73">
        <f>'Year (2024-2025)'!O97*(('Description Sheet'!M4)+1)</f>
        <v>88.431782400000003</v>
      </c>
      <c r="P97" s="69">
        <f>N97*O97</f>
        <v>79146.445248000004</v>
      </c>
      <c r="Q97" s="14"/>
      <c r="R97" s="44"/>
    </row>
    <row r="98" spans="1:18" hidden="1">
      <c r="A98" s="14"/>
      <c r="B98" s="112">
        <f>'Description Sheet'!B97</f>
        <v>7.26</v>
      </c>
      <c r="C98" s="152" t="str">
        <f>'Description Sheet'!C97</f>
        <v>Flat Roof Replacement</v>
      </c>
      <c r="D98" s="107"/>
      <c r="E98" s="153" t="str">
        <f>IF('Maintenance Schedule'!N118="x","x","")</f>
        <v/>
      </c>
      <c r="F98" s="153" t="str">
        <f t="shared" si="38"/>
        <v/>
      </c>
      <c r="G98" s="154">
        <f t="shared" si="40"/>
        <v>0</v>
      </c>
      <c r="H98" s="155">
        <f>IF(E98="x",P98,0)</f>
        <v>0</v>
      </c>
      <c r="I98" s="156">
        <f>IF(E98="x",G98*H98,0)</f>
        <v>0</v>
      </c>
      <c r="J98" s="14"/>
      <c r="K98" s="15"/>
      <c r="L98" s="32"/>
      <c r="M98" s="86" t="str">
        <f>'Description Sheet'!K97</f>
        <v>m2</v>
      </c>
      <c r="N98" s="67">
        <f>'Description Sheet'!L97</f>
        <v>1</v>
      </c>
      <c r="O98" s="73">
        <f>'Year (2024-2025)'!O98*(('Description Sheet'!M4)+1)</f>
        <v>880436.34899712016</v>
      </c>
      <c r="P98" s="69">
        <f>N98*O98</f>
        <v>880436.34899712016</v>
      </c>
      <c r="Q98" s="14"/>
      <c r="R98" s="44"/>
    </row>
    <row r="99" spans="1:18" hidden="1">
      <c r="A99" s="14"/>
      <c r="B99" s="112">
        <f>'Description Sheet'!B98</f>
        <v>7.27</v>
      </c>
      <c r="C99" s="152" t="str">
        <f>'Description Sheet'!C98</f>
        <v xml:space="preserve">Walkway and Staircases (Cementitious Waterproofing) </v>
      </c>
      <c r="D99" s="107"/>
      <c r="E99" s="153" t="str">
        <f>IF('Maintenance Schedule'!N119="x","x","")</f>
        <v/>
      </c>
      <c r="F99" s="153" t="str">
        <f t="shared" si="38"/>
        <v/>
      </c>
      <c r="G99" s="154">
        <f t="shared" si="40"/>
        <v>0</v>
      </c>
      <c r="H99" s="155">
        <f>IF(E99="x",P99,0)</f>
        <v>0</v>
      </c>
      <c r="I99" s="156">
        <f>IF(E99="x",G99*H99,0)</f>
        <v>0</v>
      </c>
      <c r="J99" s="14"/>
      <c r="K99" s="15"/>
      <c r="L99" s="32"/>
      <c r="M99" s="86" t="str">
        <f>'Description Sheet'!K98</f>
        <v>m2</v>
      </c>
      <c r="N99" s="67">
        <f>'Description Sheet'!L98</f>
        <v>0</v>
      </c>
      <c r="O99" s="73">
        <f>'Year (2024-2025)'!O99*(('Description Sheet'!M4)+1)</f>
        <v>557.80047360000015</v>
      </c>
      <c r="P99" s="69">
        <f>N99*O99</f>
        <v>0</v>
      </c>
      <c r="Q99" s="14"/>
      <c r="R99" s="44"/>
    </row>
    <row r="100" spans="1:18" hidden="1">
      <c r="A100" s="14"/>
      <c r="B100" s="112">
        <f>'Description Sheet'!B99</f>
        <v>7.28</v>
      </c>
      <c r="C100" s="152" t="str">
        <f>'Description Sheet'!C99</f>
        <v>Waterproofing Servicing of Parapets</v>
      </c>
      <c r="D100" s="107"/>
      <c r="E100" s="153" t="str">
        <f>IF('Maintenance Schedule'!N120="x","x","")</f>
        <v/>
      </c>
      <c r="F100" s="153" t="str">
        <f t="shared" si="38"/>
        <v/>
      </c>
      <c r="G100" s="154">
        <f t="shared" si="40"/>
        <v>0</v>
      </c>
      <c r="H100" s="155">
        <f t="shared" ref="H100:H102" si="41">IF(E100="x",P100,0)</f>
        <v>0</v>
      </c>
      <c r="I100" s="156">
        <f t="shared" ref="I100:I102" si="42">IF(E100="x",G100*H100,0)</f>
        <v>0</v>
      </c>
      <c r="J100" s="14"/>
      <c r="K100" s="15"/>
      <c r="L100" s="32"/>
      <c r="M100" s="86" t="str">
        <f>'Description Sheet'!K99</f>
        <v>m2</v>
      </c>
      <c r="N100" s="67">
        <f>'Description Sheet'!L99</f>
        <v>0</v>
      </c>
      <c r="O100" s="73">
        <f>'Year (2024-2025)'!O100*(('Description Sheet'!M4)+1)</f>
        <v>138.76987392000004</v>
      </c>
      <c r="P100" s="69">
        <f t="shared" ref="P100:P102" si="43">N100*O100</f>
        <v>0</v>
      </c>
      <c r="Q100" s="14"/>
      <c r="R100" s="44"/>
    </row>
    <row r="101" spans="1:18" hidden="1">
      <c r="A101" s="14"/>
      <c r="B101" s="112">
        <f>'Description Sheet'!B100</f>
        <v>7.29</v>
      </c>
      <c r="C101" s="152" t="str">
        <f>'Description Sheet'!C100</f>
        <v>blank</v>
      </c>
      <c r="D101" s="107"/>
      <c r="E101" s="153" t="str">
        <f>IF('Maintenance Schedule'!N121="x","x","")</f>
        <v/>
      </c>
      <c r="F101" s="153" t="str">
        <f t="shared" si="38"/>
        <v/>
      </c>
      <c r="G101" s="154">
        <f t="shared" si="40"/>
        <v>0</v>
      </c>
      <c r="H101" s="155">
        <f t="shared" si="41"/>
        <v>0</v>
      </c>
      <c r="I101" s="156">
        <f t="shared" si="42"/>
        <v>0</v>
      </c>
      <c r="J101" s="14"/>
      <c r="K101" s="15"/>
      <c r="L101" s="32"/>
      <c r="M101" s="86" t="str">
        <f>'Description Sheet'!K100</f>
        <v>m2</v>
      </c>
      <c r="N101" s="67">
        <f>'Description Sheet'!L100</f>
        <v>0</v>
      </c>
      <c r="O101" s="73">
        <f>'Year (2024-2025)'!O101*(('Description Sheet'!M4)+1)</f>
        <v>0</v>
      </c>
      <c r="P101" s="69">
        <f t="shared" si="43"/>
        <v>0</v>
      </c>
      <c r="Q101" s="14"/>
      <c r="R101" s="44"/>
    </row>
    <row r="102" spans="1:18" hidden="1">
      <c r="A102" s="14"/>
      <c r="B102" s="112">
        <f>'Description Sheet'!B101</f>
        <v>7.3</v>
      </c>
      <c r="C102" s="152" t="str">
        <f>'Description Sheet'!C101</f>
        <v>blank</v>
      </c>
      <c r="D102" s="107"/>
      <c r="E102" s="153" t="str">
        <f>IF('Maintenance Schedule'!N122="x","x","")</f>
        <v/>
      </c>
      <c r="F102" s="153" t="str">
        <f t="shared" si="38"/>
        <v/>
      </c>
      <c r="G102" s="154">
        <f t="shared" si="40"/>
        <v>0</v>
      </c>
      <c r="H102" s="155">
        <f t="shared" si="41"/>
        <v>0</v>
      </c>
      <c r="I102" s="156">
        <f t="shared" si="42"/>
        <v>0</v>
      </c>
      <c r="J102" s="14"/>
      <c r="K102" s="15"/>
      <c r="L102" s="32"/>
      <c r="M102" s="86" t="str">
        <f>'Description Sheet'!K101</f>
        <v>m2</v>
      </c>
      <c r="N102" s="67">
        <f>'Description Sheet'!L101</f>
        <v>0</v>
      </c>
      <c r="O102" s="73">
        <f>'Year (2024-2025)'!O102*(('Description Sheet'!M4)+1)</f>
        <v>0</v>
      </c>
      <c r="P102" s="69">
        <f t="shared" si="43"/>
        <v>0</v>
      </c>
      <c r="Q102" s="14"/>
      <c r="R102" s="44"/>
    </row>
    <row r="103" spans="1:18" ht="17" hidden="1" thickBot="1">
      <c r="A103" s="14"/>
      <c r="B103" s="109"/>
      <c r="C103" s="152"/>
      <c r="D103" s="107"/>
      <c r="E103" s="153"/>
      <c r="F103" s="154"/>
      <c r="G103" s="154"/>
      <c r="H103" s="155"/>
      <c r="I103" s="156"/>
      <c r="J103" s="14"/>
      <c r="K103" s="15"/>
      <c r="L103" s="32"/>
      <c r="M103" s="70"/>
      <c r="N103" s="67"/>
      <c r="O103" s="68"/>
      <c r="P103" s="69"/>
      <c r="Q103" s="14"/>
      <c r="R103" s="44"/>
    </row>
    <row r="104" spans="1:18" s="4" customFormat="1" ht="15.75" hidden="1" customHeight="1" thickBot="1">
      <c r="A104" s="14"/>
      <c r="B104" s="109"/>
      <c r="C104" s="115"/>
      <c r="D104" s="107"/>
      <c r="E104" s="159"/>
      <c r="F104" s="528" t="s">
        <v>7</v>
      </c>
      <c r="G104" s="529"/>
      <c r="H104" s="530">
        <f>SUM(I95:I102)</f>
        <v>0</v>
      </c>
      <c r="I104" s="531"/>
      <c r="J104" s="14"/>
      <c r="K104" s="15"/>
      <c r="L104" s="33"/>
      <c r="M104" s="508" t="s">
        <v>7</v>
      </c>
      <c r="N104" s="509"/>
      <c r="O104" s="510">
        <f>SUM(P95:P103)</f>
        <v>1860083.2262776322</v>
      </c>
      <c r="P104" s="511"/>
      <c r="Q104" s="14"/>
      <c r="R104" s="31"/>
    </row>
    <row r="105" spans="1:18" ht="17" thickBot="1">
      <c r="A105" s="14"/>
      <c r="B105" s="109">
        <f>'Description Sheet'!B104</f>
        <v>8</v>
      </c>
      <c r="C105" s="113" t="str">
        <f>'Description Sheet'!C104</f>
        <v>Communication and Service Supply Systems</v>
      </c>
      <c r="D105" s="107"/>
      <c r="E105" s="110"/>
      <c r="F105" s="110"/>
      <c r="G105" s="110"/>
      <c r="H105" s="110"/>
      <c r="I105" s="151"/>
      <c r="J105" s="32"/>
      <c r="K105" s="40"/>
      <c r="L105" s="33"/>
      <c r="M105" s="24"/>
      <c r="N105" s="25"/>
      <c r="O105" s="25"/>
      <c r="P105" s="63"/>
      <c r="Q105" s="14"/>
      <c r="R105" s="44"/>
    </row>
    <row r="106" spans="1:18" ht="17" hidden="1">
      <c r="A106" s="14"/>
      <c r="B106" s="109">
        <f>'Description Sheet'!B105</f>
        <v>8.1</v>
      </c>
      <c r="C106" s="164" t="str">
        <f>'Description Sheet'!C105</f>
        <v>Communication Systems (Service &amp; Upgrade Savings)</v>
      </c>
      <c r="D106" s="107"/>
      <c r="E106" s="153" t="str">
        <f>IF('Maintenance Schedule'!N129="x","x","")</f>
        <v/>
      </c>
      <c r="F106" s="153" t="str">
        <f>IF(E106="x","No","")</f>
        <v/>
      </c>
      <c r="G106" s="154">
        <f>IF(E106="x",1,0)</f>
        <v>0</v>
      </c>
      <c r="H106" s="155">
        <f t="shared" ref="H106:H109" si="44">IF(E106="x",P106,0)</f>
        <v>0</v>
      </c>
      <c r="I106" s="156">
        <f>IF(E106="x",G106*H106,0)</f>
        <v>0</v>
      </c>
      <c r="J106" s="14"/>
      <c r="K106" s="15"/>
      <c r="L106" s="32"/>
      <c r="M106" s="67" t="str">
        <f>'Description Sheet'!K105</f>
        <v>No</v>
      </c>
      <c r="N106" s="67">
        <f>'Description Sheet'!L105</f>
        <v>0</v>
      </c>
      <c r="O106" s="73">
        <f>'Year (2024-2025)'!O106*(('Description Sheet'!M4)+1)</f>
        <v>4001.1980313600011</v>
      </c>
      <c r="P106" s="69">
        <f>N106*O106</f>
        <v>0</v>
      </c>
      <c r="Q106" s="14"/>
      <c r="R106" s="44"/>
    </row>
    <row r="107" spans="1:18" ht="17">
      <c r="A107" s="14"/>
      <c r="B107" s="109">
        <f>'Description Sheet'!B106</f>
        <v>8.1999999999999993</v>
      </c>
      <c r="C107" s="164" t="str">
        <f>'Description Sheet'!C106</f>
        <v>Intercom Systems (Replacement Maintenance/Savings)</v>
      </c>
      <c r="D107" s="107"/>
      <c r="E107" s="153" t="str">
        <f>IF('Maintenance Schedule'!N130="x","x","")</f>
        <v>x</v>
      </c>
      <c r="F107" s="153" t="str">
        <f t="shared" ref="F107:F109" si="45">IF(E107="x","No","")</f>
        <v>No</v>
      </c>
      <c r="G107" s="154">
        <f t="shared" ref="G107:G109" si="46">IF(E107="x",1,0)</f>
        <v>1</v>
      </c>
      <c r="H107" s="155">
        <f t="shared" si="44"/>
        <v>5602.4935372800019</v>
      </c>
      <c r="I107" s="156">
        <f t="shared" ref="I107:I109" si="47">IF(E107="x",G107*H107,0)</f>
        <v>5602.4935372800019</v>
      </c>
      <c r="J107" s="14"/>
      <c r="K107" s="15"/>
      <c r="L107" s="32"/>
      <c r="M107" s="67" t="str">
        <f>'Description Sheet'!K106</f>
        <v>No</v>
      </c>
      <c r="N107" s="67">
        <f>'Description Sheet'!L106</f>
        <v>1</v>
      </c>
      <c r="O107" s="73">
        <f>'Year (2024-2025)'!O107*(('Description Sheet'!M4)+1)</f>
        <v>5602.4935372800019</v>
      </c>
      <c r="P107" s="69">
        <f t="shared" ref="P107:P109" si="48">N107*O107</f>
        <v>5602.4935372800019</v>
      </c>
      <c r="Q107" s="14"/>
      <c r="R107" s="44"/>
    </row>
    <row r="108" spans="1:18" ht="17" hidden="1">
      <c r="A108" s="14"/>
      <c r="B108" s="109">
        <f>'Description Sheet'!B107</f>
        <v>8.3000000000000007</v>
      </c>
      <c r="C108" s="164" t="str">
        <f>'Description Sheet'!C107</f>
        <v xml:space="preserve">Intercom System Replacement </v>
      </c>
      <c r="D108" s="107"/>
      <c r="E108" s="153" t="str">
        <f>IF('Maintenance Schedule'!N131="x","x","")</f>
        <v/>
      </c>
      <c r="F108" s="153" t="str">
        <f t="shared" si="45"/>
        <v/>
      </c>
      <c r="G108" s="154">
        <f t="shared" si="46"/>
        <v>0</v>
      </c>
      <c r="H108" s="155">
        <f t="shared" si="44"/>
        <v>0</v>
      </c>
      <c r="I108" s="156">
        <f t="shared" si="47"/>
        <v>0</v>
      </c>
      <c r="J108" s="14"/>
      <c r="K108" s="15"/>
      <c r="L108" s="32"/>
      <c r="M108" s="67" t="str">
        <f>'Description Sheet'!K107</f>
        <v>No</v>
      </c>
      <c r="N108" s="67">
        <f>'Description Sheet'!L107</f>
        <v>1</v>
      </c>
      <c r="O108" s="73">
        <f>'Year (2024-2025)'!O108*(('Description Sheet'!M4)+1)</f>
        <v>57140.536320000014</v>
      </c>
      <c r="P108" s="69">
        <f t="shared" si="48"/>
        <v>57140.536320000014</v>
      </c>
      <c r="Q108" s="14"/>
      <c r="R108" s="44"/>
    </row>
    <row r="109" spans="1:18" ht="17" hidden="1">
      <c r="A109" s="14"/>
      <c r="B109" s="109">
        <f>'Description Sheet'!B108</f>
        <v>8.4</v>
      </c>
      <c r="C109" s="164" t="str">
        <f>'Description Sheet'!C108</f>
        <v>blank</v>
      </c>
      <c r="D109" s="107"/>
      <c r="E109" s="153" t="str">
        <f>IF('Maintenance Schedule'!N132="x","x","")</f>
        <v/>
      </c>
      <c r="F109" s="153" t="str">
        <f t="shared" si="45"/>
        <v/>
      </c>
      <c r="G109" s="154">
        <f t="shared" si="46"/>
        <v>0</v>
      </c>
      <c r="H109" s="155">
        <f t="shared" si="44"/>
        <v>0</v>
      </c>
      <c r="I109" s="156">
        <f t="shared" si="47"/>
        <v>0</v>
      </c>
      <c r="J109" s="14"/>
      <c r="K109" s="15"/>
      <c r="L109" s="32"/>
      <c r="M109" s="67" t="str">
        <f>'Description Sheet'!K108</f>
        <v>No</v>
      </c>
      <c r="N109" s="67">
        <f>'Description Sheet'!L108</f>
        <v>0</v>
      </c>
      <c r="O109" s="73">
        <f>'Year (2024-2025)'!O109*(('Description Sheet'!M4)+1)</f>
        <v>0</v>
      </c>
      <c r="P109" s="69">
        <f t="shared" si="48"/>
        <v>0</v>
      </c>
      <c r="Q109" s="14"/>
      <c r="R109" s="44"/>
    </row>
    <row r="110" spans="1:18" ht="17" thickBot="1">
      <c r="A110" s="14"/>
      <c r="B110" s="109"/>
      <c r="C110" s="164"/>
      <c r="D110" s="107"/>
      <c r="E110" s="162"/>
      <c r="F110" s="154"/>
      <c r="G110" s="154"/>
      <c r="H110" s="155"/>
      <c r="I110" s="155"/>
      <c r="J110" s="14"/>
      <c r="K110" s="15"/>
      <c r="L110" s="32"/>
      <c r="M110" s="67"/>
      <c r="N110" s="67"/>
      <c r="O110" s="73"/>
      <c r="P110" s="68"/>
      <c r="Q110" s="14"/>
      <c r="R110" s="44"/>
    </row>
    <row r="111" spans="1:18" s="4" customFormat="1" ht="15.75" customHeight="1" thickBot="1">
      <c r="A111" s="14"/>
      <c r="B111" s="109"/>
      <c r="C111" s="158"/>
      <c r="D111" s="107"/>
      <c r="E111" s="159"/>
      <c r="F111" s="528" t="s">
        <v>7</v>
      </c>
      <c r="G111" s="529"/>
      <c r="H111" s="530">
        <f>SUM(I106:I110)</f>
        <v>5602.4935372800019</v>
      </c>
      <c r="I111" s="531"/>
      <c r="J111" s="14"/>
      <c r="K111" s="15"/>
      <c r="L111" s="33"/>
      <c r="M111" s="508" t="s">
        <v>7</v>
      </c>
      <c r="N111" s="509"/>
      <c r="O111" s="510">
        <f>SUM(P106:P110)</f>
        <v>62743.029857280017</v>
      </c>
      <c r="P111" s="511"/>
      <c r="Q111" s="14"/>
      <c r="R111" s="31"/>
    </row>
    <row r="112" spans="1:18" ht="17" thickBot="1">
      <c r="A112" s="14"/>
      <c r="B112" s="109">
        <f>'Description Sheet'!B111</f>
        <v>9</v>
      </c>
      <c r="C112" s="113" t="str">
        <f>'Description Sheet'!C111</f>
        <v>Parking Facilities</v>
      </c>
      <c r="D112" s="107"/>
      <c r="E112" s="110"/>
      <c r="F112" s="110"/>
      <c r="G112" s="110"/>
      <c r="H112" s="110"/>
      <c r="I112" s="151"/>
      <c r="J112" s="32"/>
      <c r="K112" s="40"/>
      <c r="L112" s="33"/>
      <c r="M112" s="24"/>
      <c r="N112" s="25"/>
      <c r="O112" s="25"/>
      <c r="P112" s="63"/>
      <c r="Q112" s="14"/>
      <c r="R112" s="44"/>
    </row>
    <row r="113" spans="1:18" ht="17">
      <c r="A113" s="14"/>
      <c r="B113" s="109">
        <f>'Description Sheet'!B112</f>
        <v>9.1</v>
      </c>
      <c r="C113" s="164" t="str">
        <f>'Description Sheet'!C112</f>
        <v>Painting of Demarcation Lines</v>
      </c>
      <c r="D113" s="107"/>
      <c r="E113" s="153" t="str">
        <f>IF('Maintenance Schedule'!N139="x","x","")</f>
        <v>x</v>
      </c>
      <c r="F113" s="153" t="str">
        <f>IF(E113="x","No","")</f>
        <v>No</v>
      </c>
      <c r="G113" s="154">
        <f>IF(E113="x",1,0)</f>
        <v>1</v>
      </c>
      <c r="H113" s="155">
        <f t="shared" ref="H113:H116" si="49">IF(E113="x",P113,0)</f>
        <v>8843.1782400000029</v>
      </c>
      <c r="I113" s="156">
        <f>IF(E113="x",G113*H113,0)</f>
        <v>8843.1782400000029</v>
      </c>
      <c r="J113" s="14"/>
      <c r="K113" s="15"/>
      <c r="L113" s="32"/>
      <c r="M113" s="67" t="str">
        <f>'Description Sheet'!K112</f>
        <v>lm</v>
      </c>
      <c r="N113" s="67">
        <f>'Description Sheet'!L112</f>
        <v>1</v>
      </c>
      <c r="O113" s="73">
        <f>'Year (2024-2025)'!O113*(('Description Sheet'!M4)+1)</f>
        <v>8843.1782400000029</v>
      </c>
      <c r="P113" s="68">
        <f>N113*O113</f>
        <v>8843.1782400000029</v>
      </c>
      <c r="Q113" s="14"/>
      <c r="R113" s="44"/>
    </row>
    <row r="114" spans="1:18" ht="17" hidden="1">
      <c r="A114" s="14"/>
      <c r="B114" s="109">
        <f>'Description Sheet'!B113</f>
        <v>9.1999999999999993</v>
      </c>
      <c r="C114" s="164" t="str">
        <f>'Description Sheet'!C113</f>
        <v>Shade Port Netting (Replacement and Maintanance)</v>
      </c>
      <c r="D114" s="107"/>
      <c r="E114" s="153" t="str">
        <f>IF('Maintenance Schedule'!N140="x","x","")</f>
        <v/>
      </c>
      <c r="F114" s="153" t="str">
        <f t="shared" ref="F114:F116" si="50">IF(E114="x","No","")</f>
        <v/>
      </c>
      <c r="G114" s="154">
        <f t="shared" ref="G114:G116" si="51">IF(E114="x",1,0)</f>
        <v>0</v>
      </c>
      <c r="H114" s="155">
        <f t="shared" si="49"/>
        <v>0</v>
      </c>
      <c r="I114" s="156">
        <f t="shared" ref="I114:I116" si="52">IF(E114="x",G114*H114,0)</f>
        <v>0</v>
      </c>
      <c r="J114" s="14"/>
      <c r="K114" s="15"/>
      <c r="L114" s="32"/>
      <c r="M114" s="67" t="str">
        <f>'Description Sheet'!K113</f>
        <v>No</v>
      </c>
      <c r="N114" s="67">
        <f>'Description Sheet'!L113</f>
        <v>0</v>
      </c>
      <c r="O114" s="73">
        <f>'Year (2024-2025)'!O114*(('Description Sheet'!M4)+1)</f>
        <v>10405.019566080002</v>
      </c>
      <c r="P114" s="68">
        <f t="shared" ref="P114:P116" si="53">N114*O114</f>
        <v>0</v>
      </c>
      <c r="Q114" s="14"/>
      <c r="R114" s="44"/>
    </row>
    <row r="115" spans="1:18" ht="17" hidden="1">
      <c r="A115" s="14"/>
      <c r="B115" s="109">
        <f>'Description Sheet'!B114</f>
        <v>9.3000000000000007</v>
      </c>
      <c r="C115" s="164" t="str">
        <f>'Description Sheet'!C114</f>
        <v>Garages (Maintanance)</v>
      </c>
      <c r="D115" s="107"/>
      <c r="E115" s="153" t="str">
        <f>IF('Maintenance Schedule'!N141="x","x","")</f>
        <v/>
      </c>
      <c r="F115" s="153" t="str">
        <f t="shared" si="50"/>
        <v/>
      </c>
      <c r="G115" s="154">
        <f t="shared" si="51"/>
        <v>0</v>
      </c>
      <c r="H115" s="155">
        <f t="shared" si="49"/>
        <v>0</v>
      </c>
      <c r="I115" s="156">
        <f t="shared" si="52"/>
        <v>0</v>
      </c>
      <c r="J115" s="14"/>
      <c r="K115" s="15"/>
      <c r="L115" s="32"/>
      <c r="M115" s="67" t="str">
        <f>'Description Sheet'!K114</f>
        <v>No</v>
      </c>
      <c r="N115" s="67">
        <f>'Description Sheet'!L114</f>
        <v>0</v>
      </c>
      <c r="O115" s="73">
        <f>'Year (2024-2025)'!O115*(('Description Sheet'!M4)+1)</f>
        <v>734.66403840000021</v>
      </c>
      <c r="P115" s="68">
        <f t="shared" si="53"/>
        <v>0</v>
      </c>
      <c r="Q115" s="14"/>
      <c r="R115" s="44"/>
    </row>
    <row r="116" spans="1:18" ht="17" hidden="1">
      <c r="A116" s="14"/>
      <c r="B116" s="109">
        <f>'Description Sheet'!B115</f>
        <v>9.4</v>
      </c>
      <c r="C116" s="164" t="str">
        <f>'Description Sheet'!C115</f>
        <v>Parking Facilities</v>
      </c>
      <c r="D116" s="107"/>
      <c r="E116" s="153" t="str">
        <f>IF('Maintenance Schedule'!N142="x","x","")</f>
        <v/>
      </c>
      <c r="F116" s="153" t="str">
        <f t="shared" si="50"/>
        <v/>
      </c>
      <c r="G116" s="154">
        <f t="shared" si="51"/>
        <v>0</v>
      </c>
      <c r="H116" s="155">
        <f t="shared" si="49"/>
        <v>0</v>
      </c>
      <c r="I116" s="156">
        <f t="shared" si="52"/>
        <v>0</v>
      </c>
      <c r="J116" s="14"/>
      <c r="K116" s="15"/>
      <c r="L116" s="32"/>
      <c r="M116" s="67" t="str">
        <f>'Description Sheet'!K115</f>
        <v>No</v>
      </c>
      <c r="N116" s="67">
        <f>'Description Sheet'!L115</f>
        <v>0</v>
      </c>
      <c r="O116" s="73">
        <f>'Year (2024-2025)'!O116*(('Description Sheet'!M4)+1)</f>
        <v>6611.976345600001</v>
      </c>
      <c r="P116" s="68">
        <f t="shared" si="53"/>
        <v>0</v>
      </c>
      <c r="Q116" s="14"/>
      <c r="R116" s="44"/>
    </row>
    <row r="117" spans="1:18" ht="17" thickBot="1">
      <c r="A117" s="14"/>
      <c r="B117" s="109"/>
      <c r="C117" s="164"/>
      <c r="D117" s="107"/>
      <c r="E117" s="162"/>
      <c r="F117" s="154"/>
      <c r="G117" s="154"/>
      <c r="H117" s="155"/>
      <c r="I117" s="155"/>
      <c r="J117" s="14"/>
      <c r="K117" s="15"/>
      <c r="L117" s="32"/>
      <c r="M117" s="67"/>
      <c r="N117" s="67"/>
      <c r="O117" s="73"/>
      <c r="P117" s="68"/>
      <c r="Q117" s="14"/>
      <c r="R117" s="44"/>
    </row>
    <row r="118" spans="1:18" s="4" customFormat="1" ht="15.75" customHeight="1" thickBot="1">
      <c r="A118" s="14"/>
      <c r="B118" s="109"/>
      <c r="C118" s="158"/>
      <c r="D118" s="107"/>
      <c r="E118" s="159"/>
      <c r="F118" s="528" t="s">
        <v>7</v>
      </c>
      <c r="G118" s="529"/>
      <c r="H118" s="530">
        <f>SUM(I113:I117)</f>
        <v>8843.1782400000029</v>
      </c>
      <c r="I118" s="531"/>
      <c r="J118" s="14"/>
      <c r="K118" s="15"/>
      <c r="L118" s="33"/>
      <c r="M118" s="508" t="s">
        <v>7</v>
      </c>
      <c r="N118" s="509"/>
      <c r="O118" s="510">
        <f>SUM(P113:P117)</f>
        <v>8843.1782400000029</v>
      </c>
      <c r="P118" s="511"/>
      <c r="Q118" s="14"/>
      <c r="R118" s="31"/>
    </row>
    <row r="119" spans="1:18" ht="17" hidden="1" thickBot="1">
      <c r="A119" s="14"/>
      <c r="B119" s="109">
        <f>'Description Sheet'!B118</f>
        <v>10</v>
      </c>
      <c r="C119" s="113" t="str">
        <f>'Description Sheet'!C118</f>
        <v>Roadways and Paved Areas</v>
      </c>
      <c r="D119" s="107"/>
      <c r="E119" s="110"/>
      <c r="F119" s="110"/>
      <c r="G119" s="110"/>
      <c r="H119" s="110"/>
      <c r="I119" s="151"/>
      <c r="J119" s="32"/>
      <c r="K119" s="40"/>
      <c r="L119" s="33"/>
      <c r="M119" s="24"/>
      <c r="N119" s="25"/>
      <c r="O119" s="25"/>
      <c r="P119" s="63"/>
      <c r="Q119" s="14"/>
      <c r="R119" s="44"/>
    </row>
    <row r="120" spans="1:18" ht="17" hidden="1">
      <c r="A120" s="14"/>
      <c r="B120" s="109">
        <f>'Description Sheet'!B119</f>
        <v>10.1</v>
      </c>
      <c r="C120" s="114" t="str">
        <f>'Description Sheet'!C119</f>
        <v>Tarmac Areas (Reinstatement)</v>
      </c>
      <c r="D120" s="107"/>
      <c r="E120" s="153" t="str">
        <f>IF('Maintenance Schedule'!N149="x","x","")</f>
        <v/>
      </c>
      <c r="F120" s="153" t="str">
        <f>IF(E120="x","No","")</f>
        <v/>
      </c>
      <c r="G120" s="154">
        <f>IF(E120="x",1,0)</f>
        <v>0</v>
      </c>
      <c r="H120" s="155">
        <f t="shared" ref="H120" si="54">IF(E120="x",P120,0)</f>
        <v>0</v>
      </c>
      <c r="I120" s="156">
        <f>IF(E120="x",G120*H120,0)</f>
        <v>0</v>
      </c>
      <c r="J120" s="14"/>
      <c r="K120" s="15"/>
      <c r="L120" s="32"/>
      <c r="M120" s="67" t="str">
        <f>'Description Sheet'!K119</f>
        <v>No</v>
      </c>
      <c r="N120" s="67">
        <f>'Description Sheet'!L119</f>
        <v>0</v>
      </c>
      <c r="O120" s="73">
        <f>'Year (2024-2025)'!O120*(('Description Sheet'!M4)+1)</f>
        <v>6611.976345600001</v>
      </c>
      <c r="P120" s="68">
        <f>N120*O120</f>
        <v>0</v>
      </c>
      <c r="Q120" s="14"/>
      <c r="R120" s="44"/>
    </row>
    <row r="121" spans="1:18" ht="17" hidden="1">
      <c r="A121" s="14"/>
      <c r="B121" s="109">
        <f>'Description Sheet'!B120</f>
        <v>10.199999999999999</v>
      </c>
      <c r="C121" s="114" t="str">
        <f>'Description Sheet'!C120</f>
        <v>Concrete Areas (Reinstatement)</v>
      </c>
      <c r="D121" s="107"/>
      <c r="E121" s="153" t="str">
        <f>IF('Maintenance Schedule'!N150="x","x","")</f>
        <v/>
      </c>
      <c r="F121" s="153" t="str">
        <f t="shared" ref="F121:F126" si="55">IF(E121="x","No","")</f>
        <v/>
      </c>
      <c r="G121" s="154">
        <f t="shared" ref="G121:G126" si="56">IF(E121="x",1,0)</f>
        <v>0</v>
      </c>
      <c r="H121" s="155">
        <f>IF(E121="x",P121,0)</f>
        <v>0</v>
      </c>
      <c r="I121" s="156">
        <f>IF(E121="x",G121*H121,0)</f>
        <v>0</v>
      </c>
      <c r="J121" s="14"/>
      <c r="K121" s="15"/>
      <c r="L121" s="32"/>
      <c r="M121" s="67" t="str">
        <f>'Description Sheet'!K120</f>
        <v>No</v>
      </c>
      <c r="N121" s="67">
        <f>'Description Sheet'!L120</f>
        <v>1</v>
      </c>
      <c r="O121" s="73">
        <f>'Year (2024-2025)'!O121*(('Description Sheet'!M4)+1)</f>
        <v>3201.230522880001</v>
      </c>
      <c r="P121" s="68">
        <f>N121*O121</f>
        <v>3201.230522880001</v>
      </c>
      <c r="Q121" s="14"/>
      <c r="R121" s="44"/>
    </row>
    <row r="122" spans="1:18" ht="17" hidden="1">
      <c r="A122" s="14"/>
      <c r="B122" s="109">
        <f>'Description Sheet'!B121</f>
        <v>10.3</v>
      </c>
      <c r="C122" s="114" t="str">
        <f>'Description Sheet'!C121</f>
        <v>Paving  Areas (Reinstatement)</v>
      </c>
      <c r="D122" s="107"/>
      <c r="E122" s="153" t="str">
        <f>IF('Maintenance Schedule'!N151="x","x","")</f>
        <v/>
      </c>
      <c r="F122" s="153" t="str">
        <f t="shared" si="55"/>
        <v/>
      </c>
      <c r="G122" s="154">
        <f t="shared" si="56"/>
        <v>0</v>
      </c>
      <c r="H122" s="155">
        <f>IF(E122="x",P122,0)</f>
        <v>0</v>
      </c>
      <c r="I122" s="156">
        <f>IF(E122="x",G122*H122,0)</f>
        <v>0</v>
      </c>
      <c r="J122" s="14"/>
      <c r="K122" s="15"/>
      <c r="L122" s="32"/>
      <c r="M122" s="67" t="str">
        <f>'Description Sheet'!K121</f>
        <v>No</v>
      </c>
      <c r="N122" s="67">
        <f>'Description Sheet'!L121</f>
        <v>1</v>
      </c>
      <c r="O122" s="73">
        <f>'Year (2024-2025)'!O122*(('Description Sheet'!M4)+1)</f>
        <v>3201.230522880001</v>
      </c>
      <c r="P122" s="68">
        <f>N122*O122</f>
        <v>3201.230522880001</v>
      </c>
      <c r="Q122" s="14"/>
      <c r="R122" s="44"/>
    </row>
    <row r="123" spans="1:18" ht="17" hidden="1">
      <c r="A123" s="14"/>
      <c r="B123" s="109">
        <f>'Description Sheet'!B122</f>
        <v>10.4</v>
      </c>
      <c r="C123" s="114" t="str">
        <f>'Description Sheet'!C122</f>
        <v>Reinstatement of Walkways (Grouting and Tiles)</v>
      </c>
      <c r="D123" s="107"/>
      <c r="E123" s="153" t="str">
        <f>IF('Maintenance Schedule'!N152="x","x","")</f>
        <v/>
      </c>
      <c r="F123" s="153" t="str">
        <f t="shared" si="55"/>
        <v/>
      </c>
      <c r="G123" s="154">
        <f t="shared" si="56"/>
        <v>0</v>
      </c>
      <c r="H123" s="155">
        <f>IF(E123="x",P123,0)</f>
        <v>0</v>
      </c>
      <c r="I123" s="156">
        <f>IF(E123="x",G123*H123,0)</f>
        <v>0</v>
      </c>
      <c r="J123" s="14"/>
      <c r="K123" s="15"/>
      <c r="L123" s="32"/>
      <c r="M123" s="67" t="str">
        <f>'Description Sheet'!K122</f>
        <v>No</v>
      </c>
      <c r="N123" s="67">
        <f>'Description Sheet'!L122</f>
        <v>1</v>
      </c>
      <c r="O123" s="73">
        <f>'Year (2024-2025)'!O123*(('Description Sheet'!M4)+1)</f>
        <v>3201.230522880001</v>
      </c>
      <c r="P123" s="68">
        <f>N123*O123</f>
        <v>3201.230522880001</v>
      </c>
      <c r="Q123" s="14"/>
      <c r="R123" s="44"/>
    </row>
    <row r="124" spans="1:18" ht="17" hidden="1">
      <c r="A124" s="14"/>
      <c r="B124" s="109">
        <f>'Description Sheet'!B123</f>
        <v>10.5</v>
      </c>
      <c r="C124" s="114" t="str">
        <f>'Description Sheet'!C123</f>
        <v>Tarmac Damaged Areas (Replacement)</v>
      </c>
      <c r="D124" s="107"/>
      <c r="E124" s="153" t="str">
        <f>IF('Maintenance Schedule'!N153="x","x","")</f>
        <v/>
      </c>
      <c r="F124" s="153" t="str">
        <f t="shared" si="55"/>
        <v/>
      </c>
      <c r="G124" s="154">
        <f t="shared" si="56"/>
        <v>0</v>
      </c>
      <c r="H124" s="155">
        <f t="shared" ref="H124:H126" si="57">IF(E124="x",P124,0)</f>
        <v>0</v>
      </c>
      <c r="I124" s="156">
        <f t="shared" ref="I124:I126" si="58">IF(E124="x",G124*H124,0)</f>
        <v>0</v>
      </c>
      <c r="J124" s="14"/>
      <c r="K124" s="15"/>
      <c r="L124" s="32"/>
      <c r="M124" s="67" t="str">
        <f>'Description Sheet'!K123</f>
        <v>No</v>
      </c>
      <c r="N124" s="67">
        <f>'Description Sheet'!L123</f>
        <v>0</v>
      </c>
      <c r="O124" s="73">
        <f>'Year (2024-2025)'!O124*(('Description Sheet'!M4)+1)</f>
        <v>0</v>
      </c>
      <c r="P124" s="68">
        <f t="shared" ref="P124:P126" si="59">N124*O124</f>
        <v>0</v>
      </c>
      <c r="Q124" s="14"/>
      <c r="R124" s="44"/>
    </row>
    <row r="125" spans="1:18" ht="17" hidden="1">
      <c r="A125" s="14"/>
      <c r="B125" s="109">
        <f>'Description Sheet'!B124</f>
        <v>10.6</v>
      </c>
      <c r="C125" s="114" t="str">
        <f>'Description Sheet'!C124</f>
        <v>blank</v>
      </c>
      <c r="D125" s="107"/>
      <c r="E125" s="153" t="str">
        <f>IF('Maintenance Schedule'!N154="x","x","")</f>
        <v/>
      </c>
      <c r="F125" s="153" t="str">
        <f t="shared" si="55"/>
        <v/>
      </c>
      <c r="G125" s="154">
        <f t="shared" si="56"/>
        <v>0</v>
      </c>
      <c r="H125" s="155">
        <f t="shared" si="57"/>
        <v>0</v>
      </c>
      <c r="I125" s="156">
        <f t="shared" si="58"/>
        <v>0</v>
      </c>
      <c r="J125" s="14"/>
      <c r="K125" s="15"/>
      <c r="L125" s="32"/>
      <c r="M125" s="67" t="str">
        <f>'Description Sheet'!K124</f>
        <v>No</v>
      </c>
      <c r="N125" s="67">
        <f>'Description Sheet'!L124</f>
        <v>0</v>
      </c>
      <c r="O125" s="73">
        <f>'Year (2024-2025)'!O125*(('Description Sheet'!M4)+1)</f>
        <v>0</v>
      </c>
      <c r="P125" s="68">
        <f t="shared" si="59"/>
        <v>0</v>
      </c>
      <c r="Q125" s="14"/>
      <c r="R125" s="44"/>
    </row>
    <row r="126" spans="1:18" ht="17" hidden="1">
      <c r="A126" s="14"/>
      <c r="B126" s="109">
        <f>'Description Sheet'!B125</f>
        <v>10.7</v>
      </c>
      <c r="C126" s="114" t="str">
        <f>'Description Sheet'!C125</f>
        <v>blank</v>
      </c>
      <c r="D126" s="107"/>
      <c r="E126" s="153" t="str">
        <f>IF('Maintenance Schedule'!N155="x","x","")</f>
        <v/>
      </c>
      <c r="F126" s="153" t="str">
        <f t="shared" si="55"/>
        <v/>
      </c>
      <c r="G126" s="154">
        <f t="shared" si="56"/>
        <v>0</v>
      </c>
      <c r="H126" s="155">
        <f t="shared" si="57"/>
        <v>0</v>
      </c>
      <c r="I126" s="156">
        <f t="shared" si="58"/>
        <v>0</v>
      </c>
      <c r="J126" s="14"/>
      <c r="K126" s="15"/>
      <c r="L126" s="32"/>
      <c r="M126" s="67" t="str">
        <f>'Description Sheet'!K125</f>
        <v>No</v>
      </c>
      <c r="N126" s="67">
        <f>'Description Sheet'!L125</f>
        <v>0</v>
      </c>
      <c r="O126" s="73">
        <f>'Year (2024-2025)'!O126*(('Description Sheet'!M4)+1)</f>
        <v>0</v>
      </c>
      <c r="P126" s="68">
        <f t="shared" si="59"/>
        <v>0</v>
      </c>
      <c r="Q126" s="14"/>
      <c r="R126" s="44"/>
    </row>
    <row r="127" spans="1:18" ht="17" hidden="1" thickBot="1">
      <c r="A127" s="14"/>
      <c r="B127" s="109"/>
      <c r="C127" s="164"/>
      <c r="D127" s="107"/>
      <c r="E127" s="162"/>
      <c r="F127" s="154"/>
      <c r="G127" s="154"/>
      <c r="H127" s="155"/>
      <c r="I127" s="155"/>
      <c r="J127" s="14"/>
      <c r="K127" s="15"/>
      <c r="L127" s="32"/>
      <c r="M127" s="67"/>
      <c r="N127" s="67"/>
      <c r="O127" s="73"/>
      <c r="P127" s="68"/>
      <c r="Q127" s="14"/>
      <c r="R127" s="44"/>
    </row>
    <row r="128" spans="1:18" s="4" customFormat="1" ht="15.75" hidden="1" customHeight="1" thickBot="1">
      <c r="A128" s="14"/>
      <c r="B128" s="109"/>
      <c r="C128" s="165"/>
      <c r="D128" s="107"/>
      <c r="E128" s="159"/>
      <c r="F128" s="528" t="s">
        <v>7</v>
      </c>
      <c r="G128" s="529"/>
      <c r="H128" s="530">
        <f>SUM(I120:I127)</f>
        <v>0</v>
      </c>
      <c r="I128" s="531"/>
      <c r="J128" s="14"/>
      <c r="K128" s="15"/>
      <c r="L128" s="33"/>
      <c r="M128" s="508" t="s">
        <v>7</v>
      </c>
      <c r="N128" s="509"/>
      <c r="O128" s="510">
        <f>SUM(P120:P127)</f>
        <v>9603.6915686400025</v>
      </c>
      <c r="P128" s="511"/>
      <c r="Q128" s="14"/>
      <c r="R128" s="31"/>
    </row>
    <row r="129" spans="1:23" ht="17" thickBot="1">
      <c r="A129" s="14"/>
      <c r="B129" s="109">
        <f>'Description Sheet'!B128</f>
        <v>11</v>
      </c>
      <c r="C129" s="113" t="str">
        <f>'Description Sheet'!C128</f>
        <v>Security Systems and Facilities</v>
      </c>
      <c r="D129" s="107"/>
      <c r="E129" s="110"/>
      <c r="F129" s="110"/>
      <c r="G129" s="110"/>
      <c r="H129" s="110"/>
      <c r="I129" s="151"/>
      <c r="J129" s="32"/>
      <c r="K129" s="40"/>
      <c r="L129" s="33"/>
      <c r="M129" s="24"/>
      <c r="N129" s="25"/>
      <c r="O129" s="25"/>
      <c r="P129" s="63"/>
      <c r="Q129" s="14"/>
      <c r="R129" s="44"/>
    </row>
    <row r="130" spans="1:23" ht="17">
      <c r="A130" s="14"/>
      <c r="B130" s="109">
        <f>'Description Sheet'!B129</f>
        <v>11.1</v>
      </c>
      <c r="C130" s="164" t="str">
        <f>'Description Sheet'!C129</f>
        <v>Security Equipment (Replacement/Upgrade Savings)</v>
      </c>
      <c r="D130" s="107"/>
      <c r="E130" s="153" t="str">
        <f>IF('Maintenance Schedule'!N162="x","x","")</f>
        <v>x</v>
      </c>
      <c r="F130" s="153" t="str">
        <f>IF(E130="x","No","")</f>
        <v>No</v>
      </c>
      <c r="G130" s="154">
        <f>IF(E130="x",1,0)</f>
        <v>1</v>
      </c>
      <c r="H130" s="155">
        <f t="shared" ref="H130:H133" si="60">IF(E130="x",P130,0)</f>
        <v>8843.1782400000029</v>
      </c>
      <c r="I130" s="156">
        <f>IF(E130="x",G130*H130,0)</f>
        <v>8843.1782400000029</v>
      </c>
      <c r="J130" s="14"/>
      <c r="K130" s="15"/>
      <c r="L130" s="32"/>
      <c r="M130" s="67" t="str">
        <f>'Description Sheet'!K129</f>
        <v>No</v>
      </c>
      <c r="N130" s="67">
        <f>'Description Sheet'!L129</f>
        <v>1</v>
      </c>
      <c r="O130" s="73">
        <f>'Year (2024-2025)'!O130*(('Description Sheet'!M4)+1)</f>
        <v>8843.1782400000029</v>
      </c>
      <c r="P130" s="68">
        <f>N130*O130</f>
        <v>8843.1782400000029</v>
      </c>
      <c r="Q130" s="14"/>
      <c r="R130" s="44"/>
    </row>
    <row r="131" spans="1:23" ht="17" hidden="1">
      <c r="A131" s="14"/>
      <c r="B131" s="109">
        <f>'Description Sheet'!B130</f>
        <v>11.2</v>
      </c>
      <c r="C131" s="164" t="str">
        <f>'Description Sheet'!C130</f>
        <v>CCTV Installation</v>
      </c>
      <c r="D131" s="107"/>
      <c r="E131" s="153" t="str">
        <f>IF('Maintenance Schedule'!N163="x","x","")</f>
        <v/>
      </c>
      <c r="F131" s="153" t="str">
        <f t="shared" ref="F131:F133" si="61">IF(E131="x","No","")</f>
        <v/>
      </c>
      <c r="G131" s="154">
        <f t="shared" ref="G131:G133" si="62">IF(E131="x",1,0)</f>
        <v>0</v>
      </c>
      <c r="H131" s="155">
        <f t="shared" si="60"/>
        <v>0</v>
      </c>
      <c r="I131" s="156">
        <f t="shared" ref="I131:I133" si="63">IF(E131="x",G131*H131,0)</f>
        <v>0</v>
      </c>
      <c r="J131" s="14"/>
      <c r="K131" s="15"/>
      <c r="L131" s="32"/>
      <c r="M131" s="67" t="str">
        <f>'Description Sheet'!K130</f>
        <v>No</v>
      </c>
      <c r="N131" s="67">
        <f>'Description Sheet'!L130</f>
        <v>1</v>
      </c>
      <c r="O131" s="73">
        <f>'Year (2024-2025)'!O131*(('Description Sheet'!M4)+1)</f>
        <v>57140.536320000014</v>
      </c>
      <c r="P131" s="68">
        <f t="shared" ref="P131:P133" si="64">N131*O131</f>
        <v>57140.536320000014</v>
      </c>
      <c r="Q131" s="14"/>
      <c r="R131" s="44"/>
    </row>
    <row r="132" spans="1:23" ht="17" hidden="1">
      <c r="A132" s="14"/>
      <c r="B132" s="109">
        <f>'Description Sheet'!B131</f>
        <v>11.3</v>
      </c>
      <c r="C132" s="164" t="str">
        <f>'Description Sheet'!C131</f>
        <v>blank</v>
      </c>
      <c r="D132" s="107"/>
      <c r="E132" s="153" t="str">
        <f>IF('Maintenance Schedule'!N164="x","x","")</f>
        <v/>
      </c>
      <c r="F132" s="153" t="str">
        <f t="shared" si="61"/>
        <v/>
      </c>
      <c r="G132" s="154">
        <f t="shared" si="62"/>
        <v>0</v>
      </c>
      <c r="H132" s="155">
        <f t="shared" si="60"/>
        <v>0</v>
      </c>
      <c r="I132" s="156">
        <f t="shared" si="63"/>
        <v>0</v>
      </c>
      <c r="J132" s="14"/>
      <c r="K132" s="15"/>
      <c r="L132" s="32"/>
      <c r="M132" s="67" t="str">
        <f>'Description Sheet'!K131</f>
        <v>No</v>
      </c>
      <c r="N132" s="67">
        <f>'Description Sheet'!L131</f>
        <v>0</v>
      </c>
      <c r="O132" s="73">
        <f>'Year (2024-2025)'!O132*(('Description Sheet'!M4)+1)</f>
        <v>0</v>
      </c>
      <c r="P132" s="68">
        <f t="shared" si="64"/>
        <v>0</v>
      </c>
      <c r="Q132" s="14"/>
      <c r="R132" s="44"/>
    </row>
    <row r="133" spans="1:23" ht="17" hidden="1">
      <c r="A133" s="14"/>
      <c r="B133" s="109">
        <f>'Description Sheet'!B132</f>
        <v>11.4</v>
      </c>
      <c r="C133" s="164" t="str">
        <f>'Description Sheet'!C132</f>
        <v>blank</v>
      </c>
      <c r="D133" s="107"/>
      <c r="E133" s="153" t="str">
        <f>IF('Maintenance Schedule'!N165="x","x","")</f>
        <v/>
      </c>
      <c r="F133" s="153" t="str">
        <f t="shared" si="61"/>
        <v/>
      </c>
      <c r="G133" s="154">
        <f t="shared" si="62"/>
        <v>0</v>
      </c>
      <c r="H133" s="155">
        <f t="shared" si="60"/>
        <v>0</v>
      </c>
      <c r="I133" s="156">
        <f t="shared" si="63"/>
        <v>0</v>
      </c>
      <c r="J133" s="14"/>
      <c r="K133" s="15"/>
      <c r="L133" s="32"/>
      <c r="M133" s="67" t="str">
        <f>'Description Sheet'!K132</f>
        <v>No</v>
      </c>
      <c r="N133" s="67">
        <f>'Description Sheet'!L132</f>
        <v>0</v>
      </c>
      <c r="O133" s="73">
        <f>'Year (2024-2025)'!O133*(('Description Sheet'!M4)+1)</f>
        <v>0</v>
      </c>
      <c r="P133" s="68">
        <f t="shared" si="64"/>
        <v>0</v>
      </c>
      <c r="Q133" s="14"/>
      <c r="R133" s="44"/>
    </row>
    <row r="134" spans="1:23" ht="17" thickBot="1">
      <c r="A134" s="14"/>
      <c r="B134" s="109"/>
      <c r="C134" s="164"/>
      <c r="D134" s="107"/>
      <c r="E134" s="162"/>
      <c r="F134" s="154"/>
      <c r="G134" s="154"/>
      <c r="H134" s="155"/>
      <c r="I134" s="155"/>
      <c r="J134" s="14"/>
      <c r="K134" s="15"/>
      <c r="L134" s="32"/>
      <c r="M134" s="67"/>
      <c r="N134" s="67"/>
      <c r="O134" s="73"/>
      <c r="P134" s="68"/>
      <c r="Q134" s="14"/>
      <c r="R134" s="44"/>
    </row>
    <row r="135" spans="1:23" s="4" customFormat="1" ht="15.75" customHeight="1" thickBot="1">
      <c r="A135" s="14"/>
      <c r="B135" s="109"/>
      <c r="C135" s="158"/>
      <c r="D135" s="107"/>
      <c r="E135" s="159"/>
      <c r="F135" s="528" t="s">
        <v>7</v>
      </c>
      <c r="G135" s="529"/>
      <c r="H135" s="530">
        <f>SUM(I130:I134)</f>
        <v>8843.1782400000029</v>
      </c>
      <c r="I135" s="531"/>
      <c r="J135" s="14"/>
      <c r="K135" s="15"/>
      <c r="L135" s="33"/>
      <c r="M135" s="508" t="s">
        <v>7</v>
      </c>
      <c r="N135" s="509"/>
      <c r="O135" s="510">
        <f>SUM(P130:P134)</f>
        <v>65983.714560000022</v>
      </c>
      <c r="P135" s="511"/>
      <c r="Q135" s="14"/>
      <c r="R135" s="31"/>
    </row>
    <row r="136" spans="1:23" ht="17" thickBot="1">
      <c r="A136" s="14"/>
      <c r="B136" s="109">
        <f>'Description Sheet'!B135</f>
        <v>12</v>
      </c>
      <c r="C136" s="113" t="str">
        <f>'Description Sheet'!C135</f>
        <v>Community and Recreational Facilities</v>
      </c>
      <c r="D136" s="107"/>
      <c r="E136" s="110"/>
      <c r="F136" s="110"/>
      <c r="G136" s="110"/>
      <c r="H136" s="110"/>
      <c r="I136" s="151"/>
      <c r="J136" s="32"/>
      <c r="K136" s="40"/>
      <c r="L136" s="33"/>
      <c r="M136" s="24"/>
      <c r="N136" s="25"/>
      <c r="O136" s="25"/>
      <c r="P136" s="63"/>
      <c r="Q136" s="14"/>
      <c r="R136" s="44"/>
    </row>
    <row r="137" spans="1:23">
      <c r="A137" s="14"/>
      <c r="B137" s="109">
        <f>'Description Sheet'!B136</f>
        <v>12.1</v>
      </c>
      <c r="C137" s="111" t="str">
        <f>'Description Sheet'!C136</f>
        <v>Fire Equipment and Signage (Replace)</v>
      </c>
      <c r="D137" s="107"/>
      <c r="E137" s="153" t="str">
        <f>IF('Maintenance Schedule'!N172="x","x","")</f>
        <v>x</v>
      </c>
      <c r="F137" s="153" t="str">
        <f>IF(E137="x","No","")</f>
        <v>No</v>
      </c>
      <c r="G137" s="154">
        <f>IF(E137="x",1,0)</f>
        <v>1</v>
      </c>
      <c r="H137" s="155">
        <f>IF(E137="x",P137,0)</f>
        <v>4081.4668800000009</v>
      </c>
      <c r="I137" s="156">
        <f>IF(E137="x",G137*H137,0)</f>
        <v>4081.4668800000009</v>
      </c>
      <c r="J137" s="14"/>
      <c r="K137" s="15"/>
      <c r="L137" s="32"/>
      <c r="M137" s="67" t="str">
        <f>'Description Sheet'!K136</f>
        <v>No</v>
      </c>
      <c r="N137" s="67">
        <f>'Description Sheet'!L136</f>
        <v>1</v>
      </c>
      <c r="O137" s="73">
        <f>'Year (2024-2025)'!O137*(('Description Sheet'!M4)+1)</f>
        <v>4081.4668800000009</v>
      </c>
      <c r="P137" s="68">
        <f>N137*O137</f>
        <v>4081.4668800000009</v>
      </c>
      <c r="Q137" s="14"/>
      <c r="R137" s="44"/>
      <c r="W137" s="1"/>
    </row>
    <row r="138" spans="1:23" hidden="1">
      <c r="A138" s="14"/>
      <c r="B138" s="109">
        <f>'Description Sheet'!B137</f>
        <v>12.2</v>
      </c>
      <c r="C138" s="111" t="str">
        <f>'Description Sheet'!C137</f>
        <v>Communal Areas (Pool, Gym Areas, ablutions etc Upgrade/Replacment of Fixtures &amp; Equipment)</v>
      </c>
      <c r="D138" s="107"/>
      <c r="E138" s="153" t="str">
        <f>IF('Maintenance Schedule'!N173="x","x","")</f>
        <v/>
      </c>
      <c r="F138" s="153" t="str">
        <f t="shared" ref="F138:F144" si="65">IF(E138="x","No","")</f>
        <v/>
      </c>
      <c r="G138" s="154">
        <f t="shared" ref="G138:G144" si="66">IF(E138="x",1,0)</f>
        <v>0</v>
      </c>
      <c r="H138" s="155">
        <f>IF(E138="x",P138,0)</f>
        <v>0</v>
      </c>
      <c r="I138" s="156">
        <f>IF(E138="x",G138*H138,0)</f>
        <v>0</v>
      </c>
      <c r="J138" s="14"/>
      <c r="K138" s="15"/>
      <c r="L138" s="32"/>
      <c r="M138" s="67" t="str">
        <f>'Description Sheet'!K137</f>
        <v>No</v>
      </c>
      <c r="N138" s="67">
        <f>'Description Sheet'!L137</f>
        <v>0</v>
      </c>
      <c r="O138" s="73">
        <f>'Year (2024-2025)'!O138*(('Description Sheet'!M4)+1)</f>
        <v>10405.019566080002</v>
      </c>
      <c r="P138" s="68">
        <f>N138*O138</f>
        <v>0</v>
      </c>
      <c r="Q138" s="14"/>
      <c r="R138" s="44"/>
    </row>
    <row r="139" spans="1:23" hidden="1">
      <c r="A139" s="14"/>
      <c r="B139" s="109">
        <f>'Description Sheet'!B138</f>
        <v>12.3</v>
      </c>
      <c r="C139" s="111" t="str">
        <f>'Description Sheet'!C138</f>
        <v>Laundry Room (Maintain/Replace)</v>
      </c>
      <c r="D139" s="107"/>
      <c r="E139" s="153" t="str">
        <f>IF('Maintenance Schedule'!N174="x","x","")</f>
        <v/>
      </c>
      <c r="F139" s="153" t="str">
        <f t="shared" si="65"/>
        <v/>
      </c>
      <c r="G139" s="154">
        <f t="shared" si="66"/>
        <v>0</v>
      </c>
      <c r="H139" s="155">
        <f>IF(E139="x",P139,0)</f>
        <v>0</v>
      </c>
      <c r="I139" s="156">
        <f>IF(E139="x",G139*H139,0)</f>
        <v>0</v>
      </c>
      <c r="J139" s="14"/>
      <c r="K139" s="15"/>
      <c r="L139" s="32"/>
      <c r="M139" s="67" t="str">
        <f>'Description Sheet'!K138</f>
        <v>lm</v>
      </c>
      <c r="N139" s="67">
        <f>'Description Sheet'!L138</f>
        <v>0</v>
      </c>
      <c r="O139" s="73">
        <f>'Year (2024-2025)'!O139*(('Description Sheet'!M4)+1)</f>
        <v>4001.1980313600011</v>
      </c>
      <c r="P139" s="68">
        <f>N139*O139</f>
        <v>0</v>
      </c>
      <c r="Q139" s="14"/>
      <c r="R139" s="44"/>
    </row>
    <row r="140" spans="1:23" hidden="1">
      <c r="A140" s="14"/>
      <c r="B140" s="109">
        <f>'Description Sheet'!B139</f>
        <v>12.4</v>
      </c>
      <c r="C140" s="111" t="str">
        <f>'Description Sheet'!C139</f>
        <v>Bin Room</v>
      </c>
      <c r="D140" s="107"/>
      <c r="E140" s="153" t="str">
        <f>IF('Maintenance Schedule'!N175="x","x","")</f>
        <v/>
      </c>
      <c r="F140" s="153" t="str">
        <f t="shared" si="65"/>
        <v/>
      </c>
      <c r="G140" s="154">
        <f t="shared" si="66"/>
        <v>0</v>
      </c>
      <c r="H140" s="155">
        <f>IF(E140="x",P140,0)</f>
        <v>0</v>
      </c>
      <c r="I140" s="156">
        <f>IF(E140="x",G140*H140,0)</f>
        <v>0</v>
      </c>
      <c r="J140" s="14"/>
      <c r="K140" s="15"/>
      <c r="L140" s="32"/>
      <c r="M140" s="67" t="str">
        <f>'Description Sheet'!K139</f>
        <v>No</v>
      </c>
      <c r="N140" s="67">
        <f>'Description Sheet'!L139</f>
        <v>0</v>
      </c>
      <c r="O140" s="73">
        <f>'Year (2024-2025)'!O140*(('Description Sheet'!M4)+1)</f>
        <v>5142.6482688000006</v>
      </c>
      <c r="P140" s="68">
        <f>N140*O140</f>
        <v>0</v>
      </c>
      <c r="Q140" s="14"/>
      <c r="R140" s="44"/>
    </row>
    <row r="141" spans="1:23" hidden="1">
      <c r="A141" s="14"/>
      <c r="B141" s="109">
        <f>'Description Sheet'!B140</f>
        <v>12.5</v>
      </c>
      <c r="C141" s="111" t="str">
        <f>'Description Sheet'!C140</f>
        <v>Pool Area (Re-Surfacing)</v>
      </c>
      <c r="D141" s="107"/>
      <c r="E141" s="153" t="str">
        <f>IF('Maintenance Schedule'!N176="x","x","")</f>
        <v/>
      </c>
      <c r="F141" s="153" t="str">
        <f t="shared" si="65"/>
        <v/>
      </c>
      <c r="G141" s="154">
        <f t="shared" si="66"/>
        <v>0</v>
      </c>
      <c r="H141" s="155">
        <f>IF(E141="x",P141,0)</f>
        <v>0</v>
      </c>
      <c r="I141" s="156">
        <f>IF(E141="x",G141*H141,0)</f>
        <v>0</v>
      </c>
      <c r="J141" s="14"/>
      <c r="K141" s="15"/>
      <c r="L141" s="32"/>
      <c r="M141" s="67" t="str">
        <f>'Description Sheet'!K140</f>
        <v>No</v>
      </c>
      <c r="N141" s="67">
        <f>'Description Sheet'!L140</f>
        <v>0</v>
      </c>
      <c r="O141" s="73">
        <f>'Year (2024-2025)'!O141*(('Description Sheet'!M4)+1)</f>
        <v>22965.053644800006</v>
      </c>
      <c r="P141" s="68">
        <f>N141*O141</f>
        <v>0</v>
      </c>
      <c r="Q141" s="14"/>
      <c r="R141" s="44"/>
    </row>
    <row r="142" spans="1:23" hidden="1">
      <c r="A142" s="14"/>
      <c r="B142" s="109">
        <f>'Description Sheet'!B141</f>
        <v>12.6</v>
      </c>
      <c r="C142" s="111" t="str">
        <f>'Description Sheet'!C141</f>
        <v>Pool Area (Maintenance/Repairs Savings)</v>
      </c>
      <c r="D142" s="107"/>
      <c r="E142" s="153" t="str">
        <f>IF('Maintenance Schedule'!N177="x","x","")</f>
        <v/>
      </c>
      <c r="F142" s="153" t="str">
        <f t="shared" si="65"/>
        <v/>
      </c>
      <c r="G142" s="154">
        <f t="shared" si="66"/>
        <v>0</v>
      </c>
      <c r="H142" s="155">
        <f t="shared" ref="H142:H144" si="67">IF(E142="x",P142,0)</f>
        <v>0</v>
      </c>
      <c r="I142" s="156">
        <f t="shared" ref="I142:I144" si="68">IF(E142="x",G142*H142,0)</f>
        <v>0</v>
      </c>
      <c r="J142" s="14"/>
      <c r="K142" s="15"/>
      <c r="L142" s="32"/>
      <c r="M142" s="67" t="str">
        <f>'Description Sheet'!K141</f>
        <v>No</v>
      </c>
      <c r="N142" s="67">
        <f>'Description Sheet'!L141</f>
        <v>0</v>
      </c>
      <c r="O142" s="73">
        <f>'Year (2024-2025)'!O142*(('Description Sheet'!M4)+1)</f>
        <v>5006.5993728000012</v>
      </c>
      <c r="P142" s="68">
        <f t="shared" ref="P142:P144" si="69">N142*O142</f>
        <v>0</v>
      </c>
      <c r="Q142" s="14"/>
      <c r="R142" s="44"/>
    </row>
    <row r="143" spans="1:23" hidden="1">
      <c r="A143" s="14"/>
      <c r="B143" s="109">
        <f>'Description Sheet'!B142</f>
        <v>12.7</v>
      </c>
      <c r="C143" s="111" t="str">
        <f>'Description Sheet'!C142</f>
        <v>blank</v>
      </c>
      <c r="D143" s="107"/>
      <c r="E143" s="153" t="str">
        <f>IF('Maintenance Schedule'!N178="x","x","")</f>
        <v/>
      </c>
      <c r="F143" s="153" t="str">
        <f t="shared" si="65"/>
        <v/>
      </c>
      <c r="G143" s="154">
        <f t="shared" si="66"/>
        <v>0</v>
      </c>
      <c r="H143" s="155">
        <f t="shared" si="67"/>
        <v>0</v>
      </c>
      <c r="I143" s="156">
        <f t="shared" si="68"/>
        <v>0</v>
      </c>
      <c r="J143" s="14"/>
      <c r="K143" s="15"/>
      <c r="L143" s="32"/>
      <c r="M143" s="67" t="str">
        <f>'Description Sheet'!K142</f>
        <v>No</v>
      </c>
      <c r="N143" s="67">
        <f>'Description Sheet'!L142</f>
        <v>0</v>
      </c>
      <c r="O143" s="73">
        <f>'Year (2024-2025)'!O143*(('Description Sheet'!M4)+1)</f>
        <v>0</v>
      </c>
      <c r="P143" s="68">
        <f t="shared" si="69"/>
        <v>0</v>
      </c>
      <c r="Q143" s="14"/>
      <c r="R143" s="44"/>
    </row>
    <row r="144" spans="1:23" hidden="1">
      <c r="A144" s="14"/>
      <c r="B144" s="109">
        <f>'Description Sheet'!B143</f>
        <v>12.8</v>
      </c>
      <c r="C144" s="111" t="str">
        <f>'Description Sheet'!C143</f>
        <v>blank</v>
      </c>
      <c r="D144" s="107"/>
      <c r="E144" s="153" t="str">
        <f>IF('Maintenance Schedule'!N179="x","x","")</f>
        <v/>
      </c>
      <c r="F144" s="153" t="str">
        <f t="shared" si="65"/>
        <v/>
      </c>
      <c r="G144" s="154">
        <f t="shared" si="66"/>
        <v>0</v>
      </c>
      <c r="H144" s="155">
        <f t="shared" si="67"/>
        <v>0</v>
      </c>
      <c r="I144" s="156">
        <f t="shared" si="68"/>
        <v>0</v>
      </c>
      <c r="J144" s="14"/>
      <c r="K144" s="15"/>
      <c r="L144" s="32"/>
      <c r="M144" s="67" t="str">
        <f>'Description Sheet'!K143</f>
        <v>No</v>
      </c>
      <c r="N144" s="67">
        <f>'Description Sheet'!L143</f>
        <v>0</v>
      </c>
      <c r="O144" s="73">
        <f>'Year (2024-2025)'!O144*(('Description Sheet'!M4)+1)</f>
        <v>0</v>
      </c>
      <c r="P144" s="68">
        <f t="shared" si="69"/>
        <v>0</v>
      </c>
      <c r="Q144" s="14"/>
      <c r="R144" s="44"/>
    </row>
    <row r="145" spans="1:72" ht="17" thickBot="1">
      <c r="A145" s="14"/>
      <c r="B145" s="105"/>
      <c r="C145" s="111"/>
      <c r="D145" s="107"/>
      <c r="E145" s="153"/>
      <c r="F145" s="153" t="str">
        <f>IF(E145="x",M145,"")</f>
        <v/>
      </c>
      <c r="G145" s="154"/>
      <c r="H145" s="155"/>
      <c r="I145" s="166"/>
      <c r="J145" s="14"/>
      <c r="K145" s="15"/>
      <c r="L145" s="32"/>
      <c r="M145" s="67"/>
      <c r="N145" s="78"/>
      <c r="O145" s="77"/>
      <c r="P145" s="79"/>
      <c r="Q145" s="14"/>
      <c r="R145" s="44"/>
    </row>
    <row r="146" spans="1:72" s="4" customFormat="1" ht="15.75" customHeight="1" thickBot="1">
      <c r="A146" s="14"/>
      <c r="B146" s="105"/>
      <c r="C146" s="115"/>
      <c r="D146" s="107"/>
      <c r="E146" s="163"/>
      <c r="F146" s="528" t="s">
        <v>7</v>
      </c>
      <c r="G146" s="529"/>
      <c r="H146" s="530">
        <f>SUM(I137:I144)</f>
        <v>4081.4668800000009</v>
      </c>
      <c r="I146" s="531"/>
      <c r="J146" s="14"/>
      <c r="K146" s="15"/>
      <c r="L146" s="33"/>
      <c r="M146" s="508" t="s">
        <v>7</v>
      </c>
      <c r="N146" s="509"/>
      <c r="O146" s="510">
        <f>SUM(P137:P144)</f>
        <v>4081.4668800000009</v>
      </c>
      <c r="P146" s="511"/>
      <c r="Q146" s="14"/>
      <c r="R146" s="31"/>
    </row>
    <row r="147" spans="1:72" ht="7.5" customHeight="1" thickBot="1">
      <c r="A147" s="14" t="s">
        <v>57</v>
      </c>
      <c r="B147" s="105"/>
      <c r="C147" s="196"/>
      <c r="D147" s="197"/>
      <c r="E147" s="197"/>
      <c r="F147" s="197"/>
      <c r="G147" s="197"/>
      <c r="H147" s="197"/>
      <c r="I147" s="197"/>
      <c r="J147" s="197"/>
      <c r="K147" s="198"/>
      <c r="L147" s="199"/>
      <c r="M147" s="199"/>
      <c r="N147" s="199"/>
      <c r="O147" s="197"/>
      <c r="P147" s="200"/>
      <c r="Q147" s="14"/>
      <c r="R147" s="44"/>
    </row>
    <row r="148" spans="1:72" ht="17" thickBot="1">
      <c r="A148" s="14" t="s">
        <v>57</v>
      </c>
      <c r="B148" s="116"/>
      <c r="C148" s="167" t="s">
        <v>9</v>
      </c>
      <c r="D148" s="168"/>
      <c r="E148" s="553" t="s">
        <v>7</v>
      </c>
      <c r="F148" s="554"/>
      <c r="G148" s="555"/>
      <c r="H148" s="530">
        <f>H16+H26+H34+H41+H48+H68+H93+H111+H118+H128+H135++H146+H104</f>
        <v>137693.72715264003</v>
      </c>
      <c r="I148" s="531"/>
      <c r="J148" s="14"/>
      <c r="K148" s="35"/>
      <c r="L148" s="34"/>
      <c r="M148" s="87"/>
      <c r="N148" s="87"/>
      <c r="O148" s="87"/>
      <c r="P148" s="88"/>
      <c r="Q148" s="14"/>
      <c r="R148" s="44"/>
    </row>
    <row r="149" spans="1:72" ht="17.25" customHeight="1">
      <c r="A149" s="14"/>
      <c r="B149" s="478" t="str">
        <f>'Description Sheet'!B148</f>
        <v>Please Note: The above figures are estimates only based on our experience, measures taken and current rates.  An 8% escalation has been allowed for per anum .  This pricing includes 15% VAT.  Some rates have furthermore been adjusted to try and accommodate P&amp;G's.  An allowance for THC to undertake an annual inspection in order to update the maintenance plan and budget should be allowed for.</v>
      </c>
      <c r="C149" s="479"/>
      <c r="D149" s="479"/>
      <c r="E149" s="479"/>
      <c r="F149" s="479"/>
      <c r="G149" s="479"/>
      <c r="H149" s="479"/>
      <c r="I149" s="480"/>
      <c r="J149" s="14"/>
      <c r="K149" s="40"/>
      <c r="L149" s="14"/>
      <c r="M149" s="89"/>
      <c r="N149" s="89"/>
      <c r="O149" s="89"/>
      <c r="P149" s="89"/>
      <c r="Q149" s="14"/>
      <c r="R149" s="89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</row>
    <row r="150" spans="1:72">
      <c r="A150" s="14"/>
      <c r="B150" s="534"/>
      <c r="C150" s="535"/>
      <c r="D150" s="535"/>
      <c r="E150" s="535"/>
      <c r="F150" s="535"/>
      <c r="G150" s="535"/>
      <c r="H150" s="535"/>
      <c r="I150" s="536"/>
      <c r="J150" s="14"/>
      <c r="K150" s="40"/>
      <c r="L150" s="14"/>
      <c r="M150" s="89"/>
      <c r="N150" s="89"/>
      <c r="O150" s="89"/>
      <c r="P150" s="89"/>
      <c r="Q150" s="14"/>
      <c r="R150" s="89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</row>
    <row r="151" spans="1:72" ht="25.5" customHeight="1">
      <c r="A151" s="14"/>
      <c r="B151" s="534"/>
      <c r="C151" s="535"/>
      <c r="D151" s="535"/>
      <c r="E151" s="535"/>
      <c r="F151" s="535"/>
      <c r="G151" s="535"/>
      <c r="H151" s="535"/>
      <c r="I151" s="536"/>
      <c r="J151" s="14"/>
      <c r="K151" s="31"/>
      <c r="L151" s="14"/>
      <c r="M151" s="44"/>
      <c r="N151" s="44"/>
      <c r="O151" s="44"/>
      <c r="P151" s="44"/>
      <c r="Q151" s="14"/>
      <c r="R151" s="44"/>
    </row>
    <row r="152" spans="1:72">
      <c r="A152" s="44"/>
      <c r="B152" s="172"/>
      <c r="C152" s="117"/>
      <c r="D152" s="117"/>
      <c r="E152" s="139"/>
      <c r="F152" s="117"/>
      <c r="G152" s="117"/>
      <c r="H152" s="117"/>
      <c r="I152" s="117"/>
      <c r="J152" s="44"/>
      <c r="K152" s="31"/>
      <c r="L152" s="44"/>
      <c r="M152" s="44"/>
      <c r="N152" s="44"/>
      <c r="O152" s="44"/>
      <c r="P152" s="44"/>
      <c r="Q152" s="44"/>
      <c r="R152" s="44"/>
    </row>
  </sheetData>
  <sheetProtection algorithmName="SHA-512" hashValue="xR9N+x+xl9cpfpUrwYNO/5AHT5rIS8stsxuCr55EBNVZf12B6Pl+X5ZHQYQKfT2YIfh0o7AFEdbepBwjihH5KA==" saltValue="NMDd+AImTCQmwl0jfc8mHA==" spinCount="100000" sheet="1" objects="1" scenarios="1"/>
  <mergeCells count="60">
    <mergeCell ref="F26:G26"/>
    <mergeCell ref="H26:I26"/>
    <mergeCell ref="B2:F3"/>
    <mergeCell ref="B4:I4"/>
    <mergeCell ref="E5:I5"/>
    <mergeCell ref="F16:G16"/>
    <mergeCell ref="H16:I16"/>
    <mergeCell ref="M26:N26"/>
    <mergeCell ref="O26:P26"/>
    <mergeCell ref="M2:P3"/>
    <mergeCell ref="M7:P7"/>
    <mergeCell ref="M16:N16"/>
    <mergeCell ref="O16:P16"/>
    <mergeCell ref="F104:G104"/>
    <mergeCell ref="H104:I104"/>
    <mergeCell ref="M104:N104"/>
    <mergeCell ref="O104:P104"/>
    <mergeCell ref="F93:G93"/>
    <mergeCell ref="H93:I93"/>
    <mergeCell ref="M93:N93"/>
    <mergeCell ref="O93:P93"/>
    <mergeCell ref="F34:G34"/>
    <mergeCell ref="H34:I34"/>
    <mergeCell ref="M34:N34"/>
    <mergeCell ref="O34:P34"/>
    <mergeCell ref="F41:G41"/>
    <mergeCell ref="H41:I41"/>
    <mergeCell ref="M41:N41"/>
    <mergeCell ref="O41:P41"/>
    <mergeCell ref="F48:G48"/>
    <mergeCell ref="H48:I48"/>
    <mergeCell ref="M48:N48"/>
    <mergeCell ref="O48:P48"/>
    <mergeCell ref="F68:G68"/>
    <mergeCell ref="H68:I68"/>
    <mergeCell ref="M68:N68"/>
    <mergeCell ref="O68:P68"/>
    <mergeCell ref="F111:G111"/>
    <mergeCell ref="H111:I111"/>
    <mergeCell ref="M111:N111"/>
    <mergeCell ref="O111:P111"/>
    <mergeCell ref="F118:G118"/>
    <mergeCell ref="H118:I118"/>
    <mergeCell ref="M118:N118"/>
    <mergeCell ref="O118:P118"/>
    <mergeCell ref="M146:N146"/>
    <mergeCell ref="O146:P146"/>
    <mergeCell ref="F128:G128"/>
    <mergeCell ref="H128:I128"/>
    <mergeCell ref="M128:N128"/>
    <mergeCell ref="O128:P128"/>
    <mergeCell ref="F135:G135"/>
    <mergeCell ref="H135:I135"/>
    <mergeCell ref="M135:N135"/>
    <mergeCell ref="O135:P135"/>
    <mergeCell ref="E148:G148"/>
    <mergeCell ref="H148:I148"/>
    <mergeCell ref="B149:I151"/>
    <mergeCell ref="F146:G146"/>
    <mergeCell ref="H146:I146"/>
  </mergeCells>
  <conditionalFormatting sqref="E18:E24 E9:E15">
    <cfRule type="expression" priority="1">
      <formula>$H$9:$H$10&gt;x</formula>
    </cfRule>
    <cfRule type="expression" priority="2">
      <formula>$H$9&lt;x</formula>
    </cfRule>
  </conditionalFormatting>
  <pageMargins left="0.70866141732283472" right="0.70866141732283472" top="0.74803149606299213" bottom="0.74803149606299213" header="0.31496062992125984" footer="0.31496062992125984"/>
  <pageSetup scale="69" orientation="portrait" horizontalDpi="4294967293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pageSetUpPr fitToPage="1"/>
  </sheetPr>
  <dimension ref="A1:BT152"/>
  <sheetViews>
    <sheetView view="pageBreakPreview" zoomScale="70" zoomScaleNormal="70" zoomScaleSheetLayoutView="70" workbookViewId="0">
      <pane xSplit="16" ySplit="6" topLeftCell="Q7" activePane="bottomRight" state="frozen"/>
      <selection pane="topRight"/>
      <selection pane="bottomLeft"/>
      <selection pane="bottomRight" activeCell="E1" sqref="E1:E1048576"/>
    </sheetView>
  </sheetViews>
  <sheetFormatPr baseColWidth="10" defaultColWidth="8.83203125" defaultRowHeight="16"/>
  <cols>
    <col min="1" max="1" width="2.33203125" customWidth="1"/>
    <col min="2" max="2" width="6.5" style="173" hidden="1" customWidth="1"/>
    <col min="3" max="3" width="62.5" style="169" customWidth="1"/>
    <col min="4" max="4" width="1.5" style="169" customWidth="1"/>
    <col min="5" max="5" width="12.83203125" style="170" hidden="1" customWidth="1"/>
    <col min="6" max="6" width="6.5" style="169" customWidth="1"/>
    <col min="7" max="7" width="11.33203125" style="169" customWidth="1"/>
    <col min="8" max="8" width="17.5" style="169" bestFit="1" customWidth="1"/>
    <col min="9" max="9" width="17.5" style="169" customWidth="1"/>
    <col min="10" max="10" width="2.33203125" customWidth="1"/>
    <col min="11" max="11" width="11" style="4" hidden="1" customWidth="1"/>
    <col min="12" max="12" width="20.1640625" hidden="1" customWidth="1"/>
    <col min="13" max="13" width="48.33203125" hidden="1" customWidth="1"/>
    <col min="14" max="14" width="13" hidden="1" customWidth="1"/>
    <col min="15" max="15" width="52.83203125" hidden="1" customWidth="1"/>
    <col min="16" max="16" width="51.33203125" hidden="1" customWidth="1"/>
    <col min="17" max="17" width="55.1640625" hidden="1" customWidth="1"/>
    <col min="18" max="18" width="9.1640625" customWidth="1"/>
    <col min="19" max="19" width="13.5" bestFit="1" customWidth="1"/>
  </cols>
  <sheetData>
    <row r="1" spans="1:18" ht="17" thickBot="1">
      <c r="A1" s="30"/>
      <c r="B1" s="171"/>
      <c r="C1" s="117"/>
      <c r="D1" s="118"/>
      <c r="E1" s="139"/>
      <c r="F1" s="117"/>
      <c r="G1" s="117"/>
      <c r="H1" s="117"/>
      <c r="I1" s="117"/>
      <c r="J1" s="30"/>
      <c r="K1" s="41"/>
      <c r="L1" s="30"/>
      <c r="M1" s="30"/>
      <c r="N1" s="44"/>
      <c r="O1" s="44"/>
      <c r="P1" s="44"/>
      <c r="Q1" s="30"/>
      <c r="R1" s="44"/>
    </row>
    <row r="2" spans="1:18" ht="15" customHeight="1">
      <c r="A2" s="34"/>
      <c r="B2" s="543" t="str">
        <f>'Maintenance Schedule'!D1</f>
        <v>KNIGHTSBRIDGE - DESK REVIEW MAINTENANCE SCHEDULE (2021)</v>
      </c>
      <c r="C2" s="544"/>
      <c r="D2" s="544"/>
      <c r="E2" s="544"/>
      <c r="F2" s="545"/>
      <c r="G2" s="140"/>
      <c r="H2" s="140"/>
      <c r="I2" s="140"/>
      <c r="J2" s="14"/>
      <c r="K2" s="15"/>
      <c r="L2" s="33"/>
      <c r="M2" s="537" t="s">
        <v>22</v>
      </c>
      <c r="N2" s="538"/>
      <c r="O2" s="538"/>
      <c r="P2" s="539"/>
      <c r="Q2" s="34"/>
      <c r="R2" s="44"/>
    </row>
    <row r="3" spans="1:18" ht="37.5" customHeight="1" thickBot="1">
      <c r="A3" s="38"/>
      <c r="B3" s="546"/>
      <c r="C3" s="547"/>
      <c r="D3" s="547"/>
      <c r="E3" s="547"/>
      <c r="F3" s="548"/>
      <c r="G3" s="141"/>
      <c r="H3" s="141"/>
      <c r="I3" s="141"/>
      <c r="J3" s="14"/>
      <c r="K3" s="15"/>
      <c r="L3" s="33"/>
      <c r="M3" s="540"/>
      <c r="N3" s="541"/>
      <c r="O3" s="541"/>
      <c r="P3" s="542"/>
      <c r="Q3" s="14"/>
      <c r="R3" s="44"/>
    </row>
    <row r="4" spans="1:18" ht="32.25" customHeight="1" thickBot="1">
      <c r="A4" s="14"/>
      <c r="B4" s="460" t="s">
        <v>1</v>
      </c>
      <c r="C4" s="461"/>
      <c r="D4" s="461"/>
      <c r="E4" s="461"/>
      <c r="F4" s="461"/>
      <c r="G4" s="461"/>
      <c r="H4" s="461"/>
      <c r="I4" s="549"/>
      <c r="J4" s="14"/>
      <c r="K4" s="40"/>
      <c r="L4" s="33"/>
      <c r="M4" s="51" t="s">
        <v>26</v>
      </c>
      <c r="N4" s="51"/>
      <c r="O4" s="51"/>
      <c r="P4" s="52"/>
      <c r="Q4" s="14"/>
      <c r="R4" s="44"/>
    </row>
    <row r="5" spans="1:18" ht="19" thickBot="1">
      <c r="A5" s="14"/>
      <c r="B5" s="105"/>
      <c r="C5" s="106" t="str">
        <f>'Maintenance Schedule'!E4</f>
        <v>WORK DUE IN FINANCIAL YEAR</v>
      </c>
      <c r="D5" s="107"/>
      <c r="E5" s="550" t="str">
        <f>'Maintenance Schedule'!P4</f>
        <v>2026/2027</v>
      </c>
      <c r="F5" s="551"/>
      <c r="G5" s="551"/>
      <c r="H5" s="551"/>
      <c r="I5" s="552"/>
      <c r="J5" s="14"/>
      <c r="K5" s="40"/>
      <c r="L5" s="33"/>
      <c r="M5" s="53"/>
      <c r="N5" s="53"/>
      <c r="O5" s="53"/>
      <c r="P5" s="54"/>
      <c r="Q5" s="14"/>
      <c r="R5" s="44"/>
    </row>
    <row r="6" spans="1:18" ht="18" thickBot="1">
      <c r="A6" s="14"/>
      <c r="B6" s="108" t="s">
        <v>19</v>
      </c>
      <c r="C6" s="142" t="s">
        <v>0</v>
      </c>
      <c r="D6" s="107"/>
      <c r="E6" s="143" t="s">
        <v>23</v>
      </c>
      <c r="F6" s="144" t="s">
        <v>2</v>
      </c>
      <c r="G6" s="145" t="s">
        <v>3</v>
      </c>
      <c r="H6" s="144" t="s">
        <v>4</v>
      </c>
      <c r="I6" s="144" t="s">
        <v>5</v>
      </c>
      <c r="J6" s="32"/>
      <c r="K6" s="40"/>
      <c r="L6" s="33"/>
      <c r="M6" s="59" t="s">
        <v>2</v>
      </c>
      <c r="N6" s="59" t="s">
        <v>3</v>
      </c>
      <c r="O6" s="59" t="s">
        <v>4</v>
      </c>
      <c r="P6" s="59" t="s">
        <v>5</v>
      </c>
      <c r="Q6" s="14"/>
      <c r="R6" s="44"/>
    </row>
    <row r="7" spans="1:18" ht="8.25" hidden="1" customHeight="1" thickBot="1">
      <c r="A7" s="14"/>
      <c r="B7" s="109"/>
      <c r="C7" s="146"/>
      <c r="D7" s="147"/>
      <c r="E7" s="148"/>
      <c r="F7" s="148"/>
      <c r="G7" s="148"/>
      <c r="H7" s="148"/>
      <c r="I7" s="149"/>
      <c r="J7" s="60"/>
      <c r="K7" s="84"/>
      <c r="L7" s="60"/>
      <c r="M7" s="505"/>
      <c r="N7" s="506"/>
      <c r="O7" s="506"/>
      <c r="P7" s="507"/>
      <c r="Q7" s="14"/>
      <c r="R7" s="44"/>
    </row>
    <row r="8" spans="1:18" ht="17" thickBot="1">
      <c r="A8" s="14"/>
      <c r="B8" s="108">
        <f>'Description Sheet'!B7</f>
        <v>1</v>
      </c>
      <c r="C8" s="150" t="str">
        <f>'Description Sheet'!C7</f>
        <v>Electrical Areas</v>
      </c>
      <c r="D8" s="107"/>
      <c r="E8" s="110"/>
      <c r="F8" s="110"/>
      <c r="G8" s="110"/>
      <c r="H8" s="110"/>
      <c r="I8" s="151"/>
      <c r="J8" s="32"/>
      <c r="K8" s="40"/>
      <c r="L8" s="33"/>
      <c r="M8" s="24"/>
      <c r="N8" s="25"/>
      <c r="O8" s="25"/>
      <c r="P8" s="63"/>
      <c r="Q8" s="14"/>
      <c r="R8" s="44"/>
    </row>
    <row r="9" spans="1:18">
      <c r="A9" s="14"/>
      <c r="B9" s="109">
        <f>'Description Sheet'!B8</f>
        <v>1.1000000000000001</v>
      </c>
      <c r="C9" s="152" t="str">
        <f>'Description Sheet'!C8</f>
        <v>General Electrics and Lighting (Replacement/Repairs)</v>
      </c>
      <c r="D9" s="107"/>
      <c r="E9" s="153" t="str">
        <f>IF('Maintenance Schedule'!P8="x","x","")</f>
        <v>x</v>
      </c>
      <c r="F9" s="153" t="str">
        <f>IF(E9="x","No","")</f>
        <v>No</v>
      </c>
      <c r="G9" s="154">
        <f>IF(E9="x",1,0)</f>
        <v>1</v>
      </c>
      <c r="H9" s="155">
        <f>IF(E9="x",P9,0)</f>
        <v>6611.976345600001</v>
      </c>
      <c r="I9" s="156">
        <f>IF(E9="x",G9*H9,0)</f>
        <v>6611.976345600001</v>
      </c>
      <c r="J9" s="14"/>
      <c r="K9" s="85"/>
      <c r="L9" s="32"/>
      <c r="M9" s="66" t="str">
        <f>'Description Sheet'!K8</f>
        <v>No</v>
      </c>
      <c r="N9" s="67">
        <f>'Description Sheet'!L8</f>
        <v>1</v>
      </c>
      <c r="O9" s="68">
        <f>'Year (2025-2026)'!O9*(('Description Sheet'!M4)+1)</f>
        <v>6611.976345600001</v>
      </c>
      <c r="P9" s="69">
        <f>N9*O9</f>
        <v>6611.976345600001</v>
      </c>
      <c r="Q9" s="14"/>
      <c r="R9" s="44"/>
    </row>
    <row r="10" spans="1:18" hidden="1">
      <c r="A10" s="14"/>
      <c r="B10" s="109">
        <f>'Description Sheet'!B9</f>
        <v>1.2</v>
      </c>
      <c r="C10" s="152" t="str">
        <f>'Description Sheet'!C9</f>
        <v>Generators (Maintenance Savings)</v>
      </c>
      <c r="D10" s="107"/>
      <c r="E10" s="153" t="str">
        <f>IF('Maintenance Schedule'!P9="x","x","")</f>
        <v/>
      </c>
      <c r="F10" s="153" t="str">
        <f t="shared" ref="F10:F14" si="0">IF(E10="x","No","")</f>
        <v/>
      </c>
      <c r="G10" s="154">
        <f t="shared" ref="G10:G14" si="1">IF(E10="x",1,0)</f>
        <v>0</v>
      </c>
      <c r="H10" s="155">
        <f>IF(E10="x",P10,0)</f>
        <v>0</v>
      </c>
      <c r="I10" s="156">
        <f>IF(E10="x",G10*H10,0)</f>
        <v>0</v>
      </c>
      <c r="J10" s="14"/>
      <c r="K10" s="85"/>
      <c r="L10" s="32"/>
      <c r="M10" s="66" t="str">
        <f>'Description Sheet'!K9</f>
        <v>No</v>
      </c>
      <c r="N10" s="67">
        <f>'Description Sheet'!L9</f>
        <v>0</v>
      </c>
      <c r="O10" s="68">
        <f>'Year (2025-2026)'!O10*(('Description Sheet'!M4)+1)</f>
        <v>6914.6579294208022</v>
      </c>
      <c r="P10" s="69">
        <f>N10*O10</f>
        <v>0</v>
      </c>
      <c r="Q10" s="14"/>
      <c r="R10" s="44"/>
    </row>
    <row r="11" spans="1:18">
      <c r="A11" s="14"/>
      <c r="B11" s="109">
        <f>'Description Sheet'!B10</f>
        <v>1.3</v>
      </c>
      <c r="C11" s="152" t="str">
        <f>'Description Sheet'!C10</f>
        <v>Main Gate &amp; Motor (Replacement Savings)</v>
      </c>
      <c r="D11" s="107"/>
      <c r="E11" s="153" t="str">
        <f>IF('Maintenance Schedule'!P10="x","x","")</f>
        <v>x</v>
      </c>
      <c r="F11" s="153" t="str">
        <f t="shared" si="0"/>
        <v>No</v>
      </c>
      <c r="G11" s="154">
        <f t="shared" si="1"/>
        <v>1</v>
      </c>
      <c r="H11" s="155">
        <f>IF(E11="x",P11,0)</f>
        <v>4321.2938738688017</v>
      </c>
      <c r="I11" s="156">
        <f>IF(E11="x",G11*H11,0)</f>
        <v>4321.2938738688017</v>
      </c>
      <c r="J11" s="14"/>
      <c r="K11" s="85"/>
      <c r="L11" s="32"/>
      <c r="M11" s="66" t="str">
        <f>'Description Sheet'!K10</f>
        <v>No</v>
      </c>
      <c r="N11" s="67">
        <f>'Description Sheet'!L10</f>
        <v>1</v>
      </c>
      <c r="O11" s="68">
        <f>'Year (2025-2026)'!O11*(('Description Sheet'!M4)+1)</f>
        <v>4321.2938738688017</v>
      </c>
      <c r="P11" s="69">
        <f>N11*O11</f>
        <v>4321.2938738688017</v>
      </c>
      <c r="Q11" s="14"/>
      <c r="R11" s="44"/>
    </row>
    <row r="12" spans="1:18" hidden="1">
      <c r="A12" s="14"/>
      <c r="B12" s="109">
        <f>'Description Sheet'!B11</f>
        <v>1.4</v>
      </c>
      <c r="C12" s="152" t="str">
        <f>'Description Sheet'!C11</f>
        <v>Tranformers (Service Interval 3 Years)</v>
      </c>
      <c r="D12" s="107"/>
      <c r="E12" s="153" t="str">
        <f>IF('Maintenance Schedule'!P11="x","x","")</f>
        <v/>
      </c>
      <c r="F12" s="153" t="str">
        <f t="shared" si="0"/>
        <v/>
      </c>
      <c r="G12" s="154">
        <f t="shared" si="1"/>
        <v>0</v>
      </c>
      <c r="H12" s="155">
        <f t="shared" ref="H12:H14" si="2">IF(E12="x",P12,0)</f>
        <v>0</v>
      </c>
      <c r="I12" s="156">
        <f t="shared" ref="I12:I14" si="3">IF(E12="x",G12*H12,0)</f>
        <v>0</v>
      </c>
      <c r="J12" s="14"/>
      <c r="K12" s="85"/>
      <c r="L12" s="32"/>
      <c r="M12" s="66" t="str">
        <f>'Description Sheet'!K11</f>
        <v>No</v>
      </c>
      <c r="N12" s="67">
        <f>'Description Sheet'!L11</f>
        <v>0</v>
      </c>
      <c r="O12" s="68">
        <f>'Year (2025-2026)'!O12*(('Description Sheet'!M4)+1)</f>
        <v>41576.107261132805</v>
      </c>
      <c r="P12" s="69">
        <f t="shared" ref="P12:P14" si="4">N12*O12</f>
        <v>0</v>
      </c>
      <c r="Q12" s="14"/>
      <c r="R12" s="44"/>
    </row>
    <row r="13" spans="1:18" hidden="1">
      <c r="A13" s="14"/>
      <c r="B13" s="109">
        <f>'Description Sheet'!B12</f>
        <v>1.5</v>
      </c>
      <c r="C13" s="152" t="str">
        <f>'Description Sheet'!C12</f>
        <v>blank</v>
      </c>
      <c r="D13" s="107"/>
      <c r="E13" s="153" t="str">
        <f>IF('Maintenance Schedule'!P12="x","x","")</f>
        <v/>
      </c>
      <c r="F13" s="153" t="str">
        <f t="shared" si="0"/>
        <v/>
      </c>
      <c r="G13" s="154">
        <f t="shared" si="1"/>
        <v>0</v>
      </c>
      <c r="H13" s="155">
        <f t="shared" si="2"/>
        <v>0</v>
      </c>
      <c r="I13" s="156">
        <f t="shared" si="3"/>
        <v>0</v>
      </c>
      <c r="J13" s="14"/>
      <c r="K13" s="85"/>
      <c r="L13" s="32"/>
      <c r="M13" s="66" t="str">
        <f>'Description Sheet'!K12</f>
        <v>No</v>
      </c>
      <c r="N13" s="67">
        <f>'Description Sheet'!L12</f>
        <v>0</v>
      </c>
      <c r="O13" s="68">
        <f>'Year (2025-2026)'!O13*(('Description Sheet'!M4)+1)</f>
        <v>0</v>
      </c>
      <c r="P13" s="69">
        <f t="shared" si="4"/>
        <v>0</v>
      </c>
      <c r="Q13" s="14"/>
      <c r="R13" s="44"/>
    </row>
    <row r="14" spans="1:18" hidden="1">
      <c r="A14" s="14"/>
      <c r="B14" s="109">
        <f>'Description Sheet'!B13</f>
        <v>1.6</v>
      </c>
      <c r="C14" s="152" t="str">
        <f>'Description Sheet'!C13</f>
        <v>blank</v>
      </c>
      <c r="D14" s="107"/>
      <c r="E14" s="153" t="str">
        <f>IF('Maintenance Schedule'!P13="x","x","")</f>
        <v/>
      </c>
      <c r="F14" s="153" t="str">
        <f t="shared" si="0"/>
        <v/>
      </c>
      <c r="G14" s="154">
        <f t="shared" si="1"/>
        <v>0</v>
      </c>
      <c r="H14" s="155">
        <f t="shared" si="2"/>
        <v>0</v>
      </c>
      <c r="I14" s="156">
        <f t="shared" si="3"/>
        <v>0</v>
      </c>
      <c r="J14" s="14"/>
      <c r="K14" s="85"/>
      <c r="L14" s="32"/>
      <c r="M14" s="66" t="str">
        <f>'Description Sheet'!K13</f>
        <v>No</v>
      </c>
      <c r="N14" s="67">
        <f>'Description Sheet'!L13</f>
        <v>0</v>
      </c>
      <c r="O14" s="68">
        <f>'Year (2025-2026)'!O14*(('Description Sheet'!M4)+1)</f>
        <v>0</v>
      </c>
      <c r="P14" s="69">
        <f t="shared" si="4"/>
        <v>0</v>
      </c>
      <c r="Q14" s="14"/>
      <c r="R14" s="44"/>
    </row>
    <row r="15" spans="1:18" ht="17" thickBot="1">
      <c r="A15" s="14"/>
      <c r="B15" s="109"/>
      <c r="C15" s="152"/>
      <c r="D15" s="107"/>
      <c r="E15" s="153"/>
      <c r="F15" s="153"/>
      <c r="G15" s="154"/>
      <c r="H15" s="155"/>
      <c r="I15" s="157"/>
      <c r="J15" s="14"/>
      <c r="K15" s="85"/>
      <c r="L15" s="32"/>
      <c r="M15" s="70"/>
      <c r="N15" s="67"/>
      <c r="O15" s="68"/>
      <c r="P15" s="73"/>
      <c r="Q15" s="14"/>
      <c r="R15" s="44"/>
    </row>
    <row r="16" spans="1:18" s="4" customFormat="1" ht="15.75" customHeight="1" thickBot="1">
      <c r="A16" s="14"/>
      <c r="B16" s="109"/>
      <c r="C16" s="158"/>
      <c r="D16" s="107"/>
      <c r="E16" s="159"/>
      <c r="F16" s="528" t="s">
        <v>7</v>
      </c>
      <c r="G16" s="529"/>
      <c r="H16" s="530">
        <f>SUM(I9:I14)</f>
        <v>10933.270219468803</v>
      </c>
      <c r="I16" s="531"/>
      <c r="J16" s="14"/>
      <c r="K16" s="15"/>
      <c r="L16" s="33"/>
      <c r="M16" s="508" t="s">
        <v>7</v>
      </c>
      <c r="N16" s="509"/>
      <c r="O16" s="510">
        <f>SUM(P9:P14)</f>
        <v>10933.270219468803</v>
      </c>
      <c r="P16" s="511"/>
      <c r="Q16" s="14"/>
      <c r="R16" s="31"/>
    </row>
    <row r="17" spans="1:18" ht="17" thickBot="1">
      <c r="A17" s="14"/>
      <c r="B17" s="109">
        <f>'Description Sheet'!B16</f>
        <v>2</v>
      </c>
      <c r="C17" s="113" t="str">
        <f>'Description Sheet'!C16</f>
        <v>External Plumbing Areas</v>
      </c>
      <c r="D17" s="107"/>
      <c r="E17" s="110"/>
      <c r="F17" s="110"/>
      <c r="G17" s="110"/>
      <c r="H17" s="110"/>
      <c r="I17" s="151"/>
      <c r="J17" s="32"/>
      <c r="K17" s="40"/>
      <c r="L17" s="33"/>
      <c r="M17" s="24"/>
      <c r="N17" s="25"/>
      <c r="O17" s="25"/>
      <c r="P17" s="63"/>
      <c r="Q17" s="14"/>
      <c r="R17" s="44"/>
    </row>
    <row r="18" spans="1:18">
      <c r="A18" s="14"/>
      <c r="B18" s="109">
        <f>'Description Sheet'!B17</f>
        <v>2.1</v>
      </c>
      <c r="C18" s="152" t="str">
        <f>'Description Sheet'!C17</f>
        <v>General Plumbing Repairs/Upgrade (Stacks, Valves etc.)</v>
      </c>
      <c r="D18" s="107"/>
      <c r="E18" s="153" t="str">
        <f>IF('Maintenance Schedule'!P20="x","x","")</f>
        <v>x</v>
      </c>
      <c r="F18" s="153" t="str">
        <f>IF(E18="x","No","")</f>
        <v>No</v>
      </c>
      <c r="G18" s="154">
        <f>IF(E18="x",1,0)</f>
        <v>1</v>
      </c>
      <c r="H18" s="155">
        <f t="shared" ref="H18:H24" si="5">IF(E18="x",P18,0)</f>
        <v>36733.201920000014</v>
      </c>
      <c r="I18" s="156">
        <f>IF(E18="x",G18*H18,0)</f>
        <v>36733.201920000014</v>
      </c>
      <c r="J18" s="14"/>
      <c r="K18" s="15"/>
      <c r="L18" s="32"/>
      <c r="M18" s="70" t="str">
        <f>'Description Sheet'!K17</f>
        <v>No</v>
      </c>
      <c r="N18" s="67">
        <f>'Description Sheet'!L17</f>
        <v>1</v>
      </c>
      <c r="O18" s="68">
        <f>'Year (2025-2026)'!O18*(('Description Sheet'!M4)+1)</f>
        <v>36733.201920000014</v>
      </c>
      <c r="P18" s="68">
        <f>N18*O18</f>
        <v>36733.201920000014</v>
      </c>
      <c r="Q18" s="14"/>
      <c r="R18" s="44"/>
    </row>
    <row r="19" spans="1:18" hidden="1">
      <c r="A19" s="14"/>
      <c r="B19" s="109">
        <f>'Description Sheet'!B18</f>
        <v>2.2000000000000002</v>
      </c>
      <c r="C19" s="152" t="str">
        <f>'Description Sheet'!C18</f>
        <v>Rectify Reticalation Connections at Fire Hydrants</v>
      </c>
      <c r="D19" s="107"/>
      <c r="E19" s="153" t="str">
        <f>IF('Maintenance Schedule'!P21="x","x","")</f>
        <v/>
      </c>
      <c r="F19" s="153" t="str">
        <f t="shared" ref="F19:F24" si="6">IF(E19="x","No","")</f>
        <v/>
      </c>
      <c r="G19" s="154">
        <f t="shared" ref="G19:G24" si="7">IF(E19="x",1,0)</f>
        <v>0</v>
      </c>
      <c r="H19" s="155">
        <f t="shared" si="5"/>
        <v>0</v>
      </c>
      <c r="I19" s="156">
        <f>IF(E19="x",G19*H19,0)</f>
        <v>0</v>
      </c>
      <c r="J19" s="14"/>
      <c r="K19" s="15"/>
      <c r="L19" s="32"/>
      <c r="M19" s="70" t="str">
        <f>'Description Sheet'!K18</f>
        <v>No</v>
      </c>
      <c r="N19" s="67">
        <f>'Description Sheet'!L18</f>
        <v>0</v>
      </c>
      <c r="O19" s="68">
        <f>'Year (2025-2026)'!O19*(('Description Sheet'!M4)+1)</f>
        <v>79343.71614720003</v>
      </c>
      <c r="P19" s="68">
        <f>N19*O19</f>
        <v>0</v>
      </c>
      <c r="Q19" s="14"/>
      <c r="R19" s="44"/>
    </row>
    <row r="20" spans="1:18" hidden="1">
      <c r="A20" s="14"/>
      <c r="B20" s="109">
        <f>'Description Sheet'!B19</f>
        <v>2.2999999999999998</v>
      </c>
      <c r="C20" s="152" t="str">
        <f>'Description Sheet'!C19</f>
        <v>Repairs to Storm Water Gullies</v>
      </c>
      <c r="D20" s="107"/>
      <c r="E20" s="153" t="str">
        <f>IF('Maintenance Schedule'!P22="x","x","")</f>
        <v/>
      </c>
      <c r="F20" s="153" t="str">
        <f t="shared" si="6"/>
        <v/>
      </c>
      <c r="G20" s="154">
        <f t="shared" si="7"/>
        <v>0</v>
      </c>
      <c r="H20" s="155">
        <f t="shared" si="5"/>
        <v>0</v>
      </c>
      <c r="I20" s="156">
        <f>IF(E20="x",G20*H20,0)</f>
        <v>0</v>
      </c>
      <c r="J20" s="14"/>
      <c r="K20" s="15"/>
      <c r="L20" s="32"/>
      <c r="M20" s="70" t="str">
        <f>'Description Sheet'!K19</f>
        <v>No</v>
      </c>
      <c r="N20" s="67">
        <f>'Description Sheet'!L19</f>
        <v>0</v>
      </c>
      <c r="O20" s="68">
        <f>'Year (2025-2026)'!O20*(('Description Sheet'!M4)+1)</f>
        <v>7140.9344532480018</v>
      </c>
      <c r="P20" s="68">
        <f>N20*O20</f>
        <v>0</v>
      </c>
      <c r="Q20" s="14"/>
      <c r="R20" s="44"/>
    </row>
    <row r="21" spans="1:18" hidden="1">
      <c r="A21" s="14"/>
      <c r="B21" s="109">
        <f>'Description Sheet'!B20</f>
        <v>2.4</v>
      </c>
      <c r="C21" s="152" t="str">
        <f>'Description Sheet'!C20</f>
        <v>Servicing of Full-Bore Piping</v>
      </c>
      <c r="D21" s="107"/>
      <c r="E21" s="153" t="str">
        <f>IF('Maintenance Schedule'!P23="x","x","")</f>
        <v/>
      </c>
      <c r="F21" s="153" t="str">
        <f t="shared" si="6"/>
        <v/>
      </c>
      <c r="G21" s="154">
        <f t="shared" si="7"/>
        <v>0</v>
      </c>
      <c r="H21" s="155">
        <f t="shared" si="5"/>
        <v>0</v>
      </c>
      <c r="I21" s="156">
        <f>IF(E21="x",G21*H21,0)</f>
        <v>0</v>
      </c>
      <c r="J21" s="14"/>
      <c r="K21" s="15"/>
      <c r="L21" s="32"/>
      <c r="M21" s="70" t="str">
        <f>'Description Sheet'!K20</f>
        <v>No</v>
      </c>
      <c r="N21" s="67">
        <f>'Description Sheet'!L20</f>
        <v>1</v>
      </c>
      <c r="O21" s="68">
        <f>'Year (2025-2026)'!O21*(('Description Sheet'!M4)+1)</f>
        <v>6914.6579294208022</v>
      </c>
      <c r="P21" s="68">
        <f>O21*N21</f>
        <v>6914.6579294208022</v>
      </c>
      <c r="Q21" s="14"/>
      <c r="R21" s="44"/>
    </row>
    <row r="22" spans="1:18" hidden="1">
      <c r="A22" s="14"/>
      <c r="B22" s="109">
        <f>'Description Sheet'!B21</f>
        <v>2.5</v>
      </c>
      <c r="C22" s="152" t="str">
        <f>'Description Sheet'!C21</f>
        <v>Replacing of Cast Iron Stack Pipes with PVC</v>
      </c>
      <c r="D22" s="107"/>
      <c r="E22" s="153" t="str">
        <f>IF('Maintenance Schedule'!P24="x","x","")</f>
        <v/>
      </c>
      <c r="F22" s="153" t="str">
        <f t="shared" si="6"/>
        <v/>
      </c>
      <c r="G22" s="154">
        <f t="shared" si="7"/>
        <v>0</v>
      </c>
      <c r="H22" s="155">
        <f t="shared" si="5"/>
        <v>0</v>
      </c>
      <c r="I22" s="156">
        <f t="shared" ref="I22:I24" si="8">IF(E22="x",G22*H22,0)</f>
        <v>0</v>
      </c>
      <c r="J22" s="14"/>
      <c r="K22" s="15"/>
      <c r="L22" s="33"/>
      <c r="M22" s="70" t="str">
        <f>'Description Sheet'!K21</f>
        <v>lm</v>
      </c>
      <c r="N22" s="67">
        <f>'Description Sheet'!L21</f>
        <v>1</v>
      </c>
      <c r="O22" s="68">
        <f>'Year (2025-2026)'!O22*(('Description Sheet'!M4)+1)</f>
        <v>164241.49242470405</v>
      </c>
      <c r="P22" s="68">
        <f t="shared" ref="P22:P24" si="9">O22*N22</f>
        <v>164241.49242470405</v>
      </c>
      <c r="Q22" s="14"/>
      <c r="R22" s="44"/>
    </row>
    <row r="23" spans="1:18" hidden="1">
      <c r="A23" s="14"/>
      <c r="B23" s="109">
        <f>'Description Sheet'!B22</f>
        <v>2.6</v>
      </c>
      <c r="C23" s="152" t="str">
        <f>'Description Sheet'!C22</f>
        <v>Water Tanks and Pumps (Maintenance/Repairs Savings)</v>
      </c>
      <c r="D23" s="107"/>
      <c r="E23" s="153" t="str">
        <f>IF('Maintenance Schedule'!P25="x","x","")</f>
        <v/>
      </c>
      <c r="F23" s="153" t="str">
        <f t="shared" si="6"/>
        <v/>
      </c>
      <c r="G23" s="154">
        <f t="shared" si="7"/>
        <v>0</v>
      </c>
      <c r="H23" s="155">
        <f t="shared" si="5"/>
        <v>0</v>
      </c>
      <c r="I23" s="156">
        <f t="shared" si="8"/>
        <v>0</v>
      </c>
      <c r="J23" s="14"/>
      <c r="K23" s="15"/>
      <c r="L23" s="33"/>
      <c r="M23" s="70" t="str">
        <f>'Description Sheet'!K22</f>
        <v>No</v>
      </c>
      <c r="N23" s="67">
        <f>'Description Sheet'!L22</f>
        <v>0</v>
      </c>
      <c r="O23" s="68">
        <f>'Year (2025-2026)'!O23*(('Description Sheet'!M4)+1)</f>
        <v>15868.743229440006</v>
      </c>
      <c r="P23" s="68">
        <f t="shared" si="9"/>
        <v>0</v>
      </c>
      <c r="Q23" s="14"/>
      <c r="R23" s="44"/>
    </row>
    <row r="24" spans="1:18" hidden="1">
      <c r="A24" s="14"/>
      <c r="B24" s="109">
        <f>'Description Sheet'!B23</f>
        <v>2.7</v>
      </c>
      <c r="C24" s="152" t="str">
        <f>'Description Sheet'!C23</f>
        <v>Asbestos Water Tanks (Replace)</v>
      </c>
      <c r="D24" s="107"/>
      <c r="E24" s="153" t="str">
        <f>IF('Maintenance Schedule'!P26="x","x","")</f>
        <v/>
      </c>
      <c r="F24" s="153" t="str">
        <f t="shared" si="6"/>
        <v/>
      </c>
      <c r="G24" s="154">
        <f t="shared" si="7"/>
        <v>0</v>
      </c>
      <c r="H24" s="155">
        <f t="shared" si="5"/>
        <v>0</v>
      </c>
      <c r="I24" s="156">
        <f t="shared" si="8"/>
        <v>0</v>
      </c>
      <c r="J24" s="14"/>
      <c r="K24" s="15"/>
      <c r="L24" s="33"/>
      <c r="M24" s="70" t="str">
        <f>'Description Sheet'!K23</f>
        <v>No</v>
      </c>
      <c r="N24" s="67">
        <f>'Description Sheet'!L23</f>
        <v>0</v>
      </c>
      <c r="O24" s="68">
        <f>'Year (2025-2026)'!O24*(('Description Sheet'!M4)+1)</f>
        <v>45590.311566950419</v>
      </c>
      <c r="P24" s="68">
        <f t="shared" si="9"/>
        <v>0</v>
      </c>
      <c r="Q24" s="14"/>
      <c r="R24" s="44"/>
    </row>
    <row r="25" spans="1:18" ht="17" thickBot="1">
      <c r="A25" s="14"/>
      <c r="B25" s="109"/>
      <c r="C25" s="152"/>
      <c r="D25" s="107"/>
      <c r="E25" s="160"/>
      <c r="F25" s="161"/>
      <c r="G25" s="161"/>
      <c r="H25" s="155"/>
      <c r="I25" s="155"/>
      <c r="J25" s="14"/>
      <c r="K25" s="15"/>
      <c r="L25" s="33"/>
      <c r="M25" s="76"/>
      <c r="N25" s="76"/>
      <c r="O25" s="77"/>
      <c r="P25" s="77"/>
      <c r="Q25" s="14"/>
      <c r="R25" s="44"/>
    </row>
    <row r="26" spans="1:18" s="4" customFormat="1" ht="15.75" customHeight="1" thickBot="1">
      <c r="A26" s="14"/>
      <c r="B26" s="109"/>
      <c r="C26" s="152"/>
      <c r="D26" s="107"/>
      <c r="E26" s="159"/>
      <c r="F26" s="532" t="s">
        <v>7</v>
      </c>
      <c r="G26" s="533"/>
      <c r="H26" s="530">
        <f>SUM(I18:I24)</f>
        <v>36733.201920000014</v>
      </c>
      <c r="I26" s="531"/>
      <c r="J26" s="14"/>
      <c r="K26" s="15"/>
      <c r="L26" s="33"/>
      <c r="M26" s="508" t="s">
        <v>7</v>
      </c>
      <c r="N26" s="509"/>
      <c r="O26" s="510">
        <f>SUM(P18:P24)</f>
        <v>207889.35227412486</v>
      </c>
      <c r="P26" s="511"/>
      <c r="Q26" s="14"/>
      <c r="R26" s="31"/>
    </row>
    <row r="27" spans="1:18" ht="17" hidden="1" thickBot="1">
      <c r="A27" s="14"/>
      <c r="B27" s="109">
        <f>'Description Sheet'!B26</f>
        <v>3</v>
      </c>
      <c r="C27" s="113" t="str">
        <f>'Description Sheet'!C26</f>
        <v>Heating and Cooling Systems</v>
      </c>
      <c r="D27" s="107"/>
      <c r="E27" s="110"/>
      <c r="F27" s="110"/>
      <c r="G27" s="110"/>
      <c r="H27" s="110"/>
      <c r="I27" s="151"/>
      <c r="J27" s="32"/>
      <c r="K27" s="40"/>
      <c r="L27" s="33"/>
      <c r="M27" s="24"/>
      <c r="N27" s="25"/>
      <c r="O27" s="25"/>
      <c r="P27" s="63"/>
      <c r="Q27" s="14"/>
      <c r="R27" s="44"/>
    </row>
    <row r="28" spans="1:18" hidden="1">
      <c r="A28" s="14"/>
      <c r="B28" s="109">
        <f>'Description Sheet'!B27</f>
        <v>3.1</v>
      </c>
      <c r="C28" s="152" t="str">
        <f>'Description Sheet'!C27</f>
        <v>Ventilation Shafts (Maintenance &amp; Upgrade Savings)</v>
      </c>
      <c r="D28" s="107"/>
      <c r="E28" s="153" t="str">
        <f>IF('Maintenance Schedule'!P33="x","x","")</f>
        <v/>
      </c>
      <c r="F28" s="153" t="str">
        <f>IF(E28="x","No","")</f>
        <v/>
      </c>
      <c r="G28" s="154">
        <f>IF(E28="x",1,0)</f>
        <v>0</v>
      </c>
      <c r="H28" s="155">
        <f t="shared" ref="H28:H32" si="10">IF(E28="x",P28,0)</f>
        <v>0</v>
      </c>
      <c r="I28" s="156">
        <f>IF(E28="x",G28*H28,0)</f>
        <v>0</v>
      </c>
      <c r="J28" s="14"/>
      <c r="K28" s="15"/>
      <c r="L28" s="32"/>
      <c r="M28" s="70" t="str">
        <f>'Description Sheet'!K27</f>
        <v>No</v>
      </c>
      <c r="N28" s="67">
        <f>'Description Sheet'!L27</f>
        <v>0</v>
      </c>
      <c r="O28" s="68">
        <f>'Year (2025-2026)'!O28*(('Description Sheet'!M4)+1)</f>
        <v>8644.0570758144022</v>
      </c>
      <c r="P28" s="68">
        <f>N28*O28</f>
        <v>0</v>
      </c>
      <c r="Q28" s="14"/>
      <c r="R28" s="44"/>
    </row>
    <row r="29" spans="1:18" hidden="1">
      <c r="A29" s="14"/>
      <c r="B29" s="109">
        <f>'Description Sheet'!B28</f>
        <v>3.2</v>
      </c>
      <c r="C29" s="152" t="str">
        <f>'Description Sheet'!C28</f>
        <v>Air Conditioning Units (Maintenance &amp; Upgrade Savings)</v>
      </c>
      <c r="D29" s="107"/>
      <c r="E29" s="153" t="str">
        <f>IF('Maintenance Schedule'!P34="x","x","")</f>
        <v/>
      </c>
      <c r="F29" s="153" t="str">
        <f>IF(E29="x","No","")</f>
        <v/>
      </c>
      <c r="G29" s="154">
        <f>IF(E29="x",1,0)</f>
        <v>0</v>
      </c>
      <c r="H29" s="155">
        <f t="shared" si="10"/>
        <v>0</v>
      </c>
      <c r="I29" s="156">
        <f>IF(E29="x",G29*H29,0)</f>
        <v>0</v>
      </c>
      <c r="J29" s="14"/>
      <c r="K29" s="15"/>
      <c r="L29" s="32"/>
      <c r="M29" s="70" t="str">
        <f>'Description Sheet'!K28</f>
        <v>No</v>
      </c>
      <c r="N29" s="67">
        <f>'Description Sheet'!L28</f>
        <v>0</v>
      </c>
      <c r="O29" s="73">
        <f>'Year (2025-2026)'!O29*(('Description Sheet'!M4)+1)</f>
        <v>17288.114151628804</v>
      </c>
      <c r="P29" s="68">
        <f>N29*O29</f>
        <v>0</v>
      </c>
      <c r="Q29" s="14"/>
      <c r="R29" s="44"/>
    </row>
    <row r="30" spans="1:18" hidden="1">
      <c r="A30" s="14"/>
      <c r="B30" s="109">
        <f>'Description Sheet'!B29</f>
        <v>3.3</v>
      </c>
      <c r="C30" s="152" t="str">
        <f>'Description Sheet'!C29</f>
        <v>Solar Panels (Maintenance &amp; Upgrade Savings)</v>
      </c>
      <c r="D30" s="107"/>
      <c r="E30" s="153" t="str">
        <f>IF('Maintenance Schedule'!P35="x","x","")</f>
        <v/>
      </c>
      <c r="F30" s="153" t="str">
        <f t="shared" ref="F30:F32" si="11">IF(E30="x","No","")</f>
        <v/>
      </c>
      <c r="G30" s="154">
        <f t="shared" ref="G30:G32" si="12">IF(E30="x",1,0)</f>
        <v>0</v>
      </c>
      <c r="H30" s="155">
        <f t="shared" si="10"/>
        <v>0</v>
      </c>
      <c r="I30" s="156">
        <f t="shared" ref="I30:I32" si="13">IF(E30="x",G30*H30,0)</f>
        <v>0</v>
      </c>
      <c r="J30" s="14"/>
      <c r="K30" s="15"/>
      <c r="L30" s="32"/>
      <c r="M30" s="70" t="str">
        <f>'Description Sheet'!K29</f>
        <v>No</v>
      </c>
      <c r="N30" s="67">
        <f>'Description Sheet'!L29</f>
        <v>0</v>
      </c>
      <c r="O30" s="73">
        <f>'Year (2025-2026)'!O30*(('Description Sheet'!M4)+1)</f>
        <v>9550.6324992000045</v>
      </c>
      <c r="P30" s="68">
        <f t="shared" ref="P30:P32" si="14">N30*O30</f>
        <v>0</v>
      </c>
      <c r="Q30" s="14"/>
      <c r="R30" s="44"/>
    </row>
    <row r="31" spans="1:18" hidden="1">
      <c r="A31" s="14"/>
      <c r="B31" s="109">
        <f>'Description Sheet'!B30</f>
        <v>3.4</v>
      </c>
      <c r="C31" s="152" t="str">
        <f>'Description Sheet'!C30</f>
        <v>blank</v>
      </c>
      <c r="D31" s="107"/>
      <c r="E31" s="153" t="str">
        <f>IF('Maintenance Schedule'!P36="x","x","")</f>
        <v/>
      </c>
      <c r="F31" s="153" t="str">
        <f t="shared" si="11"/>
        <v/>
      </c>
      <c r="G31" s="154">
        <f t="shared" si="12"/>
        <v>0</v>
      </c>
      <c r="H31" s="155">
        <f t="shared" si="10"/>
        <v>0</v>
      </c>
      <c r="I31" s="156">
        <f t="shared" si="13"/>
        <v>0</v>
      </c>
      <c r="J31" s="14"/>
      <c r="K31" s="15"/>
      <c r="L31" s="32"/>
      <c r="M31" s="70" t="str">
        <f>'Description Sheet'!K30</f>
        <v>No</v>
      </c>
      <c r="N31" s="67">
        <f>'Description Sheet'!L30</f>
        <v>0</v>
      </c>
      <c r="O31" s="73">
        <f>'Year (2025-2026)'!O31*(('Description Sheet'!M4)+1)</f>
        <v>0</v>
      </c>
      <c r="P31" s="68">
        <f t="shared" si="14"/>
        <v>0</v>
      </c>
      <c r="Q31" s="14"/>
      <c r="R31" s="44"/>
    </row>
    <row r="32" spans="1:18" hidden="1">
      <c r="A32" s="14"/>
      <c r="B32" s="109">
        <f>'Description Sheet'!B31</f>
        <v>3.5</v>
      </c>
      <c r="C32" s="152" t="str">
        <f>'Description Sheet'!C31</f>
        <v>blank</v>
      </c>
      <c r="D32" s="107"/>
      <c r="E32" s="153" t="str">
        <f>IF('Maintenance Schedule'!P37="x","x","")</f>
        <v/>
      </c>
      <c r="F32" s="153" t="str">
        <f t="shared" si="11"/>
        <v/>
      </c>
      <c r="G32" s="154">
        <f t="shared" si="12"/>
        <v>0</v>
      </c>
      <c r="H32" s="155">
        <f t="shared" si="10"/>
        <v>0</v>
      </c>
      <c r="I32" s="156">
        <f t="shared" si="13"/>
        <v>0</v>
      </c>
      <c r="J32" s="14"/>
      <c r="K32" s="15"/>
      <c r="L32" s="32"/>
      <c r="M32" s="70" t="str">
        <f>'Description Sheet'!K31</f>
        <v>No</v>
      </c>
      <c r="N32" s="67">
        <f>'Description Sheet'!L31</f>
        <v>0</v>
      </c>
      <c r="O32" s="73">
        <f>'Year (2025-2026)'!O32*(('Description Sheet'!M4)+1)</f>
        <v>0</v>
      </c>
      <c r="P32" s="68">
        <f t="shared" si="14"/>
        <v>0</v>
      </c>
      <c r="Q32" s="14"/>
      <c r="R32" s="44"/>
    </row>
    <row r="33" spans="1:18" ht="17" hidden="1" thickBot="1">
      <c r="A33" s="14"/>
      <c r="B33" s="109"/>
      <c r="C33" s="152"/>
      <c r="D33" s="107"/>
      <c r="E33" s="162"/>
      <c r="F33" s="154"/>
      <c r="G33" s="154"/>
      <c r="H33" s="155"/>
      <c r="I33" s="155"/>
      <c r="J33" s="14"/>
      <c r="K33" s="15"/>
      <c r="L33" s="32"/>
      <c r="M33" s="67"/>
      <c r="N33" s="67"/>
      <c r="O33" s="73"/>
      <c r="P33" s="68"/>
      <c r="Q33" s="14"/>
      <c r="R33" s="44"/>
    </row>
    <row r="34" spans="1:18" s="4" customFormat="1" ht="15.75" hidden="1" customHeight="1" thickBot="1">
      <c r="A34" s="14"/>
      <c r="B34" s="109"/>
      <c r="C34" s="152"/>
      <c r="D34" s="107"/>
      <c r="E34" s="159"/>
      <c r="F34" s="528" t="s">
        <v>7</v>
      </c>
      <c r="G34" s="529"/>
      <c r="H34" s="530">
        <f>SUM(I28:I32)</f>
        <v>0</v>
      </c>
      <c r="I34" s="531"/>
      <c r="J34" s="14"/>
      <c r="K34" s="15"/>
      <c r="L34" s="33"/>
      <c r="M34" s="508" t="s">
        <v>7</v>
      </c>
      <c r="N34" s="509"/>
      <c r="O34" s="510">
        <f>SUM(P28:P33)</f>
        <v>0</v>
      </c>
      <c r="P34" s="511"/>
      <c r="Q34" s="14"/>
      <c r="R34" s="31"/>
    </row>
    <row r="35" spans="1:18" ht="17" hidden="1" thickBot="1">
      <c r="A35" s="14"/>
      <c r="B35" s="109">
        <f>'Description Sheet'!B34</f>
        <v>4</v>
      </c>
      <c r="C35" s="113" t="str">
        <f>'Description Sheet'!C34</f>
        <v>Lifts</v>
      </c>
      <c r="D35" s="107"/>
      <c r="E35" s="110"/>
      <c r="F35" s="110"/>
      <c r="G35" s="110"/>
      <c r="H35" s="110"/>
      <c r="I35" s="151"/>
      <c r="J35" s="32"/>
      <c r="K35" s="40"/>
      <c r="L35" s="33"/>
      <c r="M35" s="24"/>
      <c r="N35" s="25"/>
      <c r="O35" s="25"/>
      <c r="P35" s="63"/>
      <c r="Q35" s="14"/>
      <c r="R35" s="44"/>
    </row>
    <row r="36" spans="1:18" hidden="1">
      <c r="A36" s="14"/>
      <c r="B36" s="109">
        <f>'Description Sheet'!B35</f>
        <v>4.0999999999999996</v>
      </c>
      <c r="C36" s="152" t="str">
        <f>'Description Sheet'!C35</f>
        <v>Lift Upgrade Savings</v>
      </c>
      <c r="D36" s="107"/>
      <c r="E36" s="153" t="str">
        <f>IF('Maintenance Schedule'!P44="x","x","")</f>
        <v/>
      </c>
      <c r="F36" s="153" t="str">
        <f>IF(E36="x","No","")</f>
        <v/>
      </c>
      <c r="G36" s="154">
        <f>IF(E36="x",1,0)</f>
        <v>0</v>
      </c>
      <c r="H36" s="155">
        <f t="shared" ref="H36:H39" si="15">IF(E36="x",P36,0)</f>
        <v>0</v>
      </c>
      <c r="I36" s="156">
        <f>IF(E36="x",G36*H36,0)</f>
        <v>0</v>
      </c>
      <c r="J36" s="14"/>
      <c r="K36" s="15"/>
      <c r="L36" s="32"/>
      <c r="M36" s="70" t="str">
        <f>'Description Sheet'!K35</f>
        <v>No</v>
      </c>
      <c r="N36" s="67">
        <f>'Description Sheet'!L35</f>
        <v>1</v>
      </c>
      <c r="O36" s="73">
        <f>'Year (2025-2026)'!O36*(('Description Sheet'!M4)+1)</f>
        <v>129663.79479336964</v>
      </c>
      <c r="P36" s="68">
        <f>N36*O36</f>
        <v>129663.79479336964</v>
      </c>
      <c r="Q36" s="14"/>
      <c r="R36" s="44"/>
    </row>
    <row r="37" spans="1:18" hidden="1">
      <c r="A37" s="14"/>
      <c r="B37" s="109">
        <f>'Description Sheet'!B36</f>
        <v>4.2</v>
      </c>
      <c r="C37" s="152" t="str">
        <f>'Description Sheet'!C36</f>
        <v>Lift Replacement (Only in 12-15 years)</v>
      </c>
      <c r="D37" s="107"/>
      <c r="E37" s="153" t="str">
        <f>IF('Maintenance Schedule'!P45="x","x","")</f>
        <v/>
      </c>
      <c r="F37" s="153" t="str">
        <f t="shared" ref="F37:F39" si="16">IF(E37="x","No","")</f>
        <v/>
      </c>
      <c r="G37" s="154">
        <f t="shared" ref="G37:G39" si="17">IF(E37="x",1,0)</f>
        <v>0</v>
      </c>
      <c r="H37" s="155">
        <f t="shared" si="15"/>
        <v>0</v>
      </c>
      <c r="I37" s="156">
        <f t="shared" ref="I37:I39" si="18">IF(E37="x",G37*H37,0)</f>
        <v>0</v>
      </c>
      <c r="J37" s="14"/>
      <c r="K37" s="15"/>
      <c r="L37" s="32"/>
      <c r="M37" s="70" t="str">
        <f>'Description Sheet'!K36</f>
        <v>No</v>
      </c>
      <c r="N37" s="67">
        <f>'Description Sheet'!L36</f>
        <v>0</v>
      </c>
      <c r="O37" s="73">
        <f>'Year (2025-2026)'!O37*(('Description Sheet'!M4)+1)</f>
        <v>1200914.1623863298</v>
      </c>
      <c r="P37" s="68">
        <f t="shared" ref="P37:P39" si="19">N37*O37</f>
        <v>0</v>
      </c>
      <c r="Q37" s="14"/>
      <c r="R37" s="44"/>
    </row>
    <row r="38" spans="1:18" hidden="1">
      <c r="A38" s="14"/>
      <c r="B38" s="109">
        <f>'Description Sheet'!B37</f>
        <v>4.3</v>
      </c>
      <c r="C38" s="152" t="str">
        <f>'Description Sheet'!C37</f>
        <v>blank</v>
      </c>
      <c r="D38" s="107"/>
      <c r="E38" s="153" t="str">
        <f>IF('Maintenance Schedule'!P46="x","x","")</f>
        <v/>
      </c>
      <c r="F38" s="153" t="str">
        <f t="shared" si="16"/>
        <v/>
      </c>
      <c r="G38" s="154">
        <f t="shared" si="17"/>
        <v>0</v>
      </c>
      <c r="H38" s="155">
        <f t="shared" si="15"/>
        <v>0</v>
      </c>
      <c r="I38" s="156">
        <f t="shared" si="18"/>
        <v>0</v>
      </c>
      <c r="J38" s="14"/>
      <c r="K38" s="15"/>
      <c r="L38" s="32"/>
      <c r="M38" s="70" t="str">
        <f>'Description Sheet'!K37</f>
        <v>No</v>
      </c>
      <c r="N38" s="67">
        <f>'Description Sheet'!L37</f>
        <v>0</v>
      </c>
      <c r="O38" s="73">
        <f>'Year (2025-2026)'!O38*(('Description Sheet'!M4)+1)</f>
        <v>0</v>
      </c>
      <c r="P38" s="68">
        <f t="shared" si="19"/>
        <v>0</v>
      </c>
      <c r="Q38" s="14"/>
      <c r="R38" s="44"/>
    </row>
    <row r="39" spans="1:18" hidden="1">
      <c r="A39" s="14"/>
      <c r="B39" s="109">
        <f>'Description Sheet'!B38</f>
        <v>4.4000000000000004</v>
      </c>
      <c r="C39" s="152" t="str">
        <f>'Description Sheet'!C38</f>
        <v>blank</v>
      </c>
      <c r="D39" s="107"/>
      <c r="E39" s="153" t="str">
        <f>IF('Maintenance Schedule'!P47="x","x","")</f>
        <v/>
      </c>
      <c r="F39" s="153" t="str">
        <f t="shared" si="16"/>
        <v/>
      </c>
      <c r="G39" s="154">
        <f t="shared" si="17"/>
        <v>0</v>
      </c>
      <c r="H39" s="155">
        <f t="shared" si="15"/>
        <v>0</v>
      </c>
      <c r="I39" s="156">
        <f t="shared" si="18"/>
        <v>0</v>
      </c>
      <c r="J39" s="14"/>
      <c r="K39" s="15"/>
      <c r="L39" s="32"/>
      <c r="M39" s="70" t="str">
        <f>'Description Sheet'!K38</f>
        <v>No</v>
      </c>
      <c r="N39" s="67">
        <f>'Description Sheet'!L38</f>
        <v>0</v>
      </c>
      <c r="O39" s="73">
        <f>'Year (2025-2026)'!O39*(('Description Sheet'!M4)+1)</f>
        <v>0</v>
      </c>
      <c r="P39" s="68">
        <f t="shared" si="19"/>
        <v>0</v>
      </c>
      <c r="Q39" s="14"/>
      <c r="R39" s="44"/>
    </row>
    <row r="40" spans="1:18" ht="17" hidden="1" thickBot="1">
      <c r="A40" s="14"/>
      <c r="B40" s="109"/>
      <c r="C40" s="152"/>
      <c r="D40" s="107"/>
      <c r="E40" s="162"/>
      <c r="F40" s="154"/>
      <c r="G40" s="154"/>
      <c r="H40" s="155"/>
      <c r="I40" s="155"/>
      <c r="J40" s="14"/>
      <c r="K40" s="15"/>
      <c r="L40" s="32"/>
      <c r="M40" s="67"/>
      <c r="N40" s="67"/>
      <c r="O40" s="73"/>
      <c r="P40" s="68"/>
      <c r="Q40" s="14"/>
      <c r="R40" s="44"/>
    </row>
    <row r="41" spans="1:18" s="4" customFormat="1" ht="15.75" hidden="1" customHeight="1" thickBot="1">
      <c r="A41" s="14"/>
      <c r="B41" s="109"/>
      <c r="C41" s="152"/>
      <c r="D41" s="107"/>
      <c r="E41" s="159"/>
      <c r="F41" s="528" t="s">
        <v>7</v>
      </c>
      <c r="G41" s="529"/>
      <c r="H41" s="530">
        <f>SUM(I36:I40)</f>
        <v>0</v>
      </c>
      <c r="I41" s="531"/>
      <c r="J41" s="14"/>
      <c r="K41" s="15"/>
      <c r="L41" s="33"/>
      <c r="M41" s="508" t="s">
        <v>7</v>
      </c>
      <c r="N41" s="509"/>
      <c r="O41" s="510">
        <f>SUM(P36:P40)</f>
        <v>129663.79479336964</v>
      </c>
      <c r="P41" s="511"/>
      <c r="Q41" s="14"/>
      <c r="R41" s="31"/>
    </row>
    <row r="42" spans="1:18" ht="17" thickBot="1">
      <c r="A42" s="14"/>
      <c r="B42" s="109">
        <f>'Description Sheet'!B41</f>
        <v>5</v>
      </c>
      <c r="C42" s="150" t="str">
        <f>'Description Sheet'!C41</f>
        <v>Carpeting and Furnishing</v>
      </c>
      <c r="D42" s="107"/>
      <c r="E42" s="110"/>
      <c r="F42" s="110"/>
      <c r="G42" s="110"/>
      <c r="H42" s="110"/>
      <c r="I42" s="151"/>
      <c r="J42" s="32"/>
      <c r="K42" s="40"/>
      <c r="L42" s="33"/>
      <c r="M42" s="24"/>
      <c r="N42" s="25"/>
      <c r="O42" s="25"/>
      <c r="P42" s="63"/>
      <c r="Q42" s="14"/>
      <c r="R42" s="44"/>
    </row>
    <row r="43" spans="1:18">
      <c r="A43" s="14"/>
      <c r="B43" s="109">
        <f>'Description Sheet'!B42</f>
        <v>5.0999999999999996</v>
      </c>
      <c r="C43" s="152" t="str">
        <f>'Description Sheet'!C42</f>
        <v>Common Area Equipment/Furnishings (Replacement/Maintenance)</v>
      </c>
      <c r="D43" s="107"/>
      <c r="E43" s="153" t="str">
        <f>IF('Maintenance Schedule'!P54="x","x","")</f>
        <v>x</v>
      </c>
      <c r="F43" s="153" t="str">
        <f>IF(E43="x","No","")</f>
        <v>No</v>
      </c>
      <c r="G43" s="154">
        <f>IF(E43="x",1,0)</f>
        <v>1</v>
      </c>
      <c r="H43" s="155">
        <f t="shared" ref="H43:H46" si="20">IF(E43="x",P43,0)</f>
        <v>5142.6482688000015</v>
      </c>
      <c r="I43" s="156">
        <f>IF(E43="x",G43*H43,0)</f>
        <v>5142.6482688000015</v>
      </c>
      <c r="J43" s="14"/>
      <c r="K43" s="15"/>
      <c r="L43" s="32"/>
      <c r="M43" s="70" t="str">
        <f>'Description Sheet'!K42</f>
        <v>No</v>
      </c>
      <c r="N43" s="67">
        <f>'Description Sheet'!L42</f>
        <v>1</v>
      </c>
      <c r="O43" s="73">
        <f>'Year (2025-2026)'!O43*(('Description Sheet'!M4)+1)</f>
        <v>5142.6482688000015</v>
      </c>
      <c r="P43" s="68">
        <f>N43*O43</f>
        <v>5142.6482688000015</v>
      </c>
      <c r="Q43" s="14"/>
      <c r="R43" s="44"/>
    </row>
    <row r="44" spans="1:18" hidden="1">
      <c r="A44" s="14"/>
      <c r="B44" s="109">
        <f>'Description Sheet'!B43</f>
        <v>5.2</v>
      </c>
      <c r="C44" s="152" t="str">
        <f>'Description Sheet'!C43</f>
        <v>blank</v>
      </c>
      <c r="D44" s="107"/>
      <c r="E44" s="153" t="str">
        <f>IF('Maintenance Schedule'!P55="x","x","")</f>
        <v/>
      </c>
      <c r="F44" s="153" t="str">
        <f t="shared" ref="F44:F46" si="21">IF(E44="x","No","")</f>
        <v/>
      </c>
      <c r="G44" s="154">
        <f t="shared" ref="G44:G46" si="22">IF(E44="x",1,0)</f>
        <v>0</v>
      </c>
      <c r="H44" s="155">
        <f t="shared" si="20"/>
        <v>0</v>
      </c>
      <c r="I44" s="156">
        <f t="shared" ref="I44:I46" si="23">IF(E44="x",G44*H44,0)</f>
        <v>0</v>
      </c>
      <c r="J44" s="14"/>
      <c r="K44" s="15"/>
      <c r="L44" s="32"/>
      <c r="M44" s="70" t="str">
        <f>'Description Sheet'!K43</f>
        <v>No</v>
      </c>
      <c r="N44" s="67">
        <f>'Description Sheet'!L43</f>
        <v>0</v>
      </c>
      <c r="O44" s="73">
        <f>'Year (2025-2026)'!O44*(('Description Sheet'!M4)+1)</f>
        <v>0</v>
      </c>
      <c r="P44" s="68">
        <f t="shared" ref="P44:P46" si="24">N44*O44</f>
        <v>0</v>
      </c>
      <c r="Q44" s="14"/>
      <c r="R44" s="44"/>
    </row>
    <row r="45" spans="1:18" hidden="1">
      <c r="A45" s="14"/>
      <c r="B45" s="109">
        <f>'Description Sheet'!B44</f>
        <v>5.3</v>
      </c>
      <c r="C45" s="152" t="str">
        <f>'Description Sheet'!C44</f>
        <v>blank</v>
      </c>
      <c r="D45" s="107"/>
      <c r="E45" s="153" t="str">
        <f>IF('Maintenance Schedule'!P56="x","x","")</f>
        <v/>
      </c>
      <c r="F45" s="153" t="str">
        <f t="shared" si="21"/>
        <v/>
      </c>
      <c r="G45" s="154">
        <f t="shared" si="22"/>
        <v>0</v>
      </c>
      <c r="H45" s="155">
        <f t="shared" si="20"/>
        <v>0</v>
      </c>
      <c r="I45" s="156">
        <f t="shared" si="23"/>
        <v>0</v>
      </c>
      <c r="J45" s="14"/>
      <c r="K45" s="15"/>
      <c r="L45" s="32"/>
      <c r="M45" s="70" t="str">
        <f>'Description Sheet'!K44</f>
        <v>No</v>
      </c>
      <c r="N45" s="67">
        <f>'Description Sheet'!L44</f>
        <v>0</v>
      </c>
      <c r="O45" s="73">
        <f>'Year (2025-2026)'!O45*(('Description Sheet'!M4)+1)</f>
        <v>0</v>
      </c>
      <c r="P45" s="68">
        <f t="shared" si="24"/>
        <v>0</v>
      </c>
      <c r="Q45" s="14"/>
      <c r="R45" s="44"/>
    </row>
    <row r="46" spans="1:18" hidden="1">
      <c r="A46" s="14"/>
      <c r="B46" s="109">
        <f>'Description Sheet'!B45</f>
        <v>5.4</v>
      </c>
      <c r="C46" s="152" t="str">
        <f>'Description Sheet'!C45</f>
        <v>blank</v>
      </c>
      <c r="D46" s="107"/>
      <c r="E46" s="153" t="str">
        <f>IF('Maintenance Schedule'!P57="x","x","")</f>
        <v/>
      </c>
      <c r="F46" s="153" t="str">
        <f t="shared" si="21"/>
        <v/>
      </c>
      <c r="G46" s="154">
        <f t="shared" si="22"/>
        <v>0</v>
      </c>
      <c r="H46" s="155">
        <f t="shared" si="20"/>
        <v>0</v>
      </c>
      <c r="I46" s="156">
        <f t="shared" si="23"/>
        <v>0</v>
      </c>
      <c r="J46" s="14"/>
      <c r="K46" s="15"/>
      <c r="L46" s="32"/>
      <c r="M46" s="70" t="str">
        <f>'Description Sheet'!K45</f>
        <v>No</v>
      </c>
      <c r="N46" s="67">
        <f>'Description Sheet'!L45</f>
        <v>0</v>
      </c>
      <c r="O46" s="73">
        <f>'Year (2025-2026)'!O46*(('Description Sheet'!M4)+1)</f>
        <v>0</v>
      </c>
      <c r="P46" s="68">
        <f t="shared" si="24"/>
        <v>0</v>
      </c>
      <c r="Q46" s="14"/>
      <c r="R46" s="44"/>
    </row>
    <row r="47" spans="1:18" ht="17" thickBot="1">
      <c r="A47" s="14"/>
      <c r="B47" s="109"/>
      <c r="C47" s="152"/>
      <c r="D47" s="107"/>
      <c r="E47" s="162"/>
      <c r="F47" s="154"/>
      <c r="G47" s="154"/>
      <c r="H47" s="155"/>
      <c r="I47" s="155"/>
      <c r="J47" s="14"/>
      <c r="K47" s="15"/>
      <c r="L47" s="32"/>
      <c r="M47" s="67"/>
      <c r="N47" s="67"/>
      <c r="O47" s="73"/>
      <c r="P47" s="68"/>
      <c r="Q47" s="14"/>
      <c r="R47" s="44"/>
    </row>
    <row r="48" spans="1:18" s="4" customFormat="1" ht="15.75" customHeight="1" thickBot="1">
      <c r="A48" s="14"/>
      <c r="B48" s="109"/>
      <c r="C48" s="115"/>
      <c r="D48" s="107"/>
      <c r="E48" s="159"/>
      <c r="F48" s="528" t="s">
        <v>7</v>
      </c>
      <c r="G48" s="529"/>
      <c r="H48" s="530">
        <f>SUM(I43:I47)</f>
        <v>5142.6482688000015</v>
      </c>
      <c r="I48" s="531"/>
      <c r="J48" s="14"/>
      <c r="K48" s="15"/>
      <c r="L48" s="33"/>
      <c r="M48" s="508" t="s">
        <v>7</v>
      </c>
      <c r="N48" s="509"/>
      <c r="O48" s="510">
        <f>SUM(P43:P47)</f>
        <v>5142.6482688000015</v>
      </c>
      <c r="P48" s="511"/>
      <c r="Q48" s="14"/>
      <c r="R48" s="31"/>
    </row>
    <row r="49" spans="1:18" ht="17" thickBot="1">
      <c r="A49" s="14"/>
      <c r="B49" s="109">
        <f>'Description Sheet'!B48</f>
        <v>6</v>
      </c>
      <c r="C49" s="113" t="str">
        <f>'Description Sheet'!C48</f>
        <v>Roof  Areas</v>
      </c>
      <c r="D49" s="107"/>
      <c r="E49" s="110"/>
      <c r="F49" s="110"/>
      <c r="G49" s="110"/>
      <c r="H49" s="110"/>
      <c r="I49" s="151"/>
      <c r="J49" s="32"/>
      <c r="K49" s="40"/>
      <c r="L49" s="33"/>
      <c r="M49" s="24"/>
      <c r="N49" s="25"/>
      <c r="O49" s="25"/>
      <c r="P49" s="63"/>
      <c r="Q49" s="14"/>
      <c r="R49" s="44"/>
    </row>
    <row r="50" spans="1:18" hidden="1">
      <c r="A50" s="14"/>
      <c r="B50" s="109">
        <f>'Description Sheet'!B49</f>
        <v>6.1</v>
      </c>
      <c r="C50" s="152" t="str">
        <f>'Description Sheet'!C49</f>
        <v xml:space="preserve">Flashings/Counter Flashings </v>
      </c>
      <c r="D50" s="107"/>
      <c r="E50" s="153" t="str">
        <f>IF('Maintenance Schedule'!P64="x","x","")</f>
        <v/>
      </c>
      <c r="F50" s="153" t="str">
        <f>IF(E50="x","No","")</f>
        <v/>
      </c>
      <c r="G50" s="154">
        <f>IF(E50="x",1,0)</f>
        <v>0</v>
      </c>
      <c r="H50" s="155">
        <f t="shared" ref="H50:H66" si="25">IF(E50="x",P50,0)</f>
        <v>0</v>
      </c>
      <c r="I50" s="156">
        <f t="shared" ref="I50:I66" si="26">IF(E50="x",G50*H50,0)</f>
        <v>0</v>
      </c>
      <c r="J50" s="14"/>
      <c r="K50" s="15"/>
      <c r="L50" s="32"/>
      <c r="M50" s="67" t="str">
        <f>'Description Sheet'!K49</f>
        <v>No</v>
      </c>
      <c r="N50" s="67">
        <f>'Description Sheet'!L49</f>
        <v>0</v>
      </c>
      <c r="O50" s="73">
        <f>'Year (2025-2026)'!O50*(('Description Sheet'!M4)+1)</f>
        <v>14281.868906496004</v>
      </c>
      <c r="P50" s="69">
        <f t="shared" ref="P50:P66" si="27">N50*O50</f>
        <v>0</v>
      </c>
      <c r="Q50" s="14"/>
      <c r="R50" s="44"/>
    </row>
    <row r="51" spans="1:18" hidden="1">
      <c r="A51" s="14"/>
      <c r="B51" s="109">
        <f>'Description Sheet'!B50</f>
        <v>6.2</v>
      </c>
      <c r="C51" s="152" t="str">
        <f>'Description Sheet'!C50</f>
        <v>General Roof Repairs</v>
      </c>
      <c r="D51" s="107"/>
      <c r="E51" s="153" t="str">
        <f>IF('Maintenance Schedule'!P65="x","x","")</f>
        <v/>
      </c>
      <c r="F51" s="153" t="str">
        <f t="shared" ref="F51:F62" si="28">IF(E51="x","No","")</f>
        <v/>
      </c>
      <c r="G51" s="154">
        <f t="shared" ref="G51:G66" si="29">IF(E51="x",1,0)</f>
        <v>0</v>
      </c>
      <c r="H51" s="155">
        <f t="shared" si="25"/>
        <v>0</v>
      </c>
      <c r="I51" s="156">
        <f t="shared" si="26"/>
        <v>0</v>
      </c>
      <c r="J51" s="14"/>
      <c r="K51" s="15"/>
      <c r="L51" s="32"/>
      <c r="M51" s="67" t="str">
        <f>'Description Sheet'!K50</f>
        <v>No</v>
      </c>
      <c r="N51" s="67">
        <f>'Description Sheet'!L50</f>
        <v>0</v>
      </c>
      <c r="O51" s="73">
        <f>'Year (2025-2026)'!O51*(('Description Sheet'!M4)+1)</f>
        <v>15.868743229440007</v>
      </c>
      <c r="P51" s="69">
        <f t="shared" si="27"/>
        <v>0</v>
      </c>
      <c r="Q51" s="14"/>
      <c r="R51" s="44"/>
    </row>
    <row r="52" spans="1:18">
      <c r="A52" s="14"/>
      <c r="B52" s="109">
        <f>'Description Sheet'!B51</f>
        <v>6.3</v>
      </c>
      <c r="C52" s="152" t="str">
        <f>'Description Sheet'!C51</f>
        <v>Cleaning &amp; Maintenance &amp; Repairs of Gutters and Downpipes</v>
      </c>
      <c r="D52" s="107"/>
      <c r="E52" s="153" t="str">
        <f>IF('Maintenance Schedule'!P66="x","x","")</f>
        <v>x</v>
      </c>
      <c r="F52" s="153" t="str">
        <f t="shared" si="28"/>
        <v>No</v>
      </c>
      <c r="G52" s="154">
        <f t="shared" si="29"/>
        <v>1</v>
      </c>
      <c r="H52" s="155">
        <f t="shared" si="25"/>
        <v>4687.1565649920012</v>
      </c>
      <c r="I52" s="156">
        <f t="shared" si="26"/>
        <v>4687.1565649920012</v>
      </c>
      <c r="J52" s="14"/>
      <c r="K52" s="15"/>
      <c r="L52" s="32"/>
      <c r="M52" s="67" t="str">
        <f>'Description Sheet'!K51</f>
        <v>lm</v>
      </c>
      <c r="N52" s="67">
        <f>'Description Sheet'!L51</f>
        <v>110</v>
      </c>
      <c r="O52" s="73">
        <f>'Year (2025-2026)'!O52*(('Description Sheet'!M4)+1)</f>
        <v>42.610514227200014</v>
      </c>
      <c r="P52" s="69">
        <f t="shared" si="27"/>
        <v>4687.1565649920012</v>
      </c>
      <c r="Q52" s="14"/>
      <c r="R52" s="44"/>
    </row>
    <row r="53" spans="1:18" hidden="1">
      <c r="A53" s="14"/>
      <c r="B53" s="109">
        <f>'Description Sheet'!B52</f>
        <v>6.4</v>
      </c>
      <c r="C53" s="152" t="str">
        <f>'Description Sheet'!C52</f>
        <v xml:space="preserve">Painting &amp; Repair of Metal Roof Areas </v>
      </c>
      <c r="D53" s="107"/>
      <c r="E53" s="153" t="str">
        <f>IF('Maintenance Schedule'!P67="x","x","")</f>
        <v/>
      </c>
      <c r="F53" s="153" t="str">
        <f>IF(E53="x","item","")</f>
        <v/>
      </c>
      <c r="G53" s="154">
        <f t="shared" si="29"/>
        <v>0</v>
      </c>
      <c r="H53" s="155">
        <f t="shared" si="25"/>
        <v>0</v>
      </c>
      <c r="I53" s="156">
        <f t="shared" si="26"/>
        <v>0</v>
      </c>
      <c r="J53" s="14"/>
      <c r="K53" s="15"/>
      <c r="L53" s="32"/>
      <c r="M53" s="67" t="str">
        <f>'Description Sheet'!K52</f>
        <v>m2</v>
      </c>
      <c r="N53" s="67">
        <f>'Description Sheet'!L52</f>
        <v>0</v>
      </c>
      <c r="O53" s="73">
        <f>'Year (2025-2026)'!O53*(('Description Sheet'!M4)+1)</f>
        <v>245.37778882560008</v>
      </c>
      <c r="P53" s="69">
        <f t="shared" si="27"/>
        <v>0</v>
      </c>
      <c r="Q53" s="14"/>
      <c r="R53" s="44"/>
    </row>
    <row r="54" spans="1:18" hidden="1">
      <c r="A54" s="14"/>
      <c r="B54" s="109">
        <f>'Description Sheet'!B53</f>
        <v>6.5</v>
      </c>
      <c r="C54" s="152" t="str">
        <f>'Description Sheet'!C53</f>
        <v xml:space="preserve">Painting &amp; Repair of Tile Roof Areas </v>
      </c>
      <c r="D54" s="107"/>
      <c r="E54" s="153" t="str">
        <f>IF('Maintenance Schedule'!P68="x","x","")</f>
        <v/>
      </c>
      <c r="F54" s="153" t="str">
        <f>IF(E54="x","item","")</f>
        <v/>
      </c>
      <c r="G54" s="154">
        <f t="shared" si="29"/>
        <v>0</v>
      </c>
      <c r="H54" s="155">
        <f t="shared" si="25"/>
        <v>0</v>
      </c>
      <c r="I54" s="156">
        <f t="shared" si="26"/>
        <v>0</v>
      </c>
      <c r="J54" s="14"/>
      <c r="K54" s="15"/>
      <c r="L54" s="32"/>
      <c r="M54" s="67" t="str">
        <f>'Description Sheet'!K53</f>
        <v>m2</v>
      </c>
      <c r="N54" s="67">
        <f>'Description Sheet'!L53</f>
        <v>0</v>
      </c>
      <c r="O54" s="73">
        <f>'Year (2025-2026)'!O54*(('Description Sheet'!M4)+1)</f>
        <v>133.70885498880003</v>
      </c>
      <c r="P54" s="69">
        <f t="shared" si="27"/>
        <v>0</v>
      </c>
      <c r="Q54" s="14"/>
      <c r="R54" s="44"/>
    </row>
    <row r="55" spans="1:18" hidden="1">
      <c r="A55" s="14"/>
      <c r="B55" s="109">
        <f>'Description Sheet'!B54</f>
        <v>6.6</v>
      </c>
      <c r="C55" s="152" t="str">
        <f>'Description Sheet'!C54</f>
        <v xml:space="preserve">Painting &amp; Repairs of Asbestos Roof Areas </v>
      </c>
      <c r="D55" s="107"/>
      <c r="E55" s="153" t="str">
        <f>IF('Maintenance Schedule'!P69="x","x","")</f>
        <v/>
      </c>
      <c r="F55" s="153" t="str">
        <f t="shared" si="28"/>
        <v/>
      </c>
      <c r="G55" s="154">
        <f t="shared" si="29"/>
        <v>0</v>
      </c>
      <c r="H55" s="155">
        <f t="shared" si="25"/>
        <v>0</v>
      </c>
      <c r="I55" s="156">
        <f t="shared" si="26"/>
        <v>0</v>
      </c>
      <c r="J55" s="14"/>
      <c r="K55" s="15"/>
      <c r="L55" s="32"/>
      <c r="M55" s="67" t="str">
        <f>'Description Sheet'!K54</f>
        <v>m2</v>
      </c>
      <c r="N55" s="67">
        <f>'Description Sheet'!L54</f>
        <v>0</v>
      </c>
      <c r="O55" s="73">
        <f>'Year (2025-2026)'!O55*(('Description Sheet'!M4)+1)</f>
        <v>277.70300651520006</v>
      </c>
      <c r="P55" s="69">
        <f t="shared" si="27"/>
        <v>0</v>
      </c>
      <c r="Q55" s="14"/>
      <c r="R55" s="44"/>
    </row>
    <row r="56" spans="1:18" hidden="1">
      <c r="A56" s="14"/>
      <c r="B56" s="109">
        <f>'Description Sheet'!B55</f>
        <v>6.7</v>
      </c>
      <c r="C56" s="152" t="str">
        <f>'Description Sheet'!C55</f>
        <v xml:space="preserve">Painting &amp; Repairs of Fibre Cement Roof Areas </v>
      </c>
      <c r="D56" s="107"/>
      <c r="E56" s="153" t="str">
        <f>IF('Maintenance Schedule'!P70="x","x","")</f>
        <v/>
      </c>
      <c r="F56" s="153" t="str">
        <f>IF(E56="x","item","")</f>
        <v/>
      </c>
      <c r="G56" s="154">
        <f t="shared" si="29"/>
        <v>0</v>
      </c>
      <c r="H56" s="155">
        <f t="shared" si="25"/>
        <v>0</v>
      </c>
      <c r="I56" s="156">
        <f t="shared" si="26"/>
        <v>0</v>
      </c>
      <c r="J56" s="14"/>
      <c r="K56" s="15"/>
      <c r="L56" s="32"/>
      <c r="M56" s="67" t="str">
        <f>'Description Sheet'!K55</f>
        <v>m2</v>
      </c>
      <c r="N56" s="67">
        <f>'Description Sheet'!L55</f>
        <v>0</v>
      </c>
      <c r="O56" s="73">
        <f>'Year (2025-2026)'!O56*(('Description Sheet'!M4)+1)</f>
        <v>261.54039767040013</v>
      </c>
      <c r="P56" s="69">
        <f t="shared" si="27"/>
        <v>0</v>
      </c>
      <c r="Q56" s="14"/>
      <c r="R56" s="44"/>
    </row>
    <row r="57" spans="1:18" hidden="1">
      <c r="A57" s="14"/>
      <c r="B57" s="109">
        <f>'Description Sheet'!B56</f>
        <v>6.8</v>
      </c>
      <c r="C57" s="152" t="str">
        <f>'Description Sheet'!C56</f>
        <v>Servicing of Roof Screws</v>
      </c>
      <c r="D57" s="107"/>
      <c r="E57" s="153" t="str">
        <f>IF('Maintenance Schedule'!P71="x","x","")</f>
        <v/>
      </c>
      <c r="F57" s="153" t="str">
        <f t="shared" ref="F57:F59" si="30">IF(E57="x","item","")</f>
        <v/>
      </c>
      <c r="G57" s="154">
        <f t="shared" si="29"/>
        <v>0</v>
      </c>
      <c r="H57" s="155">
        <f t="shared" si="25"/>
        <v>0</v>
      </c>
      <c r="I57" s="156">
        <f t="shared" si="26"/>
        <v>0</v>
      </c>
      <c r="J57" s="14"/>
      <c r="K57" s="15"/>
      <c r="L57" s="32"/>
      <c r="M57" s="67" t="str">
        <f>'Description Sheet'!K56</f>
        <v>No</v>
      </c>
      <c r="N57" s="67">
        <f>'Description Sheet'!L56</f>
        <v>0</v>
      </c>
      <c r="O57" s="73">
        <f>'Year (2025-2026)'!O57*(('Description Sheet'!M4)+1)</f>
        <v>9521.2459376640036</v>
      </c>
      <c r="P57" s="69">
        <f t="shared" si="27"/>
        <v>0</v>
      </c>
      <c r="Q57" s="14"/>
      <c r="R57" s="44"/>
    </row>
    <row r="58" spans="1:18" hidden="1">
      <c r="A58" s="14"/>
      <c r="B58" s="109">
        <f>'Description Sheet'!B57</f>
        <v>6.9</v>
      </c>
      <c r="C58" s="152" t="str">
        <f>'Description Sheet'!C57</f>
        <v xml:space="preserve">Servicing and Re-lignment of Gutters </v>
      </c>
      <c r="D58" s="107"/>
      <c r="E58" s="153" t="str">
        <f>IF('Maintenance Schedule'!P72="x","x","")</f>
        <v/>
      </c>
      <c r="F58" s="153" t="str">
        <f t="shared" si="30"/>
        <v/>
      </c>
      <c r="G58" s="154">
        <f t="shared" si="29"/>
        <v>0</v>
      </c>
      <c r="H58" s="155">
        <f t="shared" si="25"/>
        <v>0</v>
      </c>
      <c r="I58" s="156">
        <f t="shared" si="26"/>
        <v>0</v>
      </c>
      <c r="J58" s="14"/>
      <c r="K58" s="15"/>
      <c r="L58" s="32"/>
      <c r="M58" s="67" t="str">
        <f>'Description Sheet'!K57</f>
        <v>item</v>
      </c>
      <c r="N58" s="67">
        <f>'Description Sheet'!L57</f>
        <v>0</v>
      </c>
      <c r="O58" s="73">
        <f>'Year (2025-2026)'!O58*(('Description Sheet'!M4)+1)</f>
        <v>5554.0601303040012</v>
      </c>
      <c r="P58" s="69">
        <f t="shared" si="27"/>
        <v>0</v>
      </c>
      <c r="Q58" s="14"/>
      <c r="R58" s="44"/>
    </row>
    <row r="59" spans="1:18" hidden="1">
      <c r="A59" s="14"/>
      <c r="B59" s="112">
        <f>'Description Sheet'!B58</f>
        <v>6.1</v>
      </c>
      <c r="C59" s="152" t="str">
        <f>'Description Sheet'!C58</f>
        <v>Replacement of Damaged Metal Roof Sheeting</v>
      </c>
      <c r="D59" s="107"/>
      <c r="E59" s="153" t="str">
        <f>IF('Maintenance Schedule'!P73="x","x","")</f>
        <v/>
      </c>
      <c r="F59" s="153" t="str">
        <f t="shared" si="30"/>
        <v/>
      </c>
      <c r="G59" s="154">
        <f t="shared" si="29"/>
        <v>0</v>
      </c>
      <c r="H59" s="155">
        <f t="shared" si="25"/>
        <v>0</v>
      </c>
      <c r="I59" s="156">
        <f t="shared" si="26"/>
        <v>0</v>
      </c>
      <c r="J59" s="14"/>
      <c r="K59" s="15"/>
      <c r="L59" s="32"/>
      <c r="M59" s="67" t="str">
        <f>'Description Sheet'!K58</f>
        <v>m2</v>
      </c>
      <c r="N59" s="67">
        <f>'Description Sheet'!L58</f>
        <v>0</v>
      </c>
      <c r="O59" s="73">
        <f>'Year (2025-2026)'!O59*(('Description Sheet'!M4)+1)</f>
        <v>714.0934453248002</v>
      </c>
      <c r="P59" s="69">
        <f t="shared" si="27"/>
        <v>0</v>
      </c>
      <c r="Q59" s="14"/>
      <c r="R59" s="44"/>
    </row>
    <row r="60" spans="1:18" hidden="1">
      <c r="A60" s="14"/>
      <c r="B60" s="112">
        <f>'Description Sheet'!B59</f>
        <v>6.11</v>
      </c>
      <c r="C60" s="152" t="str">
        <f>'Description Sheet'!C59</f>
        <v>Replacement of Polycarbonate Roof Sheeting</v>
      </c>
      <c r="D60" s="107"/>
      <c r="E60" s="153" t="str">
        <f>IF('Maintenance Schedule'!P74="x","x","")</f>
        <v/>
      </c>
      <c r="F60" s="153" t="str">
        <f t="shared" si="28"/>
        <v/>
      </c>
      <c r="G60" s="154">
        <f t="shared" si="29"/>
        <v>0</v>
      </c>
      <c r="H60" s="155">
        <f t="shared" si="25"/>
        <v>0</v>
      </c>
      <c r="I60" s="156">
        <f t="shared" si="26"/>
        <v>0</v>
      </c>
      <c r="J60" s="14"/>
      <c r="K60" s="15"/>
      <c r="L60" s="32"/>
      <c r="M60" s="67" t="str">
        <f>'Description Sheet'!K59</f>
        <v>m2</v>
      </c>
      <c r="N60" s="67">
        <f>'Description Sheet'!L59</f>
        <v>0</v>
      </c>
      <c r="O60" s="73">
        <f>'Year (2025-2026)'!O60*(('Description Sheet'!M4)+1)</f>
        <v>793.4371614720003</v>
      </c>
      <c r="P60" s="69">
        <f t="shared" si="27"/>
        <v>0</v>
      </c>
      <c r="Q60" s="14"/>
      <c r="R60" s="44"/>
    </row>
    <row r="61" spans="1:18" hidden="1">
      <c r="A61" s="14"/>
      <c r="B61" s="112">
        <f>'Description Sheet'!B60</f>
        <v>6.12</v>
      </c>
      <c r="C61" s="152" t="str">
        <f>'Description Sheet'!C60</f>
        <v>Replacement of Tile Roofs</v>
      </c>
      <c r="D61" s="107"/>
      <c r="E61" s="153" t="str">
        <f>IF('Maintenance Schedule'!P75="x","x","")</f>
        <v/>
      </c>
      <c r="F61" s="153" t="str">
        <f t="shared" si="28"/>
        <v/>
      </c>
      <c r="G61" s="154">
        <f t="shared" si="29"/>
        <v>0</v>
      </c>
      <c r="H61" s="155">
        <f t="shared" si="25"/>
        <v>0</v>
      </c>
      <c r="I61" s="156">
        <f t="shared" si="26"/>
        <v>0</v>
      </c>
      <c r="J61" s="14"/>
      <c r="K61" s="15"/>
      <c r="L61" s="32"/>
      <c r="M61" s="67" t="str">
        <f>'Description Sheet'!K60</f>
        <v>m2</v>
      </c>
      <c r="N61" s="67">
        <f>'Description Sheet'!L60</f>
        <v>0</v>
      </c>
      <c r="O61" s="73">
        <f>'Year (2025-2026)'!O61*(('Description Sheet'!M4)+1)</f>
        <v>1078.4868083712004</v>
      </c>
      <c r="P61" s="69">
        <f t="shared" si="27"/>
        <v>0</v>
      </c>
      <c r="Q61" s="14"/>
      <c r="R61" s="44"/>
    </row>
    <row r="62" spans="1:18" hidden="1">
      <c r="A62" s="14"/>
      <c r="B62" s="112">
        <f>'Description Sheet'!B61</f>
        <v>6.13</v>
      </c>
      <c r="C62" s="152" t="str">
        <f>'Description Sheet'!C61</f>
        <v>Replacement of Tile Roof and Structure</v>
      </c>
      <c r="D62" s="107"/>
      <c r="E62" s="153" t="str">
        <f>IF('Maintenance Schedule'!P76="x","x","")</f>
        <v/>
      </c>
      <c r="F62" s="153" t="str">
        <f t="shared" si="28"/>
        <v/>
      </c>
      <c r="G62" s="154">
        <f t="shared" si="29"/>
        <v>0</v>
      </c>
      <c r="H62" s="155">
        <f t="shared" si="25"/>
        <v>0</v>
      </c>
      <c r="I62" s="156">
        <f t="shared" si="26"/>
        <v>0</v>
      </c>
      <c r="J62" s="14"/>
      <c r="K62" s="15"/>
      <c r="L62" s="32"/>
      <c r="M62" s="67" t="str">
        <f>'Description Sheet'!K61</f>
        <v>m2</v>
      </c>
      <c r="N62" s="67">
        <f>'Description Sheet'!L61</f>
        <v>0</v>
      </c>
      <c r="O62" s="73">
        <f>'Year (2025-2026)'!O62*(('Description Sheet'!M4)+1)</f>
        <v>1334.1498937344002</v>
      </c>
      <c r="P62" s="69">
        <f t="shared" si="27"/>
        <v>0</v>
      </c>
      <c r="Q62" s="14"/>
      <c r="R62" s="44"/>
    </row>
    <row r="63" spans="1:18" hidden="1">
      <c r="A63" s="14"/>
      <c r="B63" s="112">
        <f>'Description Sheet'!B62</f>
        <v>6.14</v>
      </c>
      <c r="C63" s="152" t="str">
        <f>'Description Sheet'!C62</f>
        <v>Replacement of Fibre Cement Roof</v>
      </c>
      <c r="D63" s="107"/>
      <c r="E63" s="153" t="str">
        <f>IF('Maintenance Schedule'!P77="x","x","")</f>
        <v/>
      </c>
      <c r="F63" s="153" t="str">
        <f t="shared" ref="F63:F66" si="31">IF(E63="x","item","")</f>
        <v/>
      </c>
      <c r="G63" s="154">
        <f t="shared" si="29"/>
        <v>0</v>
      </c>
      <c r="H63" s="155">
        <f t="shared" si="25"/>
        <v>0</v>
      </c>
      <c r="I63" s="156">
        <f t="shared" si="26"/>
        <v>0</v>
      </c>
      <c r="J63" s="14"/>
      <c r="K63" s="15"/>
      <c r="L63" s="32"/>
      <c r="M63" s="67" t="str">
        <f>'Description Sheet'!K62</f>
        <v>m2</v>
      </c>
      <c r="N63" s="67">
        <f>'Description Sheet'!L62</f>
        <v>0</v>
      </c>
      <c r="O63" s="73">
        <f>'Year (2025-2026)'!O63*(('Description Sheet'!M4)+1)</f>
        <v>1031.4683099136005</v>
      </c>
      <c r="P63" s="69">
        <f t="shared" si="27"/>
        <v>0</v>
      </c>
      <c r="Q63" s="14"/>
      <c r="R63" s="44"/>
    </row>
    <row r="64" spans="1:18" hidden="1">
      <c r="A64" s="14"/>
      <c r="B64" s="112">
        <f>'Description Sheet'!B63</f>
        <v>6.15</v>
      </c>
      <c r="C64" s="152" t="str">
        <f>'Description Sheet'!C63</f>
        <v>blank</v>
      </c>
      <c r="D64" s="107"/>
      <c r="E64" s="153" t="str">
        <f>IF('Maintenance Schedule'!P78="x","x","")</f>
        <v/>
      </c>
      <c r="F64" s="153" t="str">
        <f t="shared" si="31"/>
        <v/>
      </c>
      <c r="G64" s="154">
        <f t="shared" si="29"/>
        <v>0</v>
      </c>
      <c r="H64" s="155">
        <f t="shared" si="25"/>
        <v>0</v>
      </c>
      <c r="I64" s="156">
        <f t="shared" si="26"/>
        <v>0</v>
      </c>
      <c r="J64" s="14"/>
      <c r="K64" s="15"/>
      <c r="L64" s="32"/>
      <c r="M64" s="67" t="str">
        <f>'Description Sheet'!K63</f>
        <v>item</v>
      </c>
      <c r="N64" s="67">
        <f>'Description Sheet'!L63</f>
        <v>0</v>
      </c>
      <c r="O64" s="73">
        <f>'Year (2025-2026)'!O64*(('Description Sheet'!M4)+1)</f>
        <v>0</v>
      </c>
      <c r="P64" s="69">
        <f t="shared" si="27"/>
        <v>0</v>
      </c>
      <c r="Q64" s="14"/>
      <c r="R64" s="44"/>
    </row>
    <row r="65" spans="1:19" hidden="1">
      <c r="A65" s="14"/>
      <c r="B65" s="112">
        <f>'Description Sheet'!B64</f>
        <v>6.17</v>
      </c>
      <c r="C65" s="152" t="str">
        <f>'Description Sheet'!C64</f>
        <v>blank</v>
      </c>
      <c r="D65" s="107"/>
      <c r="E65" s="153" t="str">
        <f>IF('Maintenance Schedule'!P79="x","x","")</f>
        <v/>
      </c>
      <c r="F65" s="153" t="str">
        <f t="shared" si="31"/>
        <v/>
      </c>
      <c r="G65" s="154">
        <f t="shared" si="29"/>
        <v>0</v>
      </c>
      <c r="H65" s="155">
        <f t="shared" si="25"/>
        <v>0</v>
      </c>
      <c r="I65" s="156">
        <f t="shared" si="26"/>
        <v>0</v>
      </c>
      <c r="J65" s="14"/>
      <c r="K65" s="15"/>
      <c r="L65" s="32"/>
      <c r="M65" s="67" t="str">
        <f>'Description Sheet'!K64</f>
        <v>item</v>
      </c>
      <c r="N65" s="67">
        <f>'Description Sheet'!L64</f>
        <v>0</v>
      </c>
      <c r="O65" s="73">
        <f>'Year (2025-2026)'!O65*(('Description Sheet'!M4)+1)</f>
        <v>0</v>
      </c>
      <c r="P65" s="69">
        <f t="shared" si="27"/>
        <v>0</v>
      </c>
      <c r="Q65" s="14"/>
      <c r="R65" s="44"/>
    </row>
    <row r="66" spans="1:19" hidden="1">
      <c r="A66" s="14"/>
      <c r="B66" s="112">
        <f>'Description Sheet'!B65</f>
        <v>6.18</v>
      </c>
      <c r="C66" s="152" t="str">
        <f>'Description Sheet'!C65</f>
        <v>blank</v>
      </c>
      <c r="D66" s="107"/>
      <c r="E66" s="153" t="str">
        <f>IF('Maintenance Schedule'!P80="x","x","")</f>
        <v/>
      </c>
      <c r="F66" s="153" t="str">
        <f t="shared" si="31"/>
        <v/>
      </c>
      <c r="G66" s="154">
        <f t="shared" si="29"/>
        <v>0</v>
      </c>
      <c r="H66" s="155">
        <f t="shared" si="25"/>
        <v>0</v>
      </c>
      <c r="I66" s="156">
        <f t="shared" si="26"/>
        <v>0</v>
      </c>
      <c r="J66" s="14"/>
      <c r="K66" s="15"/>
      <c r="L66" s="32"/>
      <c r="M66" s="67" t="str">
        <f>'Description Sheet'!K65</f>
        <v>item</v>
      </c>
      <c r="N66" s="67">
        <f>'Description Sheet'!L65</f>
        <v>0</v>
      </c>
      <c r="O66" s="73">
        <f>'Year (2025-2026)'!O66*(('Description Sheet'!M4)+1)</f>
        <v>0</v>
      </c>
      <c r="P66" s="69">
        <f t="shared" si="27"/>
        <v>0</v>
      </c>
      <c r="Q66" s="14"/>
      <c r="R66" s="44"/>
    </row>
    <row r="67" spans="1:19" ht="17" thickBot="1">
      <c r="A67" s="14"/>
      <c r="B67" s="109"/>
      <c r="C67" s="152"/>
      <c r="D67" s="107"/>
      <c r="E67" s="153"/>
      <c r="F67" s="153"/>
      <c r="G67" s="154"/>
      <c r="H67" s="155"/>
      <c r="I67" s="155"/>
      <c r="J67" s="14"/>
      <c r="K67" s="15"/>
      <c r="L67" s="32"/>
      <c r="M67" s="70"/>
      <c r="N67" s="67"/>
      <c r="O67" s="73"/>
      <c r="P67" s="79"/>
      <c r="Q67" s="14"/>
      <c r="R67" s="44"/>
    </row>
    <row r="68" spans="1:19" s="4" customFormat="1" ht="15.75" customHeight="1" thickBot="1">
      <c r="A68" s="14"/>
      <c r="B68" s="109"/>
      <c r="C68" s="115"/>
      <c r="D68" s="107"/>
      <c r="E68" s="159"/>
      <c r="F68" s="528" t="s">
        <v>7</v>
      </c>
      <c r="G68" s="529"/>
      <c r="H68" s="530">
        <f>SUM(I50:I67)</f>
        <v>4687.1565649920012</v>
      </c>
      <c r="I68" s="531"/>
      <c r="J68" s="14"/>
      <c r="K68" s="15"/>
      <c r="L68" s="33"/>
      <c r="M68" s="508" t="s">
        <v>7</v>
      </c>
      <c r="N68" s="509"/>
      <c r="O68" s="510">
        <f>SUM(P50:P67)</f>
        <v>4687.1565649920012</v>
      </c>
      <c r="P68" s="511"/>
      <c r="Q68" s="14"/>
      <c r="R68" s="31"/>
    </row>
    <row r="69" spans="1:19" ht="17" hidden="1" thickBot="1">
      <c r="A69" s="14"/>
      <c r="B69" s="109">
        <f>'Description Sheet'!B68</f>
        <v>7</v>
      </c>
      <c r="C69" s="113" t="str">
        <f>'Description Sheet'!C68</f>
        <v>Painting and Repairs</v>
      </c>
      <c r="D69" s="107"/>
      <c r="E69" s="110"/>
      <c r="F69" s="110"/>
      <c r="G69" s="110"/>
      <c r="H69" s="110"/>
      <c r="I69" s="151"/>
      <c r="J69" s="32"/>
      <c r="K69" s="40"/>
      <c r="L69" s="33"/>
      <c r="M69" s="24"/>
      <c r="N69" s="25"/>
      <c r="O69" s="25"/>
      <c r="P69" s="63"/>
      <c r="Q69" s="14"/>
      <c r="R69" s="44"/>
    </row>
    <row r="70" spans="1:19" hidden="1">
      <c r="A70" s="14"/>
      <c r="B70" s="109">
        <f>'Description Sheet'!B69</f>
        <v>7.1</v>
      </c>
      <c r="C70" s="152" t="str">
        <f>'Description Sheet'!C69</f>
        <v>External  Painting and Remedial Repairs</v>
      </c>
      <c r="D70" s="107"/>
      <c r="E70" s="153" t="str">
        <f>IF('Maintenance Schedule'!P87="x","x","")</f>
        <v/>
      </c>
      <c r="F70" s="153" t="str">
        <f t="shared" ref="F70:F91" si="32">IF(E70="x","No","")</f>
        <v/>
      </c>
      <c r="G70" s="154">
        <f>IF(E70="x",1,0)</f>
        <v>0</v>
      </c>
      <c r="H70" s="155">
        <f t="shared" ref="H70:H91" si="33">IF(E70="x",P70,0)</f>
        <v>0</v>
      </c>
      <c r="I70" s="156">
        <f>IF(E70="x",G70*H70,0)</f>
        <v>0</v>
      </c>
      <c r="J70" s="14"/>
      <c r="K70" s="15"/>
      <c r="L70" s="32"/>
      <c r="M70" s="67" t="str">
        <f>'Description Sheet'!K69</f>
        <v>m2</v>
      </c>
      <c r="N70" s="67">
        <f>'Description Sheet'!L69</f>
        <v>1</v>
      </c>
      <c r="O70" s="73">
        <f>'Year (2025-2026)'!O70*(('Description Sheet'!M4)+1)</f>
        <v>2708337.2143679084</v>
      </c>
      <c r="P70" s="68">
        <f t="shared" ref="P70:P78" si="34">N70*O70</f>
        <v>2708337.2143679084</v>
      </c>
      <c r="Q70" s="14"/>
      <c r="R70" s="44"/>
    </row>
    <row r="71" spans="1:19" hidden="1">
      <c r="A71" s="14"/>
      <c r="B71" s="109">
        <f>'Description Sheet'!B70</f>
        <v>7.2</v>
      </c>
      <c r="C71" s="152" t="str">
        <f>'Description Sheet'!C70</f>
        <v>Internal Repairs to Apartments 505, 405, 305</v>
      </c>
      <c r="D71" s="107"/>
      <c r="E71" s="153" t="str">
        <f>IF('Maintenance Schedule'!P88="x","x","")</f>
        <v/>
      </c>
      <c r="F71" s="153" t="str">
        <f t="shared" si="32"/>
        <v/>
      </c>
      <c r="G71" s="154">
        <f t="shared" ref="G71:G91" si="35">IF(E71="x",1,0)</f>
        <v>0</v>
      </c>
      <c r="H71" s="155">
        <f t="shared" si="33"/>
        <v>0</v>
      </c>
      <c r="I71" s="156">
        <f t="shared" ref="I71:I91" si="36">IF(E71="x",G71*H71,0)</f>
        <v>0</v>
      </c>
      <c r="J71" s="14"/>
      <c r="K71" s="15"/>
      <c r="L71" s="32"/>
      <c r="M71" s="67" t="str">
        <f>'Description Sheet'!K70</f>
        <v>m2</v>
      </c>
      <c r="N71" s="67">
        <f>'Description Sheet'!L70</f>
        <v>1</v>
      </c>
      <c r="O71" s="73">
        <f>'Year (2025-2026)'!O71*(('Description Sheet'!M4)+1)</f>
        <v>228113.18392320006</v>
      </c>
      <c r="P71" s="68">
        <f t="shared" si="34"/>
        <v>228113.18392320006</v>
      </c>
      <c r="Q71" s="14"/>
      <c r="R71" s="44"/>
    </row>
    <row r="72" spans="1:19" hidden="1">
      <c r="A72" s="14"/>
      <c r="B72" s="109">
        <f>'Description Sheet'!B71</f>
        <v>7.3</v>
      </c>
      <c r="C72" s="152" t="str">
        <f>'Description Sheet'!C71</f>
        <v>Exposed Tops</v>
      </c>
      <c r="D72" s="107"/>
      <c r="E72" s="153" t="str">
        <f>IF('Maintenance Schedule'!P89="x","x","")</f>
        <v/>
      </c>
      <c r="F72" s="153" t="str">
        <f t="shared" si="32"/>
        <v/>
      </c>
      <c r="G72" s="154">
        <f t="shared" si="35"/>
        <v>0</v>
      </c>
      <c r="H72" s="155">
        <f t="shared" si="33"/>
        <v>0</v>
      </c>
      <c r="I72" s="156">
        <f t="shared" si="36"/>
        <v>0</v>
      </c>
      <c r="J72" s="14"/>
      <c r="K72" s="15"/>
      <c r="L72" s="32"/>
      <c r="M72" s="67" t="str">
        <f>'Description Sheet'!K71</f>
        <v>m2</v>
      </c>
      <c r="N72" s="67">
        <f>'Description Sheet'!L71</f>
        <v>0</v>
      </c>
      <c r="O72" s="73">
        <f>'Year (2025-2026)'!O72*(('Description Sheet'!M4)+1)</f>
        <v>182.19668152320008</v>
      </c>
      <c r="P72" s="68">
        <f t="shared" si="34"/>
        <v>0</v>
      </c>
      <c r="Q72" s="14"/>
      <c r="R72" s="44"/>
    </row>
    <row r="73" spans="1:19" hidden="1">
      <c r="A73" s="14"/>
      <c r="B73" s="109">
        <f>'Description Sheet'!B72</f>
        <v>7.4</v>
      </c>
      <c r="C73" s="152" t="str">
        <f>'Description Sheet'!C72</f>
        <v>Wall to Frame Sealant (Exposed)</v>
      </c>
      <c r="D73" s="107"/>
      <c r="E73" s="153" t="str">
        <f>IF('Maintenance Schedule'!P90="x","x","")</f>
        <v/>
      </c>
      <c r="F73" s="153" t="str">
        <f>IF(E73="x","All","")</f>
        <v/>
      </c>
      <c r="G73" s="154">
        <f t="shared" si="35"/>
        <v>0</v>
      </c>
      <c r="H73" s="155">
        <f t="shared" si="33"/>
        <v>0</v>
      </c>
      <c r="I73" s="156">
        <f t="shared" si="36"/>
        <v>0</v>
      </c>
      <c r="J73" s="14"/>
      <c r="K73" s="15"/>
      <c r="L73" s="32"/>
      <c r="M73" s="67" t="str">
        <f>'Description Sheet'!K72</f>
        <v>lm</v>
      </c>
      <c r="N73" s="67">
        <f>'Description Sheet'!L72</f>
        <v>0</v>
      </c>
      <c r="O73" s="73">
        <f>'Year (2025-2026)'!O73*(('Description Sheet'!M4)+1)</f>
        <v>102.85296537600003</v>
      </c>
      <c r="P73" s="68">
        <f t="shared" si="34"/>
        <v>0</v>
      </c>
      <c r="Q73" s="14"/>
      <c r="R73" s="44"/>
    </row>
    <row r="74" spans="1:19" hidden="1">
      <c r="A74" s="14"/>
      <c r="B74" s="109">
        <f>'Description Sheet'!B73</f>
        <v>7.5</v>
      </c>
      <c r="C74" s="152" t="str">
        <f>'Description Sheet'!C73</f>
        <v>Glass to Frame Sealant (Skylights)</v>
      </c>
      <c r="D74" s="107"/>
      <c r="E74" s="153" t="str">
        <f>IF('Maintenance Schedule'!P91="x","x","")</f>
        <v/>
      </c>
      <c r="F74" s="153" t="str">
        <f>IF(E74="x","All","")</f>
        <v/>
      </c>
      <c r="G74" s="154">
        <f t="shared" si="35"/>
        <v>0</v>
      </c>
      <c r="H74" s="155">
        <f t="shared" si="33"/>
        <v>0</v>
      </c>
      <c r="I74" s="156">
        <f t="shared" si="36"/>
        <v>0</v>
      </c>
      <c r="J74" s="14"/>
      <c r="K74" s="15"/>
      <c r="L74" s="32"/>
      <c r="M74" s="67" t="str">
        <f>'Description Sheet'!K73</f>
        <v>All</v>
      </c>
      <c r="N74" s="67">
        <f>'Description Sheet'!L73</f>
        <v>0</v>
      </c>
      <c r="O74" s="73">
        <f>'Year (2025-2026)'!O74*(('Description Sheet'!M4)+1)</f>
        <v>23803.114844160009</v>
      </c>
      <c r="P74" s="68">
        <f>N74*O74</f>
        <v>0</v>
      </c>
      <c r="Q74" s="14"/>
      <c r="R74" s="44"/>
    </row>
    <row r="75" spans="1:19" hidden="1">
      <c r="A75" s="14"/>
      <c r="B75" s="109">
        <f>'Description Sheet'!B74</f>
        <v>7.6</v>
      </c>
      <c r="C75" s="152" t="str">
        <f>'Description Sheet'!C74</f>
        <v>Metal Windows and Putty Repairs</v>
      </c>
      <c r="D75" s="107"/>
      <c r="E75" s="153" t="str">
        <f>IF('Maintenance Schedule'!P92="x","x","")</f>
        <v/>
      </c>
      <c r="F75" s="153" t="str">
        <f t="shared" si="32"/>
        <v/>
      </c>
      <c r="G75" s="154">
        <f t="shared" si="35"/>
        <v>0</v>
      </c>
      <c r="H75" s="155">
        <f t="shared" si="33"/>
        <v>0</v>
      </c>
      <c r="I75" s="156">
        <f t="shared" si="36"/>
        <v>0</v>
      </c>
      <c r="J75" s="14"/>
      <c r="K75" s="15"/>
      <c r="L75" s="32"/>
      <c r="M75" s="67" t="str">
        <f>'Description Sheet'!K74</f>
        <v>m2</v>
      </c>
      <c r="N75" s="67">
        <f>'Description Sheet'!L74</f>
        <v>1</v>
      </c>
      <c r="O75" s="73">
        <f>'Year (2025-2026)'!O75*(('Description Sheet'!M4)+1)</f>
        <v>14693.280768000004</v>
      </c>
      <c r="P75" s="68">
        <f t="shared" si="34"/>
        <v>14693.280768000004</v>
      </c>
      <c r="Q75" s="14"/>
      <c r="R75" s="44"/>
      <c r="S75" s="2"/>
    </row>
    <row r="76" spans="1:19" hidden="1">
      <c r="A76" s="14"/>
      <c r="B76" s="109">
        <f>'Description Sheet'!B75</f>
        <v>7.7</v>
      </c>
      <c r="C76" s="152" t="str">
        <f>'Description Sheet'!C75</f>
        <v xml:space="preserve">External Woodwork </v>
      </c>
      <c r="D76" s="107"/>
      <c r="E76" s="153" t="str">
        <f>IF('Maintenance Schedule'!P93="x","x","")</f>
        <v/>
      </c>
      <c r="F76" s="153" t="str">
        <f t="shared" si="32"/>
        <v/>
      </c>
      <c r="G76" s="154">
        <f t="shared" si="35"/>
        <v>0</v>
      </c>
      <c r="H76" s="155">
        <f t="shared" si="33"/>
        <v>0</v>
      </c>
      <c r="I76" s="156">
        <f t="shared" si="36"/>
        <v>0</v>
      </c>
      <c r="J76" s="14"/>
      <c r="K76" s="15"/>
      <c r="L76" s="32"/>
      <c r="M76" s="67" t="str">
        <f>'Description Sheet'!K75</f>
        <v>m2</v>
      </c>
      <c r="N76" s="67">
        <f>'Description Sheet'!L75</f>
        <v>160</v>
      </c>
      <c r="O76" s="73">
        <f>'Year (2025-2026)'!O76*(('Description Sheet'!M4)+1)</f>
        <v>301.21225574400012</v>
      </c>
      <c r="P76" s="68">
        <f t="shared" si="34"/>
        <v>48193.960919040022</v>
      </c>
      <c r="Q76" s="14"/>
      <c r="R76" s="44"/>
    </row>
    <row r="77" spans="1:19" hidden="1">
      <c r="A77" s="14"/>
      <c r="B77" s="109">
        <f>'Description Sheet'!B76</f>
        <v>7.8</v>
      </c>
      <c r="C77" s="152" t="str">
        <f>'Description Sheet'!C76</f>
        <v xml:space="preserve">External Steelwork </v>
      </c>
      <c r="D77" s="107"/>
      <c r="E77" s="153" t="str">
        <f>IF('Maintenance Schedule'!P94="x","x","")</f>
        <v/>
      </c>
      <c r="F77" s="153" t="str">
        <f t="shared" si="32"/>
        <v/>
      </c>
      <c r="G77" s="154">
        <f t="shared" si="35"/>
        <v>0</v>
      </c>
      <c r="H77" s="155">
        <f t="shared" si="33"/>
        <v>0</v>
      </c>
      <c r="I77" s="156">
        <f t="shared" si="36"/>
        <v>0</v>
      </c>
      <c r="J77" s="14"/>
      <c r="K77" s="15"/>
      <c r="L77" s="32"/>
      <c r="M77" s="67" t="str">
        <f>'Description Sheet'!K76</f>
        <v>m2</v>
      </c>
      <c r="N77" s="67">
        <f>'Description Sheet'!L76</f>
        <v>40</v>
      </c>
      <c r="O77" s="73">
        <f>'Year (2025-2026)'!O77*(('Description Sheet'!M4)+1)</f>
        <v>336.47612958720009</v>
      </c>
      <c r="P77" s="68">
        <f t="shared" si="34"/>
        <v>13459.045183488004</v>
      </c>
      <c r="Q77" s="14"/>
      <c r="R77" s="44"/>
    </row>
    <row r="78" spans="1:19" hidden="1">
      <c r="A78" s="14"/>
      <c r="B78" s="109">
        <f>'Description Sheet'!B77</f>
        <v>7.9</v>
      </c>
      <c r="C78" s="152" t="str">
        <f>'Description Sheet'!C77</f>
        <v xml:space="preserve">Pointing &amp; Brickwork Repairs </v>
      </c>
      <c r="D78" s="107"/>
      <c r="E78" s="153" t="str">
        <f>IF('Maintenance Schedule'!P95="x","x","")</f>
        <v/>
      </c>
      <c r="F78" s="153" t="str">
        <f t="shared" si="32"/>
        <v/>
      </c>
      <c r="G78" s="154">
        <f t="shared" si="35"/>
        <v>0</v>
      </c>
      <c r="H78" s="155">
        <f t="shared" si="33"/>
        <v>0</v>
      </c>
      <c r="I78" s="156">
        <f t="shared" si="36"/>
        <v>0</v>
      </c>
      <c r="J78" s="14"/>
      <c r="K78" s="15"/>
      <c r="L78" s="32"/>
      <c r="M78" s="67" t="str">
        <f>'Description Sheet'!K77</f>
        <v>m2</v>
      </c>
      <c r="N78" s="67">
        <f>'Description Sheet'!L77</f>
        <v>0</v>
      </c>
      <c r="O78" s="73">
        <f>'Year (2025-2026)'!O78*(('Description Sheet'!M4)+1)</f>
        <v>71409.344532480027</v>
      </c>
      <c r="P78" s="68">
        <f t="shared" si="34"/>
        <v>0</v>
      </c>
      <c r="Q78" s="14"/>
      <c r="R78" s="44"/>
    </row>
    <row r="79" spans="1:19" hidden="1">
      <c r="A79" s="14"/>
      <c r="B79" s="112">
        <f>'Description Sheet'!B78</f>
        <v>7.1</v>
      </c>
      <c r="C79" s="152" t="str">
        <f>'Description Sheet'!C78</f>
        <v>Brickwork Repairs</v>
      </c>
      <c r="D79" s="107"/>
      <c r="E79" s="153" t="str">
        <f>IF('Maintenance Schedule'!P96="x","x","")</f>
        <v/>
      </c>
      <c r="F79" s="153" t="str">
        <f t="shared" si="32"/>
        <v/>
      </c>
      <c r="G79" s="154">
        <f t="shared" si="35"/>
        <v>0</v>
      </c>
      <c r="H79" s="155">
        <f t="shared" si="33"/>
        <v>0</v>
      </c>
      <c r="I79" s="156">
        <f t="shared" si="36"/>
        <v>0</v>
      </c>
      <c r="J79" s="14"/>
      <c r="K79" s="15"/>
      <c r="L79" s="32"/>
      <c r="M79" s="67" t="str">
        <f>'Description Sheet'!K78</f>
        <v>m2</v>
      </c>
      <c r="N79" s="67">
        <f>'Description Sheet'!L78</f>
        <v>1</v>
      </c>
      <c r="O79" s="73">
        <f>'Year (2025-2026)'!O79*(('Description Sheet'!M4)+1)</f>
        <v>6050.6930202624026</v>
      </c>
      <c r="P79" s="68">
        <f>N79*O79</f>
        <v>6050.6930202624026</v>
      </c>
      <c r="Q79" s="14"/>
      <c r="R79" s="44"/>
    </row>
    <row r="80" spans="1:19" hidden="1">
      <c r="A80" s="14"/>
      <c r="B80" s="112">
        <f>'Description Sheet'!B79</f>
        <v>7.11</v>
      </c>
      <c r="C80" s="152" t="str">
        <f>'Description Sheet'!C79</f>
        <v>Painted Floors</v>
      </c>
      <c r="D80" s="107"/>
      <c r="E80" s="153" t="str">
        <f>IF('Maintenance Schedule'!P97="x","x","")</f>
        <v/>
      </c>
      <c r="F80" s="153" t="str">
        <f t="shared" si="32"/>
        <v/>
      </c>
      <c r="G80" s="154">
        <f t="shared" si="35"/>
        <v>0</v>
      </c>
      <c r="H80" s="155">
        <f t="shared" si="33"/>
        <v>0</v>
      </c>
      <c r="I80" s="156">
        <f t="shared" si="36"/>
        <v>0</v>
      </c>
      <c r="J80" s="14"/>
      <c r="K80" s="15"/>
      <c r="L80" s="32"/>
      <c r="M80" s="67" t="str">
        <f>'Description Sheet'!K79</f>
        <v>m2</v>
      </c>
      <c r="N80" s="67">
        <f>'Description Sheet'!L79</f>
        <v>680</v>
      </c>
      <c r="O80" s="73">
        <f>'Year (2025-2026)'!O80*(('Description Sheet'!M4)+1)</f>
        <v>223.33786767360007</v>
      </c>
      <c r="P80" s="68">
        <f>N80*O80</f>
        <v>151869.75001804804</v>
      </c>
      <c r="Q80" s="14"/>
      <c r="R80" s="44"/>
    </row>
    <row r="81" spans="1:18" hidden="1">
      <c r="A81" s="14"/>
      <c r="B81" s="112">
        <f>'Description Sheet'!B80</f>
        <v>7.12</v>
      </c>
      <c r="C81" s="152" t="str">
        <f>'Description Sheet'!C80</f>
        <v>Nutec Walls</v>
      </c>
      <c r="D81" s="107"/>
      <c r="E81" s="153" t="str">
        <f>IF('Maintenance Schedule'!P98="x","x","")</f>
        <v/>
      </c>
      <c r="F81" s="153" t="str">
        <f t="shared" si="32"/>
        <v/>
      </c>
      <c r="G81" s="154">
        <f t="shared" si="35"/>
        <v>0</v>
      </c>
      <c r="H81" s="155">
        <f t="shared" si="33"/>
        <v>0</v>
      </c>
      <c r="I81" s="156">
        <f t="shared" si="36"/>
        <v>0</v>
      </c>
      <c r="J81" s="14"/>
      <c r="K81" s="15"/>
      <c r="L81" s="32"/>
      <c r="M81" s="67" t="str">
        <f>'Description Sheet'!K80</f>
        <v>m2</v>
      </c>
      <c r="N81" s="67">
        <f>'Description Sheet'!L80</f>
        <v>390</v>
      </c>
      <c r="O81" s="73">
        <f>'Year (2025-2026)'!O81*(('Description Sheet'!M4)+1)</f>
        <v>163.09541652480007</v>
      </c>
      <c r="P81" s="68">
        <f>N81*O81</f>
        <v>63607.212444672026</v>
      </c>
      <c r="Q81" s="14"/>
      <c r="R81" s="44"/>
    </row>
    <row r="82" spans="1:18" hidden="1">
      <c r="A82" s="14"/>
      <c r="B82" s="112">
        <f>'Description Sheet'!B81</f>
        <v>7.13</v>
      </c>
      <c r="C82" s="152" t="str">
        <f>'Description Sheet'!C81</f>
        <v xml:space="preserve">Basement Parking Walls and Soffits Areas </v>
      </c>
      <c r="D82" s="107"/>
      <c r="E82" s="153" t="str">
        <f>IF('Maintenance Schedule'!P99="x","x","")</f>
        <v/>
      </c>
      <c r="F82" s="153" t="str">
        <f t="shared" si="32"/>
        <v/>
      </c>
      <c r="G82" s="154">
        <f t="shared" si="35"/>
        <v>0</v>
      </c>
      <c r="H82" s="155">
        <f t="shared" si="33"/>
        <v>0</v>
      </c>
      <c r="I82" s="156">
        <f t="shared" si="36"/>
        <v>0</v>
      </c>
      <c r="J82" s="14"/>
      <c r="K82" s="15"/>
      <c r="L82" s="32"/>
      <c r="M82" s="67" t="str">
        <f>'Description Sheet'!K81</f>
        <v>m2</v>
      </c>
      <c r="N82" s="67">
        <f>'Description Sheet'!L81</f>
        <v>0</v>
      </c>
      <c r="O82" s="73">
        <f>'Year (2025-2026)'!O82*(('Description Sheet'!M4)+1)</f>
        <v>215.99122728960006</v>
      </c>
      <c r="P82" s="68">
        <f>N82*O82</f>
        <v>0</v>
      </c>
      <c r="Q82" s="14"/>
      <c r="R82" s="44"/>
    </row>
    <row r="83" spans="1:18" hidden="1">
      <c r="A83" s="14"/>
      <c r="B83" s="112">
        <f>'Description Sheet'!B82</f>
        <v>7.14</v>
      </c>
      <c r="C83" s="152" t="str">
        <f>'Description Sheet'!C82</f>
        <v>Internal Common Walls and Soffit Areas</v>
      </c>
      <c r="D83" s="107"/>
      <c r="E83" s="153" t="str">
        <f>IF('Maintenance Schedule'!P100="x","x","")</f>
        <v/>
      </c>
      <c r="F83" s="153" t="str">
        <f t="shared" si="32"/>
        <v/>
      </c>
      <c r="G83" s="154">
        <f t="shared" si="35"/>
        <v>0</v>
      </c>
      <c r="H83" s="155">
        <f t="shared" si="33"/>
        <v>0</v>
      </c>
      <c r="I83" s="156">
        <f t="shared" si="36"/>
        <v>0</v>
      </c>
      <c r="J83" s="14"/>
      <c r="K83" s="15"/>
      <c r="L83" s="32"/>
      <c r="M83" s="67" t="str">
        <f>'Description Sheet'!K82</f>
        <v>m2</v>
      </c>
      <c r="N83" s="67">
        <f>'Description Sheet'!L82</f>
        <v>0</v>
      </c>
      <c r="O83" s="73">
        <f>'Year (2025-2026)'!O83*(('Description Sheet'!M4)+1)</f>
        <v>223.33786767360007</v>
      </c>
      <c r="P83" s="68">
        <f t="shared" ref="P83:P91" si="37">N83*O83</f>
        <v>0</v>
      </c>
      <c r="Q83" s="14"/>
      <c r="R83" s="44"/>
    </row>
    <row r="84" spans="1:18" hidden="1">
      <c r="A84" s="14"/>
      <c r="B84" s="112">
        <f>'Description Sheet'!B83</f>
        <v>7.15</v>
      </c>
      <c r="C84" s="152" t="str">
        <f>'Description Sheet'!C83</f>
        <v xml:space="preserve">Basement Parking Walls and Soffits Areas </v>
      </c>
      <c r="D84" s="107"/>
      <c r="E84" s="153" t="str">
        <f>IF('Maintenance Schedule'!P101="x","x","")</f>
        <v/>
      </c>
      <c r="F84" s="153" t="str">
        <f t="shared" si="32"/>
        <v/>
      </c>
      <c r="G84" s="154">
        <f t="shared" si="35"/>
        <v>0</v>
      </c>
      <c r="H84" s="155">
        <f t="shared" si="33"/>
        <v>0</v>
      </c>
      <c r="I84" s="156">
        <f t="shared" si="36"/>
        <v>0</v>
      </c>
      <c r="J84" s="14"/>
      <c r="K84" s="15"/>
      <c r="L84" s="32"/>
      <c r="M84" s="67" t="str">
        <f>'Description Sheet'!K83</f>
        <v>m2</v>
      </c>
      <c r="N84" s="67">
        <f>'Description Sheet'!L83</f>
        <v>0</v>
      </c>
      <c r="O84" s="73">
        <f>'Year (2025-2026)'!O84*(('Description Sheet'!M4)+1)</f>
        <v>215.99122728960006</v>
      </c>
      <c r="P84" s="68">
        <f t="shared" si="37"/>
        <v>0</v>
      </c>
      <c r="Q84" s="14"/>
      <c r="R84" s="44"/>
    </row>
    <row r="85" spans="1:18" hidden="1">
      <c r="A85" s="14"/>
      <c r="B85" s="112">
        <f>'Description Sheet'!B84</f>
        <v>7.16</v>
      </c>
      <c r="C85" s="152" t="str">
        <f>'Description Sheet'!C84</f>
        <v>Cleaning of Cladding Panels</v>
      </c>
      <c r="D85" s="107"/>
      <c r="E85" s="153" t="str">
        <f>IF('Maintenance Schedule'!P102="x","x","")</f>
        <v/>
      </c>
      <c r="F85" s="153" t="str">
        <f t="shared" si="32"/>
        <v/>
      </c>
      <c r="G85" s="154">
        <f t="shared" si="35"/>
        <v>0</v>
      </c>
      <c r="H85" s="155">
        <f t="shared" si="33"/>
        <v>0</v>
      </c>
      <c r="I85" s="156">
        <f t="shared" si="36"/>
        <v>0</v>
      </c>
      <c r="J85" s="14"/>
      <c r="K85" s="15"/>
      <c r="L85" s="32"/>
      <c r="M85" s="67" t="str">
        <f>'Description Sheet'!K84</f>
        <v>m2</v>
      </c>
      <c r="N85" s="67">
        <f>'Description Sheet'!L84</f>
        <v>0</v>
      </c>
      <c r="O85" s="73">
        <f>'Year (2025-2026)'!O85*(('Description Sheet'!M4)+1)</f>
        <v>149.87146383360005</v>
      </c>
      <c r="P85" s="68">
        <f t="shared" si="37"/>
        <v>0</v>
      </c>
      <c r="Q85" s="14"/>
      <c r="R85" s="44"/>
    </row>
    <row r="86" spans="1:18" hidden="1">
      <c r="A86" s="14"/>
      <c r="B86" s="112">
        <f>'Description Sheet'!B85</f>
        <v>7.17</v>
      </c>
      <c r="C86" s="152" t="str">
        <f>'Description Sheet'!C85</f>
        <v>Painting of Facais and Barge Boarding</v>
      </c>
      <c r="D86" s="107"/>
      <c r="E86" s="153" t="str">
        <f>IF('Maintenance Schedule'!P103="x","x","")</f>
        <v/>
      </c>
      <c r="F86" s="153" t="str">
        <f t="shared" si="32"/>
        <v/>
      </c>
      <c r="G86" s="154">
        <f t="shared" si="35"/>
        <v>0</v>
      </c>
      <c r="H86" s="155">
        <f t="shared" si="33"/>
        <v>0</v>
      </c>
      <c r="I86" s="156">
        <f t="shared" si="36"/>
        <v>0</v>
      </c>
      <c r="J86" s="14"/>
      <c r="K86" s="15"/>
      <c r="L86" s="32"/>
      <c r="M86" s="67" t="str">
        <f>'Description Sheet'!K85</f>
        <v>m2</v>
      </c>
      <c r="N86" s="67">
        <f>'Description Sheet'!L85</f>
        <v>0</v>
      </c>
      <c r="O86" s="73">
        <f>'Year (2025-2026)'!O86*(('Description Sheet'!M4)+1)</f>
        <v>198.35929036800007</v>
      </c>
      <c r="P86" s="68">
        <f t="shared" si="37"/>
        <v>0</v>
      </c>
      <c r="Q86" s="14"/>
      <c r="R86" s="44"/>
    </row>
    <row r="87" spans="1:18" hidden="1">
      <c r="A87" s="14"/>
      <c r="B87" s="112">
        <f>'Description Sheet'!B86</f>
        <v>7.18</v>
      </c>
      <c r="C87" s="152" t="str">
        <f>'Description Sheet'!C86</f>
        <v>Painting External Wooden Soffits</v>
      </c>
      <c r="D87" s="107"/>
      <c r="E87" s="153" t="str">
        <f>IF('Maintenance Schedule'!P104="x","x","")</f>
        <v/>
      </c>
      <c r="F87" s="153" t="str">
        <f t="shared" si="32"/>
        <v/>
      </c>
      <c r="G87" s="154">
        <f t="shared" si="35"/>
        <v>0</v>
      </c>
      <c r="H87" s="155">
        <f t="shared" si="33"/>
        <v>0</v>
      </c>
      <c r="I87" s="156">
        <f t="shared" si="36"/>
        <v>0</v>
      </c>
      <c r="J87" s="14"/>
      <c r="K87" s="15"/>
      <c r="L87" s="32"/>
      <c r="M87" s="67" t="str">
        <f>'Description Sheet'!K86</f>
        <v>m2</v>
      </c>
      <c r="N87" s="67">
        <f>'Description Sheet'!L86</f>
        <v>0</v>
      </c>
      <c r="O87" s="73">
        <f>'Year (2025-2026)'!O87*(('Description Sheet'!M4)+1)</f>
        <v>102.85296537600003</v>
      </c>
      <c r="P87" s="68">
        <f t="shared" si="37"/>
        <v>0</v>
      </c>
      <c r="Q87" s="14"/>
      <c r="R87" s="44"/>
    </row>
    <row r="88" spans="1:18" hidden="1">
      <c r="A88" s="14"/>
      <c r="B88" s="112">
        <f>'Description Sheet'!B87</f>
        <v>7.19</v>
      </c>
      <c r="C88" s="152" t="str">
        <f>'Description Sheet'!C87</f>
        <v>Painting of Palisade Fencing</v>
      </c>
      <c r="D88" s="107"/>
      <c r="E88" s="153" t="str">
        <f>IF('Maintenance Schedule'!P105="x","x","")</f>
        <v/>
      </c>
      <c r="F88" s="153" t="str">
        <f t="shared" si="32"/>
        <v/>
      </c>
      <c r="G88" s="154">
        <f t="shared" si="35"/>
        <v>0</v>
      </c>
      <c r="H88" s="155">
        <f t="shared" si="33"/>
        <v>0</v>
      </c>
      <c r="I88" s="156">
        <f t="shared" si="36"/>
        <v>0</v>
      </c>
      <c r="J88" s="14"/>
      <c r="K88" s="15"/>
      <c r="L88" s="32"/>
      <c r="M88" s="67" t="str">
        <f>'Description Sheet'!K87</f>
        <v>m2</v>
      </c>
      <c r="N88" s="67">
        <f>'Description Sheet'!L87</f>
        <v>0</v>
      </c>
      <c r="O88" s="73">
        <f>'Year (2025-2026)'!O88*(('Description Sheet'!M4)+1)</f>
        <v>102.85296537600003</v>
      </c>
      <c r="P88" s="68">
        <f t="shared" si="37"/>
        <v>0</v>
      </c>
      <c r="Q88" s="14"/>
      <c r="R88" s="44"/>
    </row>
    <row r="89" spans="1:18" hidden="1">
      <c r="A89" s="14"/>
      <c r="B89" s="112">
        <f>'Description Sheet'!B88</f>
        <v>7.2</v>
      </c>
      <c r="C89" s="152" t="str">
        <f>'Description Sheet'!C88</f>
        <v>blank</v>
      </c>
      <c r="D89" s="107"/>
      <c r="E89" s="153" t="str">
        <f>IF('Maintenance Schedule'!P106="x","x","")</f>
        <v/>
      </c>
      <c r="F89" s="153" t="str">
        <f t="shared" si="32"/>
        <v/>
      </c>
      <c r="G89" s="154">
        <f t="shared" si="35"/>
        <v>0</v>
      </c>
      <c r="H89" s="155">
        <f t="shared" si="33"/>
        <v>0</v>
      </c>
      <c r="I89" s="156">
        <f t="shared" si="36"/>
        <v>0</v>
      </c>
      <c r="J89" s="14"/>
      <c r="K89" s="15"/>
      <c r="L89" s="32"/>
      <c r="M89" s="67" t="str">
        <f>'Description Sheet'!K88</f>
        <v>m3</v>
      </c>
      <c r="N89" s="67">
        <f>'Description Sheet'!L88</f>
        <v>0</v>
      </c>
      <c r="O89" s="73">
        <f>'Year (2025-2026)'!O89*(('Description Sheet'!M4)+1)</f>
        <v>261.54039767040013</v>
      </c>
      <c r="P89" s="68">
        <f t="shared" si="37"/>
        <v>0</v>
      </c>
      <c r="Q89" s="14"/>
      <c r="R89" s="44"/>
    </row>
    <row r="90" spans="1:18" hidden="1">
      <c r="A90" s="14"/>
      <c r="B90" s="112">
        <f>'Description Sheet'!B89</f>
        <v>7.21</v>
      </c>
      <c r="C90" s="152" t="str">
        <f>'Description Sheet'!C89</f>
        <v>blank</v>
      </c>
      <c r="D90" s="107"/>
      <c r="E90" s="153" t="str">
        <f>IF('Maintenance Schedule'!P107="x","x","")</f>
        <v/>
      </c>
      <c r="F90" s="153" t="str">
        <f t="shared" si="32"/>
        <v/>
      </c>
      <c r="G90" s="154">
        <f t="shared" si="35"/>
        <v>0</v>
      </c>
      <c r="H90" s="155">
        <f t="shared" si="33"/>
        <v>0</v>
      </c>
      <c r="I90" s="156">
        <f t="shared" si="36"/>
        <v>0</v>
      </c>
      <c r="J90" s="14"/>
      <c r="K90" s="15"/>
      <c r="L90" s="32"/>
      <c r="M90" s="67" t="str">
        <f>'Description Sheet'!K89</f>
        <v>m3</v>
      </c>
      <c r="N90" s="67">
        <f>'Description Sheet'!L89</f>
        <v>0</v>
      </c>
      <c r="O90" s="73">
        <f>'Year (2025-2026)'!O90*(('Description Sheet'!M4)+1)</f>
        <v>15075.306067968007</v>
      </c>
      <c r="P90" s="68">
        <f t="shared" si="37"/>
        <v>0</v>
      </c>
      <c r="Q90" s="14"/>
      <c r="R90" s="44"/>
    </row>
    <row r="91" spans="1:18" hidden="1">
      <c r="A91" s="14"/>
      <c r="B91" s="112">
        <f>'Description Sheet'!B90</f>
        <v>7.22</v>
      </c>
      <c r="C91" s="152" t="str">
        <f>'Description Sheet'!C90</f>
        <v>blank</v>
      </c>
      <c r="D91" s="107"/>
      <c r="E91" s="153" t="str">
        <f>IF('Maintenance Schedule'!P108="x","x","")</f>
        <v/>
      </c>
      <c r="F91" s="153" t="str">
        <f t="shared" si="32"/>
        <v/>
      </c>
      <c r="G91" s="154">
        <f t="shared" si="35"/>
        <v>0</v>
      </c>
      <c r="H91" s="155">
        <f t="shared" si="33"/>
        <v>0</v>
      </c>
      <c r="I91" s="156">
        <f t="shared" si="36"/>
        <v>0</v>
      </c>
      <c r="J91" s="14"/>
      <c r="K91" s="15"/>
      <c r="L91" s="32"/>
      <c r="M91" s="67" t="str">
        <f>'Description Sheet'!K90</f>
        <v>m3</v>
      </c>
      <c r="N91" s="67">
        <f>'Description Sheet'!L90</f>
        <v>0</v>
      </c>
      <c r="O91" s="73">
        <f>'Year (2025-2026)'!O91*(('Description Sheet'!M4)+1)</f>
        <v>0</v>
      </c>
      <c r="P91" s="68">
        <f t="shared" si="37"/>
        <v>0</v>
      </c>
      <c r="Q91" s="14"/>
      <c r="R91" s="44"/>
    </row>
    <row r="92" spans="1:18" ht="17" hidden="1" thickBot="1">
      <c r="A92" s="14"/>
      <c r="B92" s="109"/>
      <c r="C92" s="152"/>
      <c r="D92" s="107"/>
      <c r="E92" s="153"/>
      <c r="F92" s="153" t="str">
        <f>IF(E92="x",M92,"")</f>
        <v/>
      </c>
      <c r="G92" s="154"/>
      <c r="H92" s="155"/>
      <c r="I92" s="156"/>
      <c r="J92" s="14"/>
      <c r="K92" s="15"/>
      <c r="L92" s="32"/>
      <c r="M92" s="70"/>
      <c r="N92" s="67"/>
      <c r="O92" s="73"/>
      <c r="P92" s="68"/>
      <c r="Q92" s="14"/>
      <c r="R92" s="44"/>
    </row>
    <row r="93" spans="1:18" s="4" customFormat="1" ht="15.75" hidden="1" customHeight="1" thickBot="1">
      <c r="A93" s="14"/>
      <c r="B93" s="109"/>
      <c r="C93" s="115"/>
      <c r="D93" s="107"/>
      <c r="E93" s="163"/>
      <c r="F93" s="528" t="s">
        <v>7</v>
      </c>
      <c r="G93" s="529"/>
      <c r="H93" s="530">
        <f>SUM(I70:I92)</f>
        <v>0</v>
      </c>
      <c r="I93" s="531"/>
      <c r="J93" s="14"/>
      <c r="K93" s="15"/>
      <c r="L93" s="33"/>
      <c r="M93" s="508" t="s">
        <v>7</v>
      </c>
      <c r="N93" s="509"/>
      <c r="O93" s="510">
        <f>SUM(P70:P92)</f>
        <v>3234324.3406446194</v>
      </c>
      <c r="P93" s="511"/>
      <c r="Q93" s="14"/>
      <c r="R93" s="31"/>
    </row>
    <row r="94" spans="1:18" ht="18" thickBot="1">
      <c r="A94" s="14"/>
      <c r="B94" s="179" t="s">
        <v>41</v>
      </c>
      <c r="C94" s="113" t="str">
        <f>'Description Sheet'!C93</f>
        <v xml:space="preserve">Waterproofing </v>
      </c>
      <c r="D94" s="107"/>
      <c r="E94" s="110"/>
      <c r="F94" s="110"/>
      <c r="G94" s="110"/>
      <c r="H94" s="110"/>
      <c r="I94" s="151"/>
      <c r="J94" s="32"/>
      <c r="K94" s="40"/>
      <c r="L94" s="33"/>
      <c r="M94" s="24"/>
      <c r="N94" s="25"/>
      <c r="O94" s="25"/>
      <c r="P94" s="63"/>
      <c r="Q94" s="14"/>
      <c r="R94" s="44"/>
    </row>
    <row r="95" spans="1:18" hidden="1">
      <c r="A95" s="14"/>
      <c r="B95" s="112">
        <f>'Description Sheet'!B94</f>
        <v>7.23</v>
      </c>
      <c r="C95" s="152" t="str">
        <f>'Description Sheet'!C94</f>
        <v>Waterproofing of Walkways</v>
      </c>
      <c r="D95" s="107"/>
      <c r="E95" s="153" t="str">
        <f>IF('Maintenance Schedule'!P115="x","x","")</f>
        <v/>
      </c>
      <c r="F95" s="153" t="str">
        <f t="shared" ref="F95:F102" si="38">IF(E95="x","No","")</f>
        <v/>
      </c>
      <c r="G95" s="154">
        <f>IF(E95="x",1,0)</f>
        <v>0</v>
      </c>
      <c r="H95" s="155">
        <f t="shared" ref="H95" si="39">IF(E95="x",P95,0)</f>
        <v>0</v>
      </c>
      <c r="I95" s="156">
        <f>IF(E95="x",G95*H95,0)</f>
        <v>0</v>
      </c>
      <c r="J95" s="14"/>
      <c r="K95" s="15"/>
      <c r="L95" s="32"/>
      <c r="M95" s="86" t="str">
        <f>'Description Sheet'!K94</f>
        <v>m2</v>
      </c>
      <c r="N95" s="67">
        <f>'Description Sheet'!L94</f>
        <v>1</v>
      </c>
      <c r="O95" s="73">
        <f>'Year (2025-2026)'!O95*(('Description Sheet'!M4)+1)</f>
        <v>237876.42819511303</v>
      </c>
      <c r="P95" s="69">
        <f>N95*O95</f>
        <v>237876.42819511303</v>
      </c>
      <c r="Q95" s="14"/>
      <c r="R95" s="44"/>
    </row>
    <row r="96" spans="1:18" hidden="1">
      <c r="A96" s="14"/>
      <c r="B96" s="112">
        <f>'Description Sheet'!B95</f>
        <v>7.24</v>
      </c>
      <c r="C96" s="152" t="str">
        <f>'Description Sheet'!C95</f>
        <v>Roof Repairs (Phase 2)</v>
      </c>
      <c r="D96" s="107"/>
      <c r="E96" s="153" t="str">
        <f>IF('Maintenance Schedule'!P116="x","x","")</f>
        <v/>
      </c>
      <c r="F96" s="153" t="str">
        <f t="shared" si="38"/>
        <v/>
      </c>
      <c r="G96" s="154">
        <f t="shared" ref="G96:G102" si="40">IF(E96="x",1,0)</f>
        <v>0</v>
      </c>
      <c r="H96" s="155">
        <f>IF(E96="x",P96,0)</f>
        <v>0</v>
      </c>
      <c r="I96" s="156">
        <f>IF(E96="x",G96*H96,0)</f>
        <v>0</v>
      </c>
      <c r="J96" s="14"/>
      <c r="K96" s="15"/>
      <c r="L96" s="32"/>
      <c r="M96" s="86" t="str">
        <f>'Description Sheet'!K95</f>
        <v>m2</v>
      </c>
      <c r="N96" s="67">
        <f>'Description Sheet'!L95</f>
        <v>1</v>
      </c>
      <c r="O96" s="73">
        <f>'Year (2025-2026)'!O96*(('Description Sheet'!M4)+1)</f>
        <v>734664.03840000019</v>
      </c>
      <c r="P96" s="69">
        <f>N96*O96</f>
        <v>734664.03840000019</v>
      </c>
      <c r="Q96" s="14"/>
      <c r="R96" s="44"/>
    </row>
    <row r="97" spans="1:18">
      <c r="A97" s="14"/>
      <c r="B97" s="112">
        <f>'Description Sheet'!B96</f>
        <v>7.25</v>
      </c>
      <c r="C97" s="152" t="str">
        <f>'Description Sheet'!C96</f>
        <v xml:space="preserve">Flat Roof Service </v>
      </c>
      <c r="D97" s="107"/>
      <c r="E97" s="153" t="str">
        <f>IF('Maintenance Schedule'!P117="x","x","")</f>
        <v>x</v>
      </c>
      <c r="F97" s="153" t="str">
        <f t="shared" si="38"/>
        <v>No</v>
      </c>
      <c r="G97" s="154">
        <f t="shared" si="40"/>
        <v>1</v>
      </c>
      <c r="H97" s="155">
        <f>IF(E97="x",P97,0)</f>
        <v>85478.160867840008</v>
      </c>
      <c r="I97" s="156">
        <f>IF(E97="x",G97*H97,0)</f>
        <v>85478.160867840008</v>
      </c>
      <c r="J97" s="14"/>
      <c r="K97" s="15"/>
      <c r="L97" s="32"/>
      <c r="M97" s="86" t="str">
        <f>'Description Sheet'!K96</f>
        <v>m2</v>
      </c>
      <c r="N97" s="67">
        <f>'Description Sheet'!L96</f>
        <v>895</v>
      </c>
      <c r="O97" s="73">
        <f>'Year (2025-2026)'!O97*(('Description Sheet'!M4)+1)</f>
        <v>95.506324992000003</v>
      </c>
      <c r="P97" s="69">
        <f>N97*O97</f>
        <v>85478.160867840008</v>
      </c>
      <c r="Q97" s="14"/>
      <c r="R97" s="44"/>
    </row>
    <row r="98" spans="1:18" hidden="1">
      <c r="A98" s="14"/>
      <c r="B98" s="112">
        <f>'Description Sheet'!B97</f>
        <v>7.26</v>
      </c>
      <c r="C98" s="152" t="str">
        <f>'Description Sheet'!C97</f>
        <v>Flat Roof Replacement</v>
      </c>
      <c r="D98" s="107"/>
      <c r="E98" s="153" t="str">
        <f>IF('Maintenance Schedule'!P118="x","x","")</f>
        <v/>
      </c>
      <c r="F98" s="153" t="str">
        <f t="shared" si="38"/>
        <v/>
      </c>
      <c r="G98" s="154">
        <f t="shared" si="40"/>
        <v>0</v>
      </c>
      <c r="H98" s="155">
        <f>IF(E98="x",P98,0)</f>
        <v>0</v>
      </c>
      <c r="I98" s="156">
        <f>IF(E98="x",G98*H98,0)</f>
        <v>0</v>
      </c>
      <c r="J98" s="14"/>
      <c r="K98" s="15"/>
      <c r="L98" s="32"/>
      <c r="M98" s="86" t="str">
        <f>'Description Sheet'!K97</f>
        <v>m2</v>
      </c>
      <c r="N98" s="67">
        <f>'Description Sheet'!L97</f>
        <v>1</v>
      </c>
      <c r="O98" s="73">
        <f>'Year (2025-2026)'!O98*(('Description Sheet'!M4)+1)</f>
        <v>950871.2569168898</v>
      </c>
      <c r="P98" s="69">
        <f>N98*O98</f>
        <v>950871.2569168898</v>
      </c>
      <c r="Q98" s="14"/>
      <c r="R98" s="44"/>
    </row>
    <row r="99" spans="1:18" hidden="1">
      <c r="A99" s="14"/>
      <c r="B99" s="112">
        <f>'Description Sheet'!B98</f>
        <v>7.27</v>
      </c>
      <c r="C99" s="152" t="str">
        <f>'Description Sheet'!C98</f>
        <v xml:space="preserve">Walkway and Staircases (Cementitious Waterproofing) </v>
      </c>
      <c r="D99" s="107"/>
      <c r="E99" s="153" t="str">
        <f>IF('Maintenance Schedule'!P119="x","x","")</f>
        <v/>
      </c>
      <c r="F99" s="153" t="str">
        <f t="shared" si="38"/>
        <v/>
      </c>
      <c r="G99" s="154">
        <f t="shared" si="40"/>
        <v>0</v>
      </c>
      <c r="H99" s="155">
        <f>IF(E99="x",P99,0)</f>
        <v>0</v>
      </c>
      <c r="I99" s="156">
        <f>IF(E99="x",G99*H99,0)</f>
        <v>0</v>
      </c>
      <c r="J99" s="14"/>
      <c r="K99" s="15"/>
      <c r="L99" s="32"/>
      <c r="M99" s="86" t="str">
        <f>'Description Sheet'!K98</f>
        <v>m2</v>
      </c>
      <c r="N99" s="67">
        <f>'Description Sheet'!L98</f>
        <v>0</v>
      </c>
      <c r="O99" s="73">
        <f>'Year (2025-2026)'!O99*(('Description Sheet'!M4)+1)</f>
        <v>602.42451148800023</v>
      </c>
      <c r="P99" s="69">
        <f>N99*O99</f>
        <v>0</v>
      </c>
      <c r="Q99" s="14"/>
      <c r="R99" s="44"/>
    </row>
    <row r="100" spans="1:18" hidden="1">
      <c r="A100" s="14"/>
      <c r="B100" s="112">
        <f>'Description Sheet'!B99</f>
        <v>7.28</v>
      </c>
      <c r="C100" s="152" t="str">
        <f>'Description Sheet'!C99</f>
        <v>Waterproofing Servicing of Parapets</v>
      </c>
      <c r="D100" s="107"/>
      <c r="E100" s="153" t="str">
        <f>IF('Maintenance Schedule'!P120="x","x","")</f>
        <v/>
      </c>
      <c r="F100" s="153" t="str">
        <f t="shared" si="38"/>
        <v/>
      </c>
      <c r="G100" s="154">
        <f t="shared" si="40"/>
        <v>0</v>
      </c>
      <c r="H100" s="155">
        <f t="shared" ref="H100:H102" si="41">IF(E100="x",P100,0)</f>
        <v>0</v>
      </c>
      <c r="I100" s="156">
        <f t="shared" ref="I100:I102" si="42">IF(E100="x",G100*H100,0)</f>
        <v>0</v>
      </c>
      <c r="J100" s="14"/>
      <c r="K100" s="15"/>
      <c r="L100" s="32"/>
      <c r="M100" s="86" t="str">
        <f>'Description Sheet'!K99</f>
        <v>m2</v>
      </c>
      <c r="N100" s="67">
        <f>'Description Sheet'!L99</f>
        <v>0</v>
      </c>
      <c r="O100" s="73">
        <f>'Year (2025-2026)'!O100*(('Description Sheet'!M4)+1)</f>
        <v>149.87146383360005</v>
      </c>
      <c r="P100" s="69">
        <f t="shared" ref="P100:P102" si="43">N100*O100</f>
        <v>0</v>
      </c>
      <c r="Q100" s="14"/>
      <c r="R100" s="44"/>
    </row>
    <row r="101" spans="1:18" hidden="1">
      <c r="A101" s="14"/>
      <c r="B101" s="112">
        <f>'Description Sheet'!B100</f>
        <v>7.29</v>
      </c>
      <c r="C101" s="152" t="str">
        <f>'Description Sheet'!C100</f>
        <v>blank</v>
      </c>
      <c r="D101" s="107"/>
      <c r="E101" s="153" t="str">
        <f>IF('Maintenance Schedule'!P121="x","x","")</f>
        <v/>
      </c>
      <c r="F101" s="153" t="str">
        <f t="shared" si="38"/>
        <v/>
      </c>
      <c r="G101" s="154">
        <f t="shared" si="40"/>
        <v>0</v>
      </c>
      <c r="H101" s="155">
        <f t="shared" si="41"/>
        <v>0</v>
      </c>
      <c r="I101" s="156">
        <f t="shared" si="42"/>
        <v>0</v>
      </c>
      <c r="J101" s="14"/>
      <c r="K101" s="15"/>
      <c r="L101" s="32"/>
      <c r="M101" s="86" t="str">
        <f>'Description Sheet'!K100</f>
        <v>m2</v>
      </c>
      <c r="N101" s="67">
        <f>'Description Sheet'!L100</f>
        <v>0</v>
      </c>
      <c r="O101" s="73">
        <f>'Year (2025-2026)'!O101*(('Description Sheet'!M4)+1)</f>
        <v>0</v>
      </c>
      <c r="P101" s="69">
        <f t="shared" si="43"/>
        <v>0</v>
      </c>
      <c r="Q101" s="14"/>
      <c r="R101" s="44"/>
    </row>
    <row r="102" spans="1:18" hidden="1">
      <c r="A102" s="14"/>
      <c r="B102" s="112">
        <f>'Description Sheet'!B101</f>
        <v>7.3</v>
      </c>
      <c r="C102" s="152" t="str">
        <f>'Description Sheet'!C101</f>
        <v>blank</v>
      </c>
      <c r="D102" s="107"/>
      <c r="E102" s="153" t="str">
        <f>IF('Maintenance Schedule'!P122="x","x","")</f>
        <v/>
      </c>
      <c r="F102" s="153" t="str">
        <f t="shared" si="38"/>
        <v/>
      </c>
      <c r="G102" s="154">
        <f t="shared" si="40"/>
        <v>0</v>
      </c>
      <c r="H102" s="155">
        <f t="shared" si="41"/>
        <v>0</v>
      </c>
      <c r="I102" s="156">
        <f t="shared" si="42"/>
        <v>0</v>
      </c>
      <c r="J102" s="14"/>
      <c r="K102" s="15"/>
      <c r="L102" s="32"/>
      <c r="M102" s="86" t="str">
        <f>'Description Sheet'!K101</f>
        <v>m2</v>
      </c>
      <c r="N102" s="67">
        <f>'Description Sheet'!L101</f>
        <v>0</v>
      </c>
      <c r="O102" s="73">
        <f>'Year (2025-2026)'!O102*(('Description Sheet'!M4)+1)</f>
        <v>0</v>
      </c>
      <c r="P102" s="69">
        <f t="shared" si="43"/>
        <v>0</v>
      </c>
      <c r="Q102" s="14"/>
      <c r="R102" s="44"/>
    </row>
    <row r="103" spans="1:18" ht="17" thickBot="1">
      <c r="A103" s="14"/>
      <c r="B103" s="109"/>
      <c r="C103" s="152"/>
      <c r="D103" s="107"/>
      <c r="E103" s="153"/>
      <c r="F103" s="154"/>
      <c r="G103" s="154"/>
      <c r="H103" s="155"/>
      <c r="I103" s="156"/>
      <c r="J103" s="14"/>
      <c r="K103" s="15"/>
      <c r="L103" s="32"/>
      <c r="M103" s="70"/>
      <c r="N103" s="67"/>
      <c r="O103" s="68"/>
      <c r="P103" s="69"/>
      <c r="Q103" s="14"/>
      <c r="R103" s="44"/>
    </row>
    <row r="104" spans="1:18" s="4" customFormat="1" ht="15.75" customHeight="1" thickBot="1">
      <c r="A104" s="14"/>
      <c r="B104" s="109"/>
      <c r="C104" s="115"/>
      <c r="D104" s="107"/>
      <c r="E104" s="159"/>
      <c r="F104" s="528" t="s">
        <v>7</v>
      </c>
      <c r="G104" s="529"/>
      <c r="H104" s="530">
        <f>SUM(I95:I102)</f>
        <v>85478.160867840008</v>
      </c>
      <c r="I104" s="531"/>
      <c r="J104" s="14"/>
      <c r="K104" s="15"/>
      <c r="L104" s="33"/>
      <c r="M104" s="508" t="s">
        <v>7</v>
      </c>
      <c r="N104" s="509"/>
      <c r="O104" s="510">
        <f>SUM(P95:P103)</f>
        <v>2008889.8843798432</v>
      </c>
      <c r="P104" s="511"/>
      <c r="Q104" s="14"/>
      <c r="R104" s="31"/>
    </row>
    <row r="105" spans="1:18" ht="17" thickBot="1">
      <c r="A105" s="14"/>
      <c r="B105" s="109">
        <f>'Description Sheet'!B104</f>
        <v>8</v>
      </c>
      <c r="C105" s="113" t="str">
        <f>'Description Sheet'!C104</f>
        <v>Communication and Service Supply Systems</v>
      </c>
      <c r="D105" s="107"/>
      <c r="E105" s="110"/>
      <c r="F105" s="110"/>
      <c r="G105" s="110"/>
      <c r="H105" s="110"/>
      <c r="I105" s="151"/>
      <c r="J105" s="32"/>
      <c r="K105" s="40"/>
      <c r="L105" s="33"/>
      <c r="M105" s="24"/>
      <c r="N105" s="25"/>
      <c r="O105" s="25"/>
      <c r="P105" s="63"/>
      <c r="Q105" s="14"/>
      <c r="R105" s="44"/>
    </row>
    <row r="106" spans="1:18" ht="17" hidden="1">
      <c r="A106" s="14"/>
      <c r="B106" s="109">
        <f>'Description Sheet'!B105</f>
        <v>8.1</v>
      </c>
      <c r="C106" s="164" t="str">
        <f>'Description Sheet'!C105</f>
        <v>Communication Systems (Service &amp; Upgrade Savings)</v>
      </c>
      <c r="D106" s="107"/>
      <c r="E106" s="153" t="str">
        <f>IF('Maintenance Schedule'!P129="x","x","")</f>
        <v/>
      </c>
      <c r="F106" s="153" t="str">
        <f>IF(E106="x","No","")</f>
        <v/>
      </c>
      <c r="G106" s="154">
        <f>IF(E106="x",1,0)</f>
        <v>0</v>
      </c>
      <c r="H106" s="155">
        <f t="shared" ref="H106:H109" si="44">IF(E106="x",P106,0)</f>
        <v>0</v>
      </c>
      <c r="I106" s="156">
        <f>IF(E106="x",G106*H106,0)</f>
        <v>0</v>
      </c>
      <c r="J106" s="14"/>
      <c r="K106" s="15"/>
      <c r="L106" s="32"/>
      <c r="M106" s="67" t="str">
        <f>'Description Sheet'!K105</f>
        <v>No</v>
      </c>
      <c r="N106" s="67">
        <f>'Description Sheet'!L105</f>
        <v>0</v>
      </c>
      <c r="O106" s="73">
        <f>'Year (2025-2026)'!O106*(('Description Sheet'!M4)+1)</f>
        <v>4321.2938738688017</v>
      </c>
      <c r="P106" s="69">
        <f>N106*O106</f>
        <v>0</v>
      </c>
      <c r="Q106" s="14"/>
      <c r="R106" s="44"/>
    </row>
    <row r="107" spans="1:18" ht="17">
      <c r="A107" s="14"/>
      <c r="B107" s="109">
        <f>'Description Sheet'!B106</f>
        <v>8.1999999999999993</v>
      </c>
      <c r="C107" s="164" t="str">
        <f>'Description Sheet'!C106</f>
        <v>Intercom Systems (Replacement Maintenance/Savings)</v>
      </c>
      <c r="D107" s="107"/>
      <c r="E107" s="153" t="str">
        <f>IF('Maintenance Schedule'!P130="x","x","")</f>
        <v>x</v>
      </c>
      <c r="F107" s="153" t="str">
        <f t="shared" ref="F107:F109" si="45">IF(E107="x","No","")</f>
        <v>No</v>
      </c>
      <c r="G107" s="154">
        <f t="shared" ref="G107:G109" si="46">IF(E107="x",1,0)</f>
        <v>1</v>
      </c>
      <c r="H107" s="155">
        <f t="shared" si="44"/>
        <v>6050.6930202624026</v>
      </c>
      <c r="I107" s="156">
        <f t="shared" ref="I107:I109" si="47">IF(E107="x",G107*H107,0)</f>
        <v>6050.6930202624026</v>
      </c>
      <c r="J107" s="14"/>
      <c r="K107" s="15"/>
      <c r="L107" s="32"/>
      <c r="M107" s="67" t="str">
        <f>'Description Sheet'!K106</f>
        <v>No</v>
      </c>
      <c r="N107" s="67">
        <f>'Description Sheet'!L106</f>
        <v>1</v>
      </c>
      <c r="O107" s="73">
        <f>'Year (2025-2026)'!O107*(('Description Sheet'!M4)+1)</f>
        <v>6050.6930202624026</v>
      </c>
      <c r="P107" s="69">
        <f t="shared" ref="P107:P109" si="48">N107*O107</f>
        <v>6050.6930202624026</v>
      </c>
      <c r="Q107" s="14"/>
      <c r="R107" s="44"/>
    </row>
    <row r="108" spans="1:18" ht="17" hidden="1">
      <c r="A108" s="14"/>
      <c r="B108" s="109">
        <f>'Description Sheet'!B107</f>
        <v>8.3000000000000007</v>
      </c>
      <c r="C108" s="164" t="str">
        <f>'Description Sheet'!C107</f>
        <v xml:space="preserve">Intercom System Replacement </v>
      </c>
      <c r="D108" s="107"/>
      <c r="E108" s="153" t="str">
        <f>IF('Maintenance Schedule'!P131="x","x","")</f>
        <v/>
      </c>
      <c r="F108" s="153" t="str">
        <f t="shared" si="45"/>
        <v/>
      </c>
      <c r="G108" s="154">
        <f t="shared" si="46"/>
        <v>0</v>
      </c>
      <c r="H108" s="155">
        <f t="shared" si="44"/>
        <v>0</v>
      </c>
      <c r="I108" s="156">
        <f t="shared" si="47"/>
        <v>0</v>
      </c>
      <c r="J108" s="14"/>
      <c r="K108" s="15"/>
      <c r="L108" s="32"/>
      <c r="M108" s="67" t="str">
        <f>'Description Sheet'!K107</f>
        <v>No</v>
      </c>
      <c r="N108" s="67">
        <f>'Description Sheet'!L107</f>
        <v>1</v>
      </c>
      <c r="O108" s="73">
        <f>'Year (2025-2026)'!O108*(('Description Sheet'!M4)+1)</f>
        <v>61711.779225600018</v>
      </c>
      <c r="P108" s="69">
        <f t="shared" si="48"/>
        <v>61711.779225600018</v>
      </c>
      <c r="Q108" s="14"/>
      <c r="R108" s="44"/>
    </row>
    <row r="109" spans="1:18" ht="17" hidden="1">
      <c r="A109" s="14"/>
      <c r="B109" s="109">
        <f>'Description Sheet'!B108</f>
        <v>8.4</v>
      </c>
      <c r="C109" s="164" t="str">
        <f>'Description Sheet'!C108</f>
        <v>blank</v>
      </c>
      <c r="D109" s="107"/>
      <c r="E109" s="153" t="str">
        <f>IF('Maintenance Schedule'!P132="x","x","")</f>
        <v/>
      </c>
      <c r="F109" s="153" t="str">
        <f t="shared" si="45"/>
        <v/>
      </c>
      <c r="G109" s="154">
        <f t="shared" si="46"/>
        <v>0</v>
      </c>
      <c r="H109" s="155">
        <f t="shared" si="44"/>
        <v>0</v>
      </c>
      <c r="I109" s="156">
        <f t="shared" si="47"/>
        <v>0</v>
      </c>
      <c r="J109" s="14"/>
      <c r="K109" s="15"/>
      <c r="L109" s="32"/>
      <c r="M109" s="67" t="str">
        <f>'Description Sheet'!K108</f>
        <v>No</v>
      </c>
      <c r="N109" s="67">
        <f>'Description Sheet'!L108</f>
        <v>0</v>
      </c>
      <c r="O109" s="73">
        <f>'Year (2025-2026)'!O109*(('Description Sheet'!M4)+1)</f>
        <v>0</v>
      </c>
      <c r="P109" s="69">
        <f t="shared" si="48"/>
        <v>0</v>
      </c>
      <c r="Q109" s="14"/>
      <c r="R109" s="44"/>
    </row>
    <row r="110" spans="1:18" ht="17" thickBot="1">
      <c r="A110" s="14"/>
      <c r="B110" s="109"/>
      <c r="C110" s="164"/>
      <c r="D110" s="107"/>
      <c r="E110" s="162"/>
      <c r="F110" s="154"/>
      <c r="G110" s="154"/>
      <c r="H110" s="155"/>
      <c r="I110" s="155"/>
      <c r="J110" s="14"/>
      <c r="K110" s="15"/>
      <c r="L110" s="32"/>
      <c r="M110" s="67"/>
      <c r="N110" s="67"/>
      <c r="O110" s="73"/>
      <c r="P110" s="68"/>
      <c r="Q110" s="14"/>
      <c r="R110" s="44"/>
    </row>
    <row r="111" spans="1:18" s="4" customFormat="1" ht="15.75" customHeight="1" thickBot="1">
      <c r="A111" s="14"/>
      <c r="B111" s="109"/>
      <c r="C111" s="158"/>
      <c r="D111" s="107"/>
      <c r="E111" s="159"/>
      <c r="F111" s="528" t="s">
        <v>7</v>
      </c>
      <c r="G111" s="529"/>
      <c r="H111" s="530">
        <f>SUM(I106:I110)</f>
        <v>6050.6930202624026</v>
      </c>
      <c r="I111" s="531"/>
      <c r="J111" s="14"/>
      <c r="K111" s="15"/>
      <c r="L111" s="33"/>
      <c r="M111" s="508" t="s">
        <v>7</v>
      </c>
      <c r="N111" s="509"/>
      <c r="O111" s="510">
        <f>SUM(P106:P110)</f>
        <v>67762.472245862416</v>
      </c>
      <c r="P111" s="511"/>
      <c r="Q111" s="14"/>
      <c r="R111" s="31"/>
    </row>
    <row r="112" spans="1:18" ht="17" hidden="1" thickBot="1">
      <c r="A112" s="14"/>
      <c r="B112" s="109">
        <f>'Description Sheet'!B111</f>
        <v>9</v>
      </c>
      <c r="C112" s="113" t="str">
        <f>'Description Sheet'!C111</f>
        <v>Parking Facilities</v>
      </c>
      <c r="D112" s="107"/>
      <c r="E112" s="110"/>
      <c r="F112" s="110"/>
      <c r="G112" s="110"/>
      <c r="H112" s="110"/>
      <c r="I112" s="151"/>
      <c r="J112" s="32"/>
      <c r="K112" s="40"/>
      <c r="L112" s="33"/>
      <c r="M112" s="24"/>
      <c r="N112" s="25"/>
      <c r="O112" s="25"/>
      <c r="P112" s="63"/>
      <c r="Q112" s="14"/>
      <c r="R112" s="44"/>
    </row>
    <row r="113" spans="1:18" ht="17" hidden="1">
      <c r="A113" s="14"/>
      <c r="B113" s="109">
        <f>'Description Sheet'!B112</f>
        <v>9.1</v>
      </c>
      <c r="C113" s="164" t="str">
        <f>'Description Sheet'!C112</f>
        <v>Painting of Demarcation Lines</v>
      </c>
      <c r="D113" s="107"/>
      <c r="E113" s="153" t="str">
        <f>IF('Maintenance Schedule'!P139="x","x","")</f>
        <v/>
      </c>
      <c r="F113" s="153" t="str">
        <f>IF(E113="x","No","")</f>
        <v/>
      </c>
      <c r="G113" s="154">
        <f>IF(E113="x",1,0)</f>
        <v>0</v>
      </c>
      <c r="H113" s="155">
        <f t="shared" ref="H113:H116" si="49">IF(E113="x",P113,0)</f>
        <v>0</v>
      </c>
      <c r="I113" s="156">
        <f>IF(E113="x",G113*H113,0)</f>
        <v>0</v>
      </c>
      <c r="J113" s="14"/>
      <c r="K113" s="15"/>
      <c r="L113" s="32"/>
      <c r="M113" s="67" t="str">
        <f>'Description Sheet'!K112</f>
        <v>lm</v>
      </c>
      <c r="N113" s="67">
        <f>'Description Sheet'!L112</f>
        <v>1</v>
      </c>
      <c r="O113" s="73">
        <f>'Year (2025-2026)'!O113*(('Description Sheet'!M4)+1)</f>
        <v>9550.6324992000045</v>
      </c>
      <c r="P113" s="68">
        <f>N113*O113</f>
        <v>9550.6324992000045</v>
      </c>
      <c r="Q113" s="14"/>
      <c r="R113" s="44"/>
    </row>
    <row r="114" spans="1:18" ht="17" hidden="1">
      <c r="A114" s="14"/>
      <c r="B114" s="109">
        <f>'Description Sheet'!B113</f>
        <v>9.1999999999999993</v>
      </c>
      <c r="C114" s="164" t="str">
        <f>'Description Sheet'!C113</f>
        <v>Shade Port Netting (Replacement and Maintanance)</v>
      </c>
      <c r="D114" s="107"/>
      <c r="E114" s="153" t="str">
        <f>IF('Maintenance Schedule'!P140="x","x","")</f>
        <v/>
      </c>
      <c r="F114" s="153" t="str">
        <f t="shared" ref="F114:F116" si="50">IF(E114="x","No","")</f>
        <v/>
      </c>
      <c r="G114" s="154">
        <f t="shared" ref="G114:G116" si="51">IF(E114="x",1,0)</f>
        <v>0</v>
      </c>
      <c r="H114" s="155">
        <f t="shared" si="49"/>
        <v>0</v>
      </c>
      <c r="I114" s="156">
        <f t="shared" ref="I114:I116" si="52">IF(E114="x",G114*H114,0)</f>
        <v>0</v>
      </c>
      <c r="J114" s="14"/>
      <c r="K114" s="15"/>
      <c r="L114" s="32"/>
      <c r="M114" s="67" t="str">
        <f>'Description Sheet'!K113</f>
        <v>No</v>
      </c>
      <c r="N114" s="67">
        <f>'Description Sheet'!L113</f>
        <v>0</v>
      </c>
      <c r="O114" s="73">
        <f>'Year (2025-2026)'!O114*(('Description Sheet'!M4)+1)</f>
        <v>11237.421131366402</v>
      </c>
      <c r="P114" s="68">
        <f t="shared" ref="P114:P116" si="53">N114*O114</f>
        <v>0</v>
      </c>
      <c r="Q114" s="14"/>
      <c r="R114" s="44"/>
    </row>
    <row r="115" spans="1:18" ht="17" hidden="1">
      <c r="A115" s="14"/>
      <c r="B115" s="109">
        <f>'Description Sheet'!B114</f>
        <v>9.3000000000000007</v>
      </c>
      <c r="C115" s="164" t="str">
        <f>'Description Sheet'!C114</f>
        <v>Garages (Maintanance)</v>
      </c>
      <c r="D115" s="107"/>
      <c r="E115" s="153" t="str">
        <f>IF('Maintenance Schedule'!P141="x","x","")</f>
        <v/>
      </c>
      <c r="F115" s="153" t="str">
        <f t="shared" si="50"/>
        <v/>
      </c>
      <c r="G115" s="154">
        <f t="shared" si="51"/>
        <v>0</v>
      </c>
      <c r="H115" s="155">
        <f t="shared" si="49"/>
        <v>0</v>
      </c>
      <c r="I115" s="156">
        <f t="shared" si="52"/>
        <v>0</v>
      </c>
      <c r="J115" s="14"/>
      <c r="K115" s="15"/>
      <c r="L115" s="32"/>
      <c r="M115" s="67" t="str">
        <f>'Description Sheet'!K114</f>
        <v>No</v>
      </c>
      <c r="N115" s="67">
        <f>'Description Sheet'!L114</f>
        <v>0</v>
      </c>
      <c r="O115" s="73">
        <f>'Year (2025-2026)'!O115*(('Description Sheet'!M4)+1)</f>
        <v>793.4371614720003</v>
      </c>
      <c r="P115" s="68">
        <f t="shared" si="53"/>
        <v>0</v>
      </c>
      <c r="Q115" s="14"/>
      <c r="R115" s="44"/>
    </row>
    <row r="116" spans="1:18" ht="17" hidden="1">
      <c r="A116" s="14"/>
      <c r="B116" s="109">
        <f>'Description Sheet'!B115</f>
        <v>9.4</v>
      </c>
      <c r="C116" s="164" t="str">
        <f>'Description Sheet'!C115</f>
        <v>Parking Facilities</v>
      </c>
      <c r="D116" s="107"/>
      <c r="E116" s="153" t="str">
        <f>IF('Maintenance Schedule'!P142="x","x","")</f>
        <v/>
      </c>
      <c r="F116" s="153" t="str">
        <f t="shared" si="50"/>
        <v/>
      </c>
      <c r="G116" s="154">
        <f t="shared" si="51"/>
        <v>0</v>
      </c>
      <c r="H116" s="155">
        <f t="shared" si="49"/>
        <v>0</v>
      </c>
      <c r="I116" s="156">
        <f t="shared" si="52"/>
        <v>0</v>
      </c>
      <c r="J116" s="14"/>
      <c r="K116" s="15"/>
      <c r="L116" s="32"/>
      <c r="M116" s="67" t="str">
        <f>'Description Sheet'!K115</f>
        <v>No</v>
      </c>
      <c r="N116" s="67">
        <f>'Description Sheet'!L115</f>
        <v>0</v>
      </c>
      <c r="O116" s="73">
        <f>'Year (2025-2026)'!O116*(('Description Sheet'!M4)+1)</f>
        <v>7140.9344532480018</v>
      </c>
      <c r="P116" s="68">
        <f t="shared" si="53"/>
        <v>0</v>
      </c>
      <c r="Q116" s="14"/>
      <c r="R116" s="44"/>
    </row>
    <row r="117" spans="1:18" ht="17" hidden="1" thickBot="1">
      <c r="A117" s="14"/>
      <c r="B117" s="109"/>
      <c r="C117" s="164"/>
      <c r="D117" s="107"/>
      <c r="E117" s="162"/>
      <c r="F117" s="154"/>
      <c r="G117" s="154"/>
      <c r="H117" s="155"/>
      <c r="I117" s="155"/>
      <c r="J117" s="14"/>
      <c r="K117" s="15"/>
      <c r="L117" s="32"/>
      <c r="M117" s="67"/>
      <c r="N117" s="67"/>
      <c r="O117" s="73"/>
      <c r="P117" s="68"/>
      <c r="Q117" s="14"/>
      <c r="R117" s="44"/>
    </row>
    <row r="118" spans="1:18" s="4" customFormat="1" ht="15.75" hidden="1" customHeight="1" thickBot="1">
      <c r="A118" s="14"/>
      <c r="B118" s="109"/>
      <c r="C118" s="158"/>
      <c r="D118" s="107"/>
      <c r="E118" s="159"/>
      <c r="F118" s="528" t="s">
        <v>7</v>
      </c>
      <c r="G118" s="529"/>
      <c r="H118" s="530">
        <f>SUM(I113:I117)</f>
        <v>0</v>
      </c>
      <c r="I118" s="531"/>
      <c r="J118" s="14"/>
      <c r="K118" s="15"/>
      <c r="L118" s="33"/>
      <c r="M118" s="508" t="s">
        <v>7</v>
      </c>
      <c r="N118" s="509"/>
      <c r="O118" s="510">
        <f>SUM(P113:P117)</f>
        <v>9550.6324992000045</v>
      </c>
      <c r="P118" s="511"/>
      <c r="Q118" s="14"/>
      <c r="R118" s="31"/>
    </row>
    <row r="119" spans="1:18" ht="17" hidden="1" thickBot="1">
      <c r="A119" s="14"/>
      <c r="B119" s="109">
        <f>'Description Sheet'!B118</f>
        <v>10</v>
      </c>
      <c r="C119" s="113" t="str">
        <f>'Description Sheet'!C118</f>
        <v>Roadways and Paved Areas</v>
      </c>
      <c r="D119" s="107"/>
      <c r="E119" s="110"/>
      <c r="F119" s="110"/>
      <c r="G119" s="110"/>
      <c r="H119" s="110"/>
      <c r="I119" s="151"/>
      <c r="J119" s="32"/>
      <c r="K119" s="40"/>
      <c r="L119" s="33"/>
      <c r="M119" s="24"/>
      <c r="N119" s="25"/>
      <c r="O119" s="25"/>
      <c r="P119" s="63"/>
      <c r="Q119" s="14"/>
      <c r="R119" s="44"/>
    </row>
    <row r="120" spans="1:18" ht="17" hidden="1">
      <c r="A120" s="14"/>
      <c r="B120" s="109">
        <f>'Description Sheet'!B119</f>
        <v>10.1</v>
      </c>
      <c r="C120" s="114" t="str">
        <f>'Description Sheet'!C119</f>
        <v>Tarmac Areas (Reinstatement)</v>
      </c>
      <c r="D120" s="107"/>
      <c r="E120" s="153" t="str">
        <f>IF('Maintenance Schedule'!P149="x","x","")</f>
        <v/>
      </c>
      <c r="F120" s="153" t="str">
        <f>IF(E120="x","No","")</f>
        <v/>
      </c>
      <c r="G120" s="154">
        <f>IF(E120="x",1,0)</f>
        <v>0</v>
      </c>
      <c r="H120" s="155">
        <f t="shared" ref="H120" si="54">IF(E120="x",P120,0)</f>
        <v>0</v>
      </c>
      <c r="I120" s="156">
        <f>IF(E120="x",G120*H120,0)</f>
        <v>0</v>
      </c>
      <c r="J120" s="14"/>
      <c r="K120" s="15"/>
      <c r="L120" s="32"/>
      <c r="M120" s="67" t="str">
        <f>'Description Sheet'!K119</f>
        <v>No</v>
      </c>
      <c r="N120" s="67">
        <f>'Description Sheet'!L119</f>
        <v>0</v>
      </c>
      <c r="O120" s="73">
        <f>'Year (2025-2026)'!O120*(('Description Sheet'!M4)+1)</f>
        <v>7140.9344532480018</v>
      </c>
      <c r="P120" s="68">
        <f>N120*O120</f>
        <v>0</v>
      </c>
      <c r="Q120" s="14"/>
      <c r="R120" s="44"/>
    </row>
    <row r="121" spans="1:18" ht="17" hidden="1">
      <c r="A121" s="14"/>
      <c r="B121" s="109">
        <f>'Description Sheet'!B120</f>
        <v>10.199999999999999</v>
      </c>
      <c r="C121" s="114" t="str">
        <f>'Description Sheet'!C120</f>
        <v>Concrete Areas (Reinstatement)</v>
      </c>
      <c r="D121" s="107"/>
      <c r="E121" s="153" t="str">
        <f>IF('Maintenance Schedule'!P150="x","x","")</f>
        <v/>
      </c>
      <c r="F121" s="153" t="str">
        <f t="shared" ref="F121:F126" si="55">IF(E121="x","No","")</f>
        <v/>
      </c>
      <c r="G121" s="154">
        <f t="shared" ref="G121:G126" si="56">IF(E121="x",1,0)</f>
        <v>0</v>
      </c>
      <c r="H121" s="155">
        <f>IF(E121="x",P121,0)</f>
        <v>0</v>
      </c>
      <c r="I121" s="156">
        <f>IF(E121="x",G121*H121,0)</f>
        <v>0</v>
      </c>
      <c r="J121" s="14"/>
      <c r="K121" s="15"/>
      <c r="L121" s="32"/>
      <c r="M121" s="67" t="str">
        <f>'Description Sheet'!K120</f>
        <v>No</v>
      </c>
      <c r="N121" s="67">
        <f>'Description Sheet'!L120</f>
        <v>1</v>
      </c>
      <c r="O121" s="73">
        <f>'Year (2025-2026)'!O121*(('Description Sheet'!M4)+1)</f>
        <v>3457.3289647104011</v>
      </c>
      <c r="P121" s="68">
        <f>N121*O121</f>
        <v>3457.3289647104011</v>
      </c>
      <c r="Q121" s="14"/>
      <c r="R121" s="44"/>
    </row>
    <row r="122" spans="1:18" ht="17" hidden="1">
      <c r="A122" s="14"/>
      <c r="B122" s="109">
        <f>'Description Sheet'!B121</f>
        <v>10.3</v>
      </c>
      <c r="C122" s="114" t="str">
        <f>'Description Sheet'!C121</f>
        <v>Paving  Areas (Reinstatement)</v>
      </c>
      <c r="D122" s="107"/>
      <c r="E122" s="153" t="str">
        <f>IF('Maintenance Schedule'!P151="x","x","")</f>
        <v/>
      </c>
      <c r="F122" s="153" t="str">
        <f t="shared" si="55"/>
        <v/>
      </c>
      <c r="G122" s="154">
        <f t="shared" si="56"/>
        <v>0</v>
      </c>
      <c r="H122" s="155">
        <f>IF(E122="x",P122,0)</f>
        <v>0</v>
      </c>
      <c r="I122" s="156">
        <f>IF(E122="x",G122*H122,0)</f>
        <v>0</v>
      </c>
      <c r="J122" s="14"/>
      <c r="K122" s="15"/>
      <c r="L122" s="32"/>
      <c r="M122" s="67" t="str">
        <f>'Description Sheet'!K121</f>
        <v>No</v>
      </c>
      <c r="N122" s="67">
        <f>'Description Sheet'!L121</f>
        <v>1</v>
      </c>
      <c r="O122" s="73">
        <f>'Year (2025-2026)'!O122*(('Description Sheet'!M4)+1)</f>
        <v>3457.3289647104011</v>
      </c>
      <c r="P122" s="68">
        <f>N122*O122</f>
        <v>3457.3289647104011</v>
      </c>
      <c r="Q122" s="14"/>
      <c r="R122" s="44"/>
    </row>
    <row r="123" spans="1:18" ht="17" hidden="1">
      <c r="A123" s="14"/>
      <c r="B123" s="109">
        <f>'Description Sheet'!B122</f>
        <v>10.4</v>
      </c>
      <c r="C123" s="114" t="str">
        <f>'Description Sheet'!C122</f>
        <v>Reinstatement of Walkways (Grouting and Tiles)</v>
      </c>
      <c r="D123" s="107"/>
      <c r="E123" s="153" t="str">
        <f>IF('Maintenance Schedule'!P152="x","x","")</f>
        <v/>
      </c>
      <c r="F123" s="153" t="str">
        <f t="shared" si="55"/>
        <v/>
      </c>
      <c r="G123" s="154">
        <f t="shared" si="56"/>
        <v>0</v>
      </c>
      <c r="H123" s="155">
        <f>IF(E123="x",P123,0)</f>
        <v>0</v>
      </c>
      <c r="I123" s="156">
        <f>IF(E123="x",G123*H123,0)</f>
        <v>0</v>
      </c>
      <c r="J123" s="14"/>
      <c r="K123" s="15"/>
      <c r="L123" s="32"/>
      <c r="M123" s="67" t="str">
        <f>'Description Sheet'!K122</f>
        <v>No</v>
      </c>
      <c r="N123" s="67">
        <f>'Description Sheet'!L122</f>
        <v>1</v>
      </c>
      <c r="O123" s="73">
        <f>'Year (2025-2026)'!O123*(('Description Sheet'!M4)+1)</f>
        <v>3457.3289647104011</v>
      </c>
      <c r="P123" s="68">
        <f>N123*O123</f>
        <v>3457.3289647104011</v>
      </c>
      <c r="Q123" s="14"/>
      <c r="R123" s="44"/>
    </row>
    <row r="124" spans="1:18" ht="17" hidden="1">
      <c r="A124" s="14"/>
      <c r="B124" s="109">
        <f>'Description Sheet'!B123</f>
        <v>10.5</v>
      </c>
      <c r="C124" s="114" t="str">
        <f>'Description Sheet'!C123</f>
        <v>Tarmac Damaged Areas (Replacement)</v>
      </c>
      <c r="D124" s="107"/>
      <c r="E124" s="153" t="str">
        <f>IF('Maintenance Schedule'!P153="x","x","")</f>
        <v/>
      </c>
      <c r="F124" s="153" t="str">
        <f t="shared" si="55"/>
        <v/>
      </c>
      <c r="G124" s="154">
        <f t="shared" si="56"/>
        <v>0</v>
      </c>
      <c r="H124" s="155">
        <f t="shared" ref="H124:H126" si="57">IF(E124="x",P124,0)</f>
        <v>0</v>
      </c>
      <c r="I124" s="156">
        <f t="shared" ref="I124:I126" si="58">IF(E124="x",G124*H124,0)</f>
        <v>0</v>
      </c>
      <c r="J124" s="14"/>
      <c r="K124" s="15"/>
      <c r="L124" s="32"/>
      <c r="M124" s="67" t="str">
        <f>'Description Sheet'!K123</f>
        <v>No</v>
      </c>
      <c r="N124" s="67">
        <f>'Description Sheet'!L123</f>
        <v>0</v>
      </c>
      <c r="O124" s="73">
        <f>'Year (2025-2026)'!O124*(('Description Sheet'!M4)+1)</f>
        <v>0</v>
      </c>
      <c r="P124" s="68">
        <f t="shared" ref="P124:P126" si="59">N124*O124</f>
        <v>0</v>
      </c>
      <c r="Q124" s="14"/>
      <c r="R124" s="44"/>
    </row>
    <row r="125" spans="1:18" ht="17" hidden="1">
      <c r="A125" s="14"/>
      <c r="B125" s="109">
        <f>'Description Sheet'!B124</f>
        <v>10.6</v>
      </c>
      <c r="C125" s="114" t="str">
        <f>'Description Sheet'!C124</f>
        <v>blank</v>
      </c>
      <c r="D125" s="107"/>
      <c r="E125" s="153" t="str">
        <f>IF('Maintenance Schedule'!P154="x","x","")</f>
        <v/>
      </c>
      <c r="F125" s="153" t="str">
        <f t="shared" si="55"/>
        <v/>
      </c>
      <c r="G125" s="154">
        <f t="shared" si="56"/>
        <v>0</v>
      </c>
      <c r="H125" s="155">
        <f t="shared" si="57"/>
        <v>0</v>
      </c>
      <c r="I125" s="156">
        <f t="shared" si="58"/>
        <v>0</v>
      </c>
      <c r="J125" s="14"/>
      <c r="K125" s="15"/>
      <c r="L125" s="32"/>
      <c r="M125" s="67" t="str">
        <f>'Description Sheet'!K124</f>
        <v>No</v>
      </c>
      <c r="N125" s="67">
        <f>'Description Sheet'!L124</f>
        <v>0</v>
      </c>
      <c r="O125" s="73">
        <f>'Year (2025-2026)'!O125*(('Description Sheet'!M4)+1)</f>
        <v>0</v>
      </c>
      <c r="P125" s="68">
        <f t="shared" si="59"/>
        <v>0</v>
      </c>
      <c r="Q125" s="14"/>
      <c r="R125" s="44"/>
    </row>
    <row r="126" spans="1:18" ht="17" hidden="1">
      <c r="A126" s="14"/>
      <c r="B126" s="109">
        <f>'Description Sheet'!B125</f>
        <v>10.7</v>
      </c>
      <c r="C126" s="114" t="str">
        <f>'Description Sheet'!C125</f>
        <v>blank</v>
      </c>
      <c r="D126" s="107"/>
      <c r="E126" s="153" t="str">
        <f>IF('Maintenance Schedule'!P155="x","x","")</f>
        <v/>
      </c>
      <c r="F126" s="153" t="str">
        <f t="shared" si="55"/>
        <v/>
      </c>
      <c r="G126" s="154">
        <f t="shared" si="56"/>
        <v>0</v>
      </c>
      <c r="H126" s="155">
        <f t="shared" si="57"/>
        <v>0</v>
      </c>
      <c r="I126" s="156">
        <f t="shared" si="58"/>
        <v>0</v>
      </c>
      <c r="J126" s="14"/>
      <c r="K126" s="15"/>
      <c r="L126" s="32"/>
      <c r="M126" s="67" t="str">
        <f>'Description Sheet'!K125</f>
        <v>No</v>
      </c>
      <c r="N126" s="67">
        <f>'Description Sheet'!L125</f>
        <v>0</v>
      </c>
      <c r="O126" s="73">
        <f>'Year (2025-2026)'!O126*(('Description Sheet'!M4)+1)</f>
        <v>0</v>
      </c>
      <c r="P126" s="68">
        <f t="shared" si="59"/>
        <v>0</v>
      </c>
      <c r="Q126" s="14"/>
      <c r="R126" s="44"/>
    </row>
    <row r="127" spans="1:18" ht="17" hidden="1" thickBot="1">
      <c r="A127" s="14"/>
      <c r="B127" s="109"/>
      <c r="C127" s="164"/>
      <c r="D127" s="107"/>
      <c r="E127" s="162"/>
      <c r="F127" s="154"/>
      <c r="G127" s="154"/>
      <c r="H127" s="155"/>
      <c r="I127" s="155"/>
      <c r="J127" s="14"/>
      <c r="K127" s="15"/>
      <c r="L127" s="32"/>
      <c r="M127" s="67"/>
      <c r="N127" s="67"/>
      <c r="O127" s="73"/>
      <c r="P127" s="68"/>
      <c r="Q127" s="14"/>
      <c r="R127" s="44"/>
    </row>
    <row r="128" spans="1:18" s="4" customFormat="1" ht="15.75" hidden="1" customHeight="1" thickBot="1">
      <c r="A128" s="14"/>
      <c r="B128" s="109"/>
      <c r="C128" s="165"/>
      <c r="D128" s="107"/>
      <c r="E128" s="159"/>
      <c r="F128" s="528" t="s">
        <v>7</v>
      </c>
      <c r="G128" s="529"/>
      <c r="H128" s="530">
        <f>SUM(I120:I127)</f>
        <v>0</v>
      </c>
      <c r="I128" s="531"/>
      <c r="J128" s="14"/>
      <c r="K128" s="15"/>
      <c r="L128" s="33"/>
      <c r="M128" s="508" t="s">
        <v>7</v>
      </c>
      <c r="N128" s="509"/>
      <c r="O128" s="510">
        <f>SUM(P120:P127)</f>
        <v>10371.986894131203</v>
      </c>
      <c r="P128" s="511"/>
      <c r="Q128" s="14"/>
      <c r="R128" s="31"/>
    </row>
    <row r="129" spans="1:23" ht="17" thickBot="1">
      <c r="A129" s="14"/>
      <c r="B129" s="109">
        <f>'Description Sheet'!B128</f>
        <v>11</v>
      </c>
      <c r="C129" s="113" t="str">
        <f>'Description Sheet'!C128</f>
        <v>Security Systems and Facilities</v>
      </c>
      <c r="D129" s="107"/>
      <c r="E129" s="110"/>
      <c r="F129" s="110"/>
      <c r="G129" s="110"/>
      <c r="H129" s="110"/>
      <c r="I129" s="151"/>
      <c r="J129" s="32"/>
      <c r="K129" s="40"/>
      <c r="L129" s="33"/>
      <c r="M129" s="24"/>
      <c r="N129" s="25"/>
      <c r="O129" s="25"/>
      <c r="P129" s="63"/>
      <c r="Q129" s="14"/>
      <c r="R129" s="44"/>
    </row>
    <row r="130" spans="1:23" ht="17">
      <c r="A130" s="14"/>
      <c r="B130" s="109">
        <f>'Description Sheet'!B129</f>
        <v>11.1</v>
      </c>
      <c r="C130" s="164" t="str">
        <f>'Description Sheet'!C129</f>
        <v>Security Equipment (Replacement/Upgrade Savings)</v>
      </c>
      <c r="D130" s="107"/>
      <c r="E130" s="153" t="str">
        <f>IF('Maintenance Schedule'!P162="x","x","")</f>
        <v>x</v>
      </c>
      <c r="F130" s="153" t="str">
        <f>IF(E130="x","No","")</f>
        <v>No</v>
      </c>
      <c r="G130" s="154">
        <f>IF(E130="x",1,0)</f>
        <v>1</v>
      </c>
      <c r="H130" s="155">
        <f t="shared" ref="H130:H133" si="60">IF(E130="x",P130,0)</f>
        <v>9550.6324992000045</v>
      </c>
      <c r="I130" s="156">
        <f>IF(E130="x",G130*H130,0)</f>
        <v>9550.6324992000045</v>
      </c>
      <c r="J130" s="14"/>
      <c r="K130" s="15"/>
      <c r="L130" s="32"/>
      <c r="M130" s="67" t="str">
        <f>'Description Sheet'!K129</f>
        <v>No</v>
      </c>
      <c r="N130" s="67">
        <f>'Description Sheet'!L129</f>
        <v>1</v>
      </c>
      <c r="O130" s="73">
        <f>'Year (2025-2026)'!O130*(('Description Sheet'!M4)+1)</f>
        <v>9550.6324992000045</v>
      </c>
      <c r="P130" s="68">
        <f>N130*O130</f>
        <v>9550.6324992000045</v>
      </c>
      <c r="Q130" s="14"/>
      <c r="R130" s="44"/>
    </row>
    <row r="131" spans="1:23" ht="17" hidden="1">
      <c r="A131" s="14"/>
      <c r="B131" s="109">
        <f>'Description Sheet'!B130</f>
        <v>11.2</v>
      </c>
      <c r="C131" s="164" t="str">
        <f>'Description Sheet'!C130</f>
        <v>CCTV Installation</v>
      </c>
      <c r="D131" s="107"/>
      <c r="E131" s="153" t="str">
        <f>IF('Maintenance Schedule'!P163="x","x","")</f>
        <v/>
      </c>
      <c r="F131" s="153" t="str">
        <f t="shared" ref="F131:F133" si="61">IF(E131="x","No","")</f>
        <v/>
      </c>
      <c r="G131" s="154">
        <f t="shared" ref="G131:G133" si="62">IF(E131="x",1,0)</f>
        <v>0</v>
      </c>
      <c r="H131" s="155">
        <f t="shared" si="60"/>
        <v>0</v>
      </c>
      <c r="I131" s="156">
        <f t="shared" ref="I131:I133" si="63">IF(E131="x",G131*H131,0)</f>
        <v>0</v>
      </c>
      <c r="J131" s="14"/>
      <c r="K131" s="15"/>
      <c r="L131" s="32"/>
      <c r="M131" s="67" t="str">
        <f>'Description Sheet'!K130</f>
        <v>No</v>
      </c>
      <c r="N131" s="67">
        <f>'Description Sheet'!L130</f>
        <v>1</v>
      </c>
      <c r="O131" s="73">
        <f>'Year (2025-2026)'!O131*(('Description Sheet'!M4)+1)</f>
        <v>61711.779225600018</v>
      </c>
      <c r="P131" s="68">
        <f t="shared" ref="P131:P133" si="64">N131*O131</f>
        <v>61711.779225600018</v>
      </c>
      <c r="Q131" s="14"/>
      <c r="R131" s="44"/>
    </row>
    <row r="132" spans="1:23" ht="17" hidden="1">
      <c r="A132" s="14"/>
      <c r="B132" s="109">
        <f>'Description Sheet'!B131</f>
        <v>11.3</v>
      </c>
      <c r="C132" s="164" t="str">
        <f>'Description Sheet'!C131</f>
        <v>blank</v>
      </c>
      <c r="D132" s="107"/>
      <c r="E132" s="153" t="str">
        <f>IF('Maintenance Schedule'!P164="x","x","")</f>
        <v/>
      </c>
      <c r="F132" s="153" t="str">
        <f t="shared" si="61"/>
        <v/>
      </c>
      <c r="G132" s="154">
        <f t="shared" si="62"/>
        <v>0</v>
      </c>
      <c r="H132" s="155">
        <f t="shared" si="60"/>
        <v>0</v>
      </c>
      <c r="I132" s="156">
        <f t="shared" si="63"/>
        <v>0</v>
      </c>
      <c r="J132" s="14"/>
      <c r="K132" s="15"/>
      <c r="L132" s="32"/>
      <c r="M132" s="67" t="str">
        <f>'Description Sheet'!K131</f>
        <v>No</v>
      </c>
      <c r="N132" s="67">
        <f>'Description Sheet'!L131</f>
        <v>0</v>
      </c>
      <c r="O132" s="73">
        <f>'Year (2025-2026)'!O132*(('Description Sheet'!M4)+1)</f>
        <v>0</v>
      </c>
      <c r="P132" s="68">
        <f t="shared" si="64"/>
        <v>0</v>
      </c>
      <c r="Q132" s="14"/>
      <c r="R132" s="44"/>
    </row>
    <row r="133" spans="1:23" ht="17" hidden="1">
      <c r="A133" s="14"/>
      <c r="B133" s="109">
        <f>'Description Sheet'!B132</f>
        <v>11.4</v>
      </c>
      <c r="C133" s="164" t="str">
        <f>'Description Sheet'!C132</f>
        <v>blank</v>
      </c>
      <c r="D133" s="107"/>
      <c r="E133" s="153" t="str">
        <f>IF('Maintenance Schedule'!P165="x","x","")</f>
        <v/>
      </c>
      <c r="F133" s="153" t="str">
        <f t="shared" si="61"/>
        <v/>
      </c>
      <c r="G133" s="154">
        <f t="shared" si="62"/>
        <v>0</v>
      </c>
      <c r="H133" s="155">
        <f t="shared" si="60"/>
        <v>0</v>
      </c>
      <c r="I133" s="156">
        <f t="shared" si="63"/>
        <v>0</v>
      </c>
      <c r="J133" s="14"/>
      <c r="K133" s="15"/>
      <c r="L133" s="32"/>
      <c r="M133" s="67" t="str">
        <f>'Description Sheet'!K132</f>
        <v>No</v>
      </c>
      <c r="N133" s="67">
        <f>'Description Sheet'!L132</f>
        <v>0</v>
      </c>
      <c r="O133" s="73">
        <f>'Year (2025-2026)'!O133*(('Description Sheet'!M4)+1)</f>
        <v>0</v>
      </c>
      <c r="P133" s="68">
        <f t="shared" si="64"/>
        <v>0</v>
      </c>
      <c r="Q133" s="14"/>
      <c r="R133" s="44"/>
    </row>
    <row r="134" spans="1:23" ht="17" thickBot="1">
      <c r="A134" s="14"/>
      <c r="B134" s="109"/>
      <c r="C134" s="164"/>
      <c r="D134" s="107"/>
      <c r="E134" s="162"/>
      <c r="F134" s="154"/>
      <c r="G134" s="154"/>
      <c r="H134" s="155"/>
      <c r="I134" s="155"/>
      <c r="J134" s="14"/>
      <c r="K134" s="15"/>
      <c r="L134" s="32"/>
      <c r="M134" s="67"/>
      <c r="N134" s="67"/>
      <c r="O134" s="73"/>
      <c r="P134" s="68"/>
      <c r="Q134" s="14"/>
      <c r="R134" s="44"/>
    </row>
    <row r="135" spans="1:23" s="4" customFormat="1" ht="15.75" customHeight="1" thickBot="1">
      <c r="A135" s="14"/>
      <c r="B135" s="109"/>
      <c r="C135" s="158"/>
      <c r="D135" s="107"/>
      <c r="E135" s="159"/>
      <c r="F135" s="528" t="s">
        <v>7</v>
      </c>
      <c r="G135" s="529"/>
      <c r="H135" s="530">
        <f>SUM(I130:I134)</f>
        <v>9550.6324992000045</v>
      </c>
      <c r="I135" s="531"/>
      <c r="J135" s="14"/>
      <c r="K135" s="15"/>
      <c r="L135" s="33"/>
      <c r="M135" s="508" t="s">
        <v>7</v>
      </c>
      <c r="N135" s="509"/>
      <c r="O135" s="510">
        <f>SUM(P130:P134)</f>
        <v>71262.411724800026</v>
      </c>
      <c r="P135" s="511"/>
      <c r="Q135" s="14"/>
      <c r="R135" s="31"/>
    </row>
    <row r="136" spans="1:23" ht="17" thickBot="1">
      <c r="A136" s="14"/>
      <c r="B136" s="109">
        <f>'Description Sheet'!B135</f>
        <v>12</v>
      </c>
      <c r="C136" s="113" t="str">
        <f>'Description Sheet'!C135</f>
        <v>Community and Recreational Facilities</v>
      </c>
      <c r="D136" s="107"/>
      <c r="E136" s="110"/>
      <c r="F136" s="110"/>
      <c r="G136" s="110"/>
      <c r="H136" s="110"/>
      <c r="I136" s="151"/>
      <c r="J136" s="32"/>
      <c r="K136" s="40"/>
      <c r="L136" s="33"/>
      <c r="M136" s="24"/>
      <c r="N136" s="25"/>
      <c r="O136" s="25"/>
      <c r="P136" s="63"/>
      <c r="Q136" s="14"/>
      <c r="R136" s="44"/>
    </row>
    <row r="137" spans="1:23">
      <c r="A137" s="14"/>
      <c r="B137" s="109">
        <f>'Description Sheet'!B136</f>
        <v>12.1</v>
      </c>
      <c r="C137" s="111" t="str">
        <f>'Description Sheet'!C136</f>
        <v>Fire Equipment and Signage (Replace)</v>
      </c>
      <c r="D137" s="107"/>
      <c r="E137" s="153" t="str">
        <f>IF('Maintenance Schedule'!P172="x","x","")</f>
        <v>x</v>
      </c>
      <c r="F137" s="153" t="str">
        <f>IF(E137="x","No","")</f>
        <v>No</v>
      </c>
      <c r="G137" s="154">
        <f>IF(E137="x",1,0)</f>
        <v>1</v>
      </c>
      <c r="H137" s="155">
        <f>IF(E137="x",P137,0)</f>
        <v>4407.9842304000013</v>
      </c>
      <c r="I137" s="156">
        <f>IF(E137="x",G137*H137,0)</f>
        <v>4407.9842304000013</v>
      </c>
      <c r="J137" s="14"/>
      <c r="K137" s="15"/>
      <c r="L137" s="32"/>
      <c r="M137" s="67" t="str">
        <f>'Description Sheet'!K136</f>
        <v>No</v>
      </c>
      <c r="N137" s="67">
        <f>'Description Sheet'!L136</f>
        <v>1</v>
      </c>
      <c r="O137" s="73">
        <f>'Year (2025-2026)'!O137*(('Description Sheet'!M4)+1)</f>
        <v>4407.9842304000013</v>
      </c>
      <c r="P137" s="68">
        <f>N137*O137</f>
        <v>4407.9842304000013</v>
      </c>
      <c r="Q137" s="14"/>
      <c r="R137" s="44"/>
      <c r="W137" s="1"/>
    </row>
    <row r="138" spans="1:23" hidden="1">
      <c r="A138" s="14"/>
      <c r="B138" s="109">
        <f>'Description Sheet'!B137</f>
        <v>12.2</v>
      </c>
      <c r="C138" s="111" t="str">
        <f>'Description Sheet'!C137</f>
        <v>Communal Areas (Pool, Gym Areas, ablutions etc Upgrade/Replacment of Fixtures &amp; Equipment)</v>
      </c>
      <c r="D138" s="107"/>
      <c r="E138" s="153" t="str">
        <f>IF('Maintenance Schedule'!P173="x","x","")</f>
        <v/>
      </c>
      <c r="F138" s="153" t="str">
        <f t="shared" ref="F138:F144" si="65">IF(E138="x","No","")</f>
        <v/>
      </c>
      <c r="G138" s="154">
        <f t="shared" ref="G138:G144" si="66">IF(E138="x",1,0)</f>
        <v>0</v>
      </c>
      <c r="H138" s="155">
        <f>IF(E138="x",P138,0)</f>
        <v>0</v>
      </c>
      <c r="I138" s="156">
        <f>IF(E138="x",G138*H138,0)</f>
        <v>0</v>
      </c>
      <c r="J138" s="14"/>
      <c r="K138" s="15"/>
      <c r="L138" s="32"/>
      <c r="M138" s="67" t="str">
        <f>'Description Sheet'!K137</f>
        <v>No</v>
      </c>
      <c r="N138" s="67">
        <f>'Description Sheet'!L137</f>
        <v>0</v>
      </c>
      <c r="O138" s="73">
        <f>'Year (2025-2026)'!O138*(('Description Sheet'!M4)+1)</f>
        <v>11237.421131366402</v>
      </c>
      <c r="P138" s="68">
        <f>N138*O138</f>
        <v>0</v>
      </c>
      <c r="Q138" s="14"/>
      <c r="R138" s="44"/>
    </row>
    <row r="139" spans="1:23" hidden="1">
      <c r="A139" s="14"/>
      <c r="B139" s="109">
        <f>'Description Sheet'!B138</f>
        <v>12.3</v>
      </c>
      <c r="C139" s="111" t="str">
        <f>'Description Sheet'!C138</f>
        <v>Laundry Room (Maintain/Replace)</v>
      </c>
      <c r="D139" s="107"/>
      <c r="E139" s="153" t="str">
        <f>IF('Maintenance Schedule'!P174="x","x","")</f>
        <v/>
      </c>
      <c r="F139" s="153" t="str">
        <f t="shared" si="65"/>
        <v/>
      </c>
      <c r="G139" s="154">
        <f t="shared" si="66"/>
        <v>0</v>
      </c>
      <c r="H139" s="155">
        <f>IF(E139="x",P139,0)</f>
        <v>0</v>
      </c>
      <c r="I139" s="156">
        <f>IF(E139="x",G139*H139,0)</f>
        <v>0</v>
      </c>
      <c r="J139" s="14"/>
      <c r="K139" s="15"/>
      <c r="L139" s="32"/>
      <c r="M139" s="67" t="str">
        <f>'Description Sheet'!K138</f>
        <v>lm</v>
      </c>
      <c r="N139" s="67">
        <f>'Description Sheet'!L138</f>
        <v>0</v>
      </c>
      <c r="O139" s="73">
        <f>'Year (2025-2026)'!O139*(('Description Sheet'!M4)+1)</f>
        <v>4321.2938738688017</v>
      </c>
      <c r="P139" s="68">
        <f>N139*O139</f>
        <v>0</v>
      </c>
      <c r="Q139" s="14"/>
      <c r="R139" s="44"/>
    </row>
    <row r="140" spans="1:23" hidden="1">
      <c r="A140" s="14"/>
      <c r="B140" s="109">
        <f>'Description Sheet'!B139</f>
        <v>12.4</v>
      </c>
      <c r="C140" s="111" t="str">
        <f>'Description Sheet'!C139</f>
        <v>Bin Room</v>
      </c>
      <c r="D140" s="107"/>
      <c r="E140" s="153" t="str">
        <f>IF('Maintenance Schedule'!P175="x","x","")</f>
        <v/>
      </c>
      <c r="F140" s="153" t="str">
        <f t="shared" si="65"/>
        <v/>
      </c>
      <c r="G140" s="154">
        <f t="shared" si="66"/>
        <v>0</v>
      </c>
      <c r="H140" s="155">
        <f>IF(E140="x",P140,0)</f>
        <v>0</v>
      </c>
      <c r="I140" s="156">
        <f>IF(E140="x",G140*H140,0)</f>
        <v>0</v>
      </c>
      <c r="J140" s="14"/>
      <c r="K140" s="15"/>
      <c r="L140" s="32"/>
      <c r="M140" s="67" t="str">
        <f>'Description Sheet'!K139</f>
        <v>No</v>
      </c>
      <c r="N140" s="67">
        <f>'Description Sheet'!L139</f>
        <v>0</v>
      </c>
      <c r="O140" s="73">
        <f>'Year (2025-2026)'!O140*(('Description Sheet'!M4)+1)</f>
        <v>5554.0601303040012</v>
      </c>
      <c r="P140" s="68">
        <f>N140*O140</f>
        <v>0</v>
      </c>
      <c r="Q140" s="14"/>
      <c r="R140" s="44"/>
    </row>
    <row r="141" spans="1:23" hidden="1">
      <c r="A141" s="14"/>
      <c r="B141" s="109">
        <f>'Description Sheet'!B140</f>
        <v>12.5</v>
      </c>
      <c r="C141" s="111" t="str">
        <f>'Description Sheet'!C140</f>
        <v>Pool Area (Re-Surfacing)</v>
      </c>
      <c r="D141" s="107"/>
      <c r="E141" s="153" t="str">
        <f>IF('Maintenance Schedule'!P176="x","x","")</f>
        <v/>
      </c>
      <c r="F141" s="153" t="str">
        <f t="shared" si="65"/>
        <v/>
      </c>
      <c r="G141" s="154">
        <f t="shared" si="66"/>
        <v>0</v>
      </c>
      <c r="H141" s="155">
        <f>IF(E141="x",P141,0)</f>
        <v>0</v>
      </c>
      <c r="I141" s="156">
        <f>IF(E141="x",G141*H141,0)</f>
        <v>0</v>
      </c>
      <c r="J141" s="14"/>
      <c r="K141" s="15"/>
      <c r="L141" s="32"/>
      <c r="M141" s="67" t="str">
        <f>'Description Sheet'!K140</f>
        <v>No</v>
      </c>
      <c r="N141" s="67">
        <f>'Description Sheet'!L140</f>
        <v>0</v>
      </c>
      <c r="O141" s="73">
        <f>'Year (2025-2026)'!O141*(('Description Sheet'!M4)+1)</f>
        <v>24802.257936384009</v>
      </c>
      <c r="P141" s="68">
        <f>N141*O141</f>
        <v>0</v>
      </c>
      <c r="Q141" s="14"/>
      <c r="R141" s="44"/>
    </row>
    <row r="142" spans="1:23" hidden="1">
      <c r="A142" s="14"/>
      <c r="B142" s="109">
        <f>'Description Sheet'!B141</f>
        <v>12.6</v>
      </c>
      <c r="C142" s="111" t="str">
        <f>'Description Sheet'!C141</f>
        <v>Pool Area (Maintenance/Repairs Savings)</v>
      </c>
      <c r="D142" s="107"/>
      <c r="E142" s="153" t="str">
        <f>IF('Maintenance Schedule'!P177="x","x","")</f>
        <v/>
      </c>
      <c r="F142" s="153" t="str">
        <f t="shared" si="65"/>
        <v/>
      </c>
      <c r="G142" s="154">
        <f t="shared" si="66"/>
        <v>0</v>
      </c>
      <c r="H142" s="155">
        <f t="shared" ref="H142:H144" si="67">IF(E142="x",P142,0)</f>
        <v>0</v>
      </c>
      <c r="I142" s="156">
        <f t="shared" ref="I142:I144" si="68">IF(E142="x",G142*H142,0)</f>
        <v>0</v>
      </c>
      <c r="J142" s="14"/>
      <c r="K142" s="15"/>
      <c r="L142" s="32"/>
      <c r="M142" s="67" t="str">
        <f>'Description Sheet'!K141</f>
        <v>No</v>
      </c>
      <c r="N142" s="67">
        <f>'Description Sheet'!L141</f>
        <v>0</v>
      </c>
      <c r="O142" s="73">
        <f>'Year (2025-2026)'!O142*(('Description Sheet'!M4)+1)</f>
        <v>5407.1273226240019</v>
      </c>
      <c r="P142" s="68">
        <f t="shared" ref="P142:P144" si="69">N142*O142</f>
        <v>0</v>
      </c>
      <c r="Q142" s="14"/>
      <c r="R142" s="44"/>
    </row>
    <row r="143" spans="1:23" hidden="1">
      <c r="A143" s="14"/>
      <c r="B143" s="109">
        <f>'Description Sheet'!B142</f>
        <v>12.7</v>
      </c>
      <c r="C143" s="111" t="str">
        <f>'Description Sheet'!C142</f>
        <v>blank</v>
      </c>
      <c r="D143" s="107"/>
      <c r="E143" s="153" t="str">
        <f>IF('Maintenance Schedule'!P178="x","x","")</f>
        <v/>
      </c>
      <c r="F143" s="153" t="str">
        <f t="shared" si="65"/>
        <v/>
      </c>
      <c r="G143" s="154">
        <f t="shared" si="66"/>
        <v>0</v>
      </c>
      <c r="H143" s="155">
        <f t="shared" si="67"/>
        <v>0</v>
      </c>
      <c r="I143" s="156">
        <f t="shared" si="68"/>
        <v>0</v>
      </c>
      <c r="J143" s="14"/>
      <c r="K143" s="15"/>
      <c r="L143" s="32"/>
      <c r="M143" s="67" t="str">
        <f>'Description Sheet'!K142</f>
        <v>No</v>
      </c>
      <c r="N143" s="67">
        <f>'Description Sheet'!L142</f>
        <v>0</v>
      </c>
      <c r="O143" s="73">
        <f>'Year (2025-2026)'!O143*(('Description Sheet'!M4)+1)</f>
        <v>0</v>
      </c>
      <c r="P143" s="68">
        <f t="shared" si="69"/>
        <v>0</v>
      </c>
      <c r="Q143" s="14"/>
      <c r="R143" s="44"/>
    </row>
    <row r="144" spans="1:23" hidden="1">
      <c r="A144" s="14"/>
      <c r="B144" s="109">
        <f>'Description Sheet'!B143</f>
        <v>12.8</v>
      </c>
      <c r="C144" s="111" t="str">
        <f>'Description Sheet'!C143</f>
        <v>blank</v>
      </c>
      <c r="D144" s="107"/>
      <c r="E144" s="153" t="str">
        <f>IF('Maintenance Schedule'!P179="x","x","")</f>
        <v/>
      </c>
      <c r="F144" s="153" t="str">
        <f t="shared" si="65"/>
        <v/>
      </c>
      <c r="G144" s="154">
        <f t="shared" si="66"/>
        <v>0</v>
      </c>
      <c r="H144" s="155">
        <f t="shared" si="67"/>
        <v>0</v>
      </c>
      <c r="I144" s="156">
        <f t="shared" si="68"/>
        <v>0</v>
      </c>
      <c r="J144" s="14"/>
      <c r="K144" s="15"/>
      <c r="L144" s="32"/>
      <c r="M144" s="67" t="str">
        <f>'Description Sheet'!K143</f>
        <v>No</v>
      </c>
      <c r="N144" s="67">
        <f>'Description Sheet'!L143</f>
        <v>0</v>
      </c>
      <c r="O144" s="73">
        <f>'Year (2025-2026)'!O144*(('Description Sheet'!M4)+1)</f>
        <v>0</v>
      </c>
      <c r="P144" s="68">
        <f t="shared" si="69"/>
        <v>0</v>
      </c>
      <c r="Q144" s="14"/>
      <c r="R144" s="44"/>
    </row>
    <row r="145" spans="1:72" ht="17" thickBot="1">
      <c r="A145" s="14"/>
      <c r="B145" s="105"/>
      <c r="C145" s="111"/>
      <c r="D145" s="107"/>
      <c r="E145" s="153"/>
      <c r="F145" s="153" t="str">
        <f>IF(E145="x",M145,"")</f>
        <v/>
      </c>
      <c r="G145" s="154"/>
      <c r="H145" s="155"/>
      <c r="I145" s="166"/>
      <c r="J145" s="14"/>
      <c r="K145" s="15"/>
      <c r="L145" s="32"/>
      <c r="M145" s="67"/>
      <c r="N145" s="78"/>
      <c r="O145" s="77"/>
      <c r="P145" s="79"/>
      <c r="Q145" s="14"/>
      <c r="R145" s="44"/>
    </row>
    <row r="146" spans="1:72" s="4" customFormat="1" ht="15.75" customHeight="1" thickBot="1">
      <c r="A146" s="14"/>
      <c r="B146" s="105"/>
      <c r="C146" s="115"/>
      <c r="D146" s="107"/>
      <c r="E146" s="163"/>
      <c r="F146" s="528" t="s">
        <v>7</v>
      </c>
      <c r="G146" s="529"/>
      <c r="H146" s="530">
        <f>SUM(I137:I144)</f>
        <v>4407.9842304000013</v>
      </c>
      <c r="I146" s="531"/>
      <c r="J146" s="14"/>
      <c r="K146" s="15"/>
      <c r="L146" s="33"/>
      <c r="M146" s="508" t="s">
        <v>7</v>
      </c>
      <c r="N146" s="509"/>
      <c r="O146" s="510">
        <f>SUM(P137:P144)</f>
        <v>4407.9842304000013</v>
      </c>
      <c r="P146" s="511"/>
      <c r="Q146" s="14"/>
      <c r="R146" s="31"/>
    </row>
    <row r="147" spans="1:72" ht="7.5" customHeight="1" thickBot="1">
      <c r="A147" s="14" t="s">
        <v>57</v>
      </c>
      <c r="B147" s="105"/>
      <c r="C147" s="196"/>
      <c r="D147" s="197"/>
      <c r="E147" s="197"/>
      <c r="F147" s="197"/>
      <c r="G147" s="197"/>
      <c r="H147" s="197"/>
      <c r="I147" s="197"/>
      <c r="J147" s="197"/>
      <c r="K147" s="198"/>
      <c r="L147" s="199"/>
      <c r="M147" s="199"/>
      <c r="N147" s="199"/>
      <c r="O147" s="197"/>
      <c r="P147" s="200"/>
      <c r="Q147" s="14"/>
      <c r="R147" s="44"/>
    </row>
    <row r="148" spans="1:72" ht="17" thickBot="1">
      <c r="A148" s="14" t="s">
        <v>57</v>
      </c>
      <c r="B148" s="116"/>
      <c r="C148" s="167" t="s">
        <v>9</v>
      </c>
      <c r="D148" s="168"/>
      <c r="E148" s="553" t="s">
        <v>7</v>
      </c>
      <c r="F148" s="554"/>
      <c r="G148" s="555"/>
      <c r="H148" s="530">
        <f>H16+H26+H34+H41+H48+H68+H93+H111+H118+H128+H135++H146+H104</f>
        <v>162983.74759096323</v>
      </c>
      <c r="I148" s="531"/>
      <c r="J148" s="14"/>
      <c r="K148" s="35"/>
      <c r="L148" s="34"/>
      <c r="M148" s="87"/>
      <c r="N148" s="87"/>
      <c r="O148" s="87"/>
      <c r="P148" s="88"/>
      <c r="Q148" s="14"/>
      <c r="R148" s="44"/>
    </row>
    <row r="149" spans="1:72" ht="17.25" customHeight="1">
      <c r="A149" s="14"/>
      <c r="B149" s="478" t="str">
        <f>'Description Sheet'!B148</f>
        <v>Please Note: The above figures are estimates only based on our experience, measures taken and current rates.  An 8% escalation has been allowed for per anum .  This pricing includes 15% VAT.  Some rates have furthermore been adjusted to try and accommodate P&amp;G's.  An allowance for THC to undertake an annual inspection in order to update the maintenance plan and budget should be allowed for.</v>
      </c>
      <c r="C149" s="479"/>
      <c r="D149" s="479"/>
      <c r="E149" s="479"/>
      <c r="F149" s="479"/>
      <c r="G149" s="479"/>
      <c r="H149" s="479"/>
      <c r="I149" s="480"/>
      <c r="J149" s="14"/>
      <c r="K149" s="40"/>
      <c r="L149" s="14"/>
      <c r="M149" s="89"/>
      <c r="N149" s="89"/>
      <c r="O149" s="89"/>
      <c r="P149" s="89"/>
      <c r="Q149" s="14"/>
      <c r="R149" s="89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</row>
    <row r="150" spans="1:72">
      <c r="A150" s="14"/>
      <c r="B150" s="534"/>
      <c r="C150" s="535"/>
      <c r="D150" s="535"/>
      <c r="E150" s="535"/>
      <c r="F150" s="535"/>
      <c r="G150" s="535"/>
      <c r="H150" s="535"/>
      <c r="I150" s="536"/>
      <c r="J150" s="14"/>
      <c r="K150" s="40"/>
      <c r="L150" s="14"/>
      <c r="M150" s="89"/>
      <c r="N150" s="89"/>
      <c r="O150" s="89"/>
      <c r="P150" s="89"/>
      <c r="Q150" s="14"/>
      <c r="R150" s="89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</row>
    <row r="151" spans="1:72" ht="25.5" customHeight="1">
      <c r="A151" s="14"/>
      <c r="B151" s="534"/>
      <c r="C151" s="535"/>
      <c r="D151" s="535"/>
      <c r="E151" s="535"/>
      <c r="F151" s="535"/>
      <c r="G151" s="535"/>
      <c r="H151" s="535"/>
      <c r="I151" s="536"/>
      <c r="J151" s="14"/>
      <c r="K151" s="31"/>
      <c r="L151" s="14"/>
      <c r="M151" s="44"/>
      <c r="N151" s="44"/>
      <c r="O151" s="44"/>
      <c r="P151" s="44"/>
      <c r="Q151" s="14"/>
      <c r="R151" s="44"/>
    </row>
    <row r="152" spans="1:72">
      <c r="A152" s="44"/>
      <c r="B152" s="172"/>
      <c r="C152" s="117"/>
      <c r="D152" s="117"/>
      <c r="E152" s="139"/>
      <c r="F152" s="117"/>
      <c r="G152" s="117"/>
      <c r="H152" s="117"/>
      <c r="I152" s="117"/>
      <c r="J152" s="44"/>
      <c r="K152" s="31"/>
      <c r="L152" s="44"/>
      <c r="M152" s="44"/>
      <c r="N152" s="44"/>
      <c r="O152" s="44"/>
      <c r="P152" s="44"/>
      <c r="Q152" s="44"/>
      <c r="R152" s="44"/>
    </row>
  </sheetData>
  <sheetProtection algorithmName="SHA-512" hashValue="J4yPS/BR1sINTy4C8HWvu4gW+T2fWsYgkHZO35NYoMlHvcwIUOVltU/40kLiLfO7cwbUGplnIy6L6b8qMF8MHg==" saltValue="hE2tMvKZqqFnh0G43F8wxw==" spinCount="100000" sheet="1" objects="1" scenarios="1"/>
  <mergeCells count="60">
    <mergeCell ref="F26:G26"/>
    <mergeCell ref="H26:I26"/>
    <mergeCell ref="B2:F3"/>
    <mergeCell ref="B4:I4"/>
    <mergeCell ref="E5:I5"/>
    <mergeCell ref="F16:G16"/>
    <mergeCell ref="H16:I16"/>
    <mergeCell ref="M26:N26"/>
    <mergeCell ref="O26:P26"/>
    <mergeCell ref="M2:P3"/>
    <mergeCell ref="M7:P7"/>
    <mergeCell ref="M16:N16"/>
    <mergeCell ref="O16:P16"/>
    <mergeCell ref="F104:G104"/>
    <mergeCell ref="H104:I104"/>
    <mergeCell ref="M104:N104"/>
    <mergeCell ref="O104:P104"/>
    <mergeCell ref="F93:G93"/>
    <mergeCell ref="H93:I93"/>
    <mergeCell ref="M93:N93"/>
    <mergeCell ref="O93:P93"/>
    <mergeCell ref="F34:G34"/>
    <mergeCell ref="H34:I34"/>
    <mergeCell ref="M34:N34"/>
    <mergeCell ref="O34:P34"/>
    <mergeCell ref="F41:G41"/>
    <mergeCell ref="H41:I41"/>
    <mergeCell ref="M41:N41"/>
    <mergeCell ref="O41:P41"/>
    <mergeCell ref="F48:G48"/>
    <mergeCell ref="H48:I48"/>
    <mergeCell ref="M48:N48"/>
    <mergeCell ref="O48:P48"/>
    <mergeCell ref="F68:G68"/>
    <mergeCell ref="H68:I68"/>
    <mergeCell ref="M68:N68"/>
    <mergeCell ref="O68:P68"/>
    <mergeCell ref="F111:G111"/>
    <mergeCell ref="H111:I111"/>
    <mergeCell ref="M111:N111"/>
    <mergeCell ref="O111:P111"/>
    <mergeCell ref="F118:G118"/>
    <mergeCell ref="H118:I118"/>
    <mergeCell ref="M118:N118"/>
    <mergeCell ref="O118:P118"/>
    <mergeCell ref="M146:N146"/>
    <mergeCell ref="O146:P146"/>
    <mergeCell ref="F128:G128"/>
    <mergeCell ref="H128:I128"/>
    <mergeCell ref="M128:N128"/>
    <mergeCell ref="O128:P128"/>
    <mergeCell ref="F135:G135"/>
    <mergeCell ref="H135:I135"/>
    <mergeCell ref="M135:N135"/>
    <mergeCell ref="O135:P135"/>
    <mergeCell ref="E148:G148"/>
    <mergeCell ref="H148:I148"/>
    <mergeCell ref="B149:I151"/>
    <mergeCell ref="F146:G146"/>
    <mergeCell ref="H146:I146"/>
  </mergeCells>
  <conditionalFormatting sqref="E18:E24 E9:E15">
    <cfRule type="expression" priority="1">
      <formula>$H$9:$H$10&gt;x</formula>
    </cfRule>
    <cfRule type="expression" priority="2">
      <formula>$H$9&lt;x</formula>
    </cfRule>
  </conditionalFormatting>
  <pageMargins left="0.70866141732283472" right="0.70866141732283472" top="0.74803149606299213" bottom="0.74803149606299213" header="0.31496062992125984" footer="0.31496062992125984"/>
  <pageSetup scale="69" orientation="portrait" horizontalDpi="4294967293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pageSetUpPr fitToPage="1"/>
  </sheetPr>
  <dimension ref="A1:BT152"/>
  <sheetViews>
    <sheetView view="pageBreakPreview" zoomScale="70" zoomScaleNormal="70" zoomScaleSheetLayoutView="70" workbookViewId="0">
      <pane xSplit="16" ySplit="6" topLeftCell="Q7" activePane="bottomRight" state="frozen"/>
      <selection pane="topRight"/>
      <selection pane="bottomLeft"/>
      <selection pane="bottomRight" activeCell="E1" sqref="E1:E1048576"/>
    </sheetView>
  </sheetViews>
  <sheetFormatPr baseColWidth="10" defaultColWidth="8.83203125" defaultRowHeight="16"/>
  <cols>
    <col min="1" max="1" width="2.33203125" customWidth="1"/>
    <col min="2" max="2" width="6.5" style="173" hidden="1" customWidth="1"/>
    <col min="3" max="3" width="62.5" style="169" customWidth="1"/>
    <col min="4" max="4" width="1.5" style="169" customWidth="1"/>
    <col min="5" max="5" width="12.83203125" style="170" hidden="1" customWidth="1"/>
    <col min="6" max="6" width="6.5" style="169" customWidth="1"/>
    <col min="7" max="7" width="11.33203125" style="169" customWidth="1"/>
    <col min="8" max="8" width="17.5" style="169" bestFit="1" customWidth="1"/>
    <col min="9" max="9" width="17.5" style="169" customWidth="1"/>
    <col min="10" max="10" width="2.33203125" customWidth="1"/>
    <col min="11" max="11" width="11" style="4" hidden="1" customWidth="1"/>
    <col min="12" max="12" width="20.1640625" hidden="1" customWidth="1"/>
    <col min="13" max="13" width="48.33203125" hidden="1" customWidth="1"/>
    <col min="14" max="14" width="13" hidden="1" customWidth="1"/>
    <col min="15" max="15" width="13.5" hidden="1" customWidth="1"/>
    <col min="16" max="16" width="15" hidden="1" customWidth="1"/>
    <col min="17" max="17" width="10" hidden="1" customWidth="1"/>
    <col min="18" max="18" width="9.1640625" customWidth="1"/>
    <col min="19" max="19" width="13.5" bestFit="1" customWidth="1"/>
  </cols>
  <sheetData>
    <row r="1" spans="1:18" ht="17" thickBot="1">
      <c r="A1" s="30"/>
      <c r="B1" s="171"/>
      <c r="C1" s="117"/>
      <c r="D1" s="118"/>
      <c r="E1" s="139"/>
      <c r="F1" s="117"/>
      <c r="G1" s="117"/>
      <c r="H1" s="117"/>
      <c r="I1" s="117"/>
      <c r="J1" s="30"/>
      <c r="K1" s="41"/>
      <c r="L1" s="30"/>
      <c r="M1" s="30"/>
      <c r="N1" s="44"/>
      <c r="O1" s="44"/>
      <c r="P1" s="44"/>
      <c r="Q1" s="30"/>
      <c r="R1" s="44"/>
    </row>
    <row r="2" spans="1:18" ht="15" customHeight="1">
      <c r="A2" s="34"/>
      <c r="B2" s="543" t="str">
        <f>'Maintenance Schedule'!D1</f>
        <v>KNIGHTSBRIDGE - DESK REVIEW MAINTENANCE SCHEDULE (2021)</v>
      </c>
      <c r="C2" s="544"/>
      <c r="D2" s="544"/>
      <c r="E2" s="544"/>
      <c r="F2" s="545"/>
      <c r="G2" s="140"/>
      <c r="H2" s="140"/>
      <c r="I2" s="140"/>
      <c r="J2" s="14"/>
      <c r="K2" s="15"/>
      <c r="L2" s="33"/>
      <c r="M2" s="537" t="s">
        <v>22</v>
      </c>
      <c r="N2" s="538"/>
      <c r="O2" s="538"/>
      <c r="P2" s="539"/>
      <c r="Q2" s="34"/>
      <c r="R2" s="44"/>
    </row>
    <row r="3" spans="1:18" ht="37.5" customHeight="1" thickBot="1">
      <c r="A3" s="38"/>
      <c r="B3" s="546"/>
      <c r="C3" s="547"/>
      <c r="D3" s="547"/>
      <c r="E3" s="547"/>
      <c r="F3" s="548"/>
      <c r="G3" s="141"/>
      <c r="H3" s="141"/>
      <c r="I3" s="141"/>
      <c r="J3" s="14"/>
      <c r="K3" s="15"/>
      <c r="L3" s="33"/>
      <c r="M3" s="540"/>
      <c r="N3" s="541"/>
      <c r="O3" s="541"/>
      <c r="P3" s="542"/>
      <c r="Q3" s="14"/>
      <c r="R3" s="44"/>
    </row>
    <row r="4" spans="1:18" ht="32.25" customHeight="1" thickBot="1">
      <c r="A4" s="14"/>
      <c r="B4" s="460" t="s">
        <v>1</v>
      </c>
      <c r="C4" s="461"/>
      <c r="D4" s="461"/>
      <c r="E4" s="461"/>
      <c r="F4" s="461"/>
      <c r="G4" s="461"/>
      <c r="H4" s="461"/>
      <c r="I4" s="549"/>
      <c r="J4" s="14"/>
      <c r="K4" s="40"/>
      <c r="L4" s="33"/>
      <c r="M4" s="51" t="s">
        <v>26</v>
      </c>
      <c r="N4" s="51"/>
      <c r="O4" s="51"/>
      <c r="P4" s="52"/>
      <c r="Q4" s="14"/>
      <c r="R4" s="44"/>
    </row>
    <row r="5" spans="1:18" ht="19" thickBot="1">
      <c r="A5" s="14"/>
      <c r="B5" s="105"/>
      <c r="C5" s="106" t="str">
        <f>'Maintenance Schedule'!E4</f>
        <v>WORK DUE IN FINANCIAL YEAR</v>
      </c>
      <c r="D5" s="107"/>
      <c r="E5" s="550" t="str">
        <f>'Maintenance Schedule'!R4</f>
        <v>2027/2028</v>
      </c>
      <c r="F5" s="551"/>
      <c r="G5" s="551"/>
      <c r="H5" s="551"/>
      <c r="I5" s="552"/>
      <c r="J5" s="14"/>
      <c r="K5" s="40"/>
      <c r="L5" s="33"/>
      <c r="M5" s="53"/>
      <c r="N5" s="53"/>
      <c r="O5" s="53"/>
      <c r="P5" s="54"/>
      <c r="Q5" s="14"/>
      <c r="R5" s="44"/>
    </row>
    <row r="6" spans="1:18" ht="18" thickBot="1">
      <c r="A6" s="14"/>
      <c r="B6" s="108" t="s">
        <v>19</v>
      </c>
      <c r="C6" s="142" t="s">
        <v>0</v>
      </c>
      <c r="D6" s="107"/>
      <c r="E6" s="143" t="s">
        <v>23</v>
      </c>
      <c r="F6" s="144" t="s">
        <v>2</v>
      </c>
      <c r="G6" s="145" t="s">
        <v>3</v>
      </c>
      <c r="H6" s="144" t="s">
        <v>4</v>
      </c>
      <c r="I6" s="144" t="s">
        <v>5</v>
      </c>
      <c r="J6" s="32"/>
      <c r="K6" s="40"/>
      <c r="L6" s="33"/>
      <c r="M6" s="59" t="s">
        <v>2</v>
      </c>
      <c r="N6" s="59" t="s">
        <v>3</v>
      </c>
      <c r="O6" s="59" t="s">
        <v>4</v>
      </c>
      <c r="P6" s="59" t="s">
        <v>5</v>
      </c>
      <c r="Q6" s="14"/>
      <c r="R6" s="44"/>
    </row>
    <row r="7" spans="1:18" ht="8.25" hidden="1" customHeight="1" thickBot="1">
      <c r="A7" s="14"/>
      <c r="B7" s="109"/>
      <c r="C7" s="146"/>
      <c r="D7" s="147"/>
      <c r="E7" s="148"/>
      <c r="F7" s="148"/>
      <c r="G7" s="148"/>
      <c r="H7" s="148"/>
      <c r="I7" s="149"/>
      <c r="J7" s="60"/>
      <c r="K7" s="84"/>
      <c r="L7" s="60"/>
      <c r="M7" s="505"/>
      <c r="N7" s="506"/>
      <c r="O7" s="506"/>
      <c r="P7" s="507"/>
      <c r="Q7" s="14"/>
      <c r="R7" s="44"/>
    </row>
    <row r="8" spans="1:18" ht="17" thickBot="1">
      <c r="A8" s="14"/>
      <c r="B8" s="108">
        <f>'Description Sheet'!B7</f>
        <v>1</v>
      </c>
      <c r="C8" s="150" t="str">
        <f>'Description Sheet'!C7</f>
        <v>Electrical Areas</v>
      </c>
      <c r="D8" s="107"/>
      <c r="E8" s="110"/>
      <c r="F8" s="110"/>
      <c r="G8" s="110"/>
      <c r="H8" s="110"/>
      <c r="I8" s="151"/>
      <c r="J8" s="32"/>
      <c r="K8" s="40"/>
      <c r="L8" s="33"/>
      <c r="M8" s="24"/>
      <c r="N8" s="25"/>
      <c r="O8" s="25"/>
      <c r="P8" s="63"/>
      <c r="Q8" s="14"/>
      <c r="R8" s="44"/>
    </row>
    <row r="9" spans="1:18">
      <c r="A9" s="14"/>
      <c r="B9" s="109">
        <f>'Description Sheet'!B8</f>
        <v>1.1000000000000001</v>
      </c>
      <c r="C9" s="152" t="str">
        <f>'Description Sheet'!C8</f>
        <v>General Electrics and Lighting (Replacement/Repairs)</v>
      </c>
      <c r="D9" s="107"/>
      <c r="E9" s="153" t="str">
        <f>IF('Maintenance Schedule'!R8="x","x","")</f>
        <v>x</v>
      </c>
      <c r="F9" s="153" t="str">
        <f>IF(E9="x","No","")</f>
        <v>No</v>
      </c>
      <c r="G9" s="154">
        <f>IF(E9="x",1,0)</f>
        <v>1</v>
      </c>
      <c r="H9" s="155">
        <f>IF(E9="x",P9,0)</f>
        <v>7140.9344532480018</v>
      </c>
      <c r="I9" s="156">
        <f>IF(E9="x",G9*H9,0)</f>
        <v>7140.9344532480018</v>
      </c>
      <c r="J9" s="14"/>
      <c r="K9" s="85"/>
      <c r="L9" s="32"/>
      <c r="M9" s="66" t="str">
        <f>'Description Sheet'!K8</f>
        <v>No</v>
      </c>
      <c r="N9" s="67">
        <f>'Description Sheet'!L8</f>
        <v>1</v>
      </c>
      <c r="O9" s="68">
        <f>'Year (2026-2027)'!O9*(('Description Sheet'!M4)+1)</f>
        <v>7140.9344532480018</v>
      </c>
      <c r="P9" s="69">
        <f>N9*O9</f>
        <v>7140.9344532480018</v>
      </c>
      <c r="Q9" s="14"/>
      <c r="R9" s="44"/>
    </row>
    <row r="10" spans="1:18" hidden="1">
      <c r="A10" s="14"/>
      <c r="B10" s="109">
        <f>'Description Sheet'!B9</f>
        <v>1.2</v>
      </c>
      <c r="C10" s="152" t="str">
        <f>'Description Sheet'!C9</f>
        <v>Generators (Maintenance Savings)</v>
      </c>
      <c r="D10" s="107"/>
      <c r="E10" s="153" t="str">
        <f>IF('Maintenance Schedule'!R9="x","x","")</f>
        <v/>
      </c>
      <c r="F10" s="153" t="str">
        <f t="shared" ref="F10:F14" si="0">IF(E10="x","No","")</f>
        <v/>
      </c>
      <c r="G10" s="154">
        <f t="shared" ref="G10:G14" si="1">IF(E10="x",1,0)</f>
        <v>0</v>
      </c>
      <c r="H10" s="155">
        <f>IF(E10="x",P10,0)</f>
        <v>0</v>
      </c>
      <c r="I10" s="156">
        <f>IF(E10="x",G10*H10,0)</f>
        <v>0</v>
      </c>
      <c r="J10" s="14"/>
      <c r="K10" s="85"/>
      <c r="L10" s="32"/>
      <c r="M10" s="66" t="str">
        <f>'Description Sheet'!K9</f>
        <v>No</v>
      </c>
      <c r="N10" s="67">
        <f>'Description Sheet'!L9</f>
        <v>0</v>
      </c>
      <c r="O10" s="68">
        <f>'Year (2026-2027)'!O10*(('Description Sheet'!M4)+1)</f>
        <v>7467.830563774467</v>
      </c>
      <c r="P10" s="69">
        <f>N10*O10</f>
        <v>0</v>
      </c>
      <c r="Q10" s="14"/>
      <c r="R10" s="44"/>
    </row>
    <row r="11" spans="1:18">
      <c r="A11" s="14"/>
      <c r="B11" s="109">
        <f>'Description Sheet'!B10</f>
        <v>1.3</v>
      </c>
      <c r="C11" s="152" t="str">
        <f>'Description Sheet'!C10</f>
        <v>Main Gate &amp; Motor (Replacement Savings)</v>
      </c>
      <c r="D11" s="107"/>
      <c r="E11" s="153" t="str">
        <f>IF('Maintenance Schedule'!R10="x","x","")</f>
        <v>x</v>
      </c>
      <c r="F11" s="153" t="str">
        <f t="shared" si="0"/>
        <v>No</v>
      </c>
      <c r="G11" s="154">
        <f t="shared" si="1"/>
        <v>1</v>
      </c>
      <c r="H11" s="155">
        <f>IF(E11="x",P11,0)</f>
        <v>4666.9973837783064</v>
      </c>
      <c r="I11" s="156">
        <f>IF(E11="x",G11*H11,0)</f>
        <v>4666.9973837783064</v>
      </c>
      <c r="J11" s="14"/>
      <c r="K11" s="85"/>
      <c r="L11" s="32"/>
      <c r="M11" s="66" t="str">
        <f>'Description Sheet'!K10</f>
        <v>No</v>
      </c>
      <c r="N11" s="67">
        <f>'Description Sheet'!L10</f>
        <v>1</v>
      </c>
      <c r="O11" s="68">
        <f>'Year (2026-2027)'!O11*(('Description Sheet'!M4)+1)</f>
        <v>4666.9973837783064</v>
      </c>
      <c r="P11" s="69">
        <f>N11*O11</f>
        <v>4666.9973837783064</v>
      </c>
      <c r="Q11" s="14"/>
      <c r="R11" s="44"/>
    </row>
    <row r="12" spans="1:18" hidden="1">
      <c r="A12" s="14"/>
      <c r="B12" s="109">
        <f>'Description Sheet'!B11</f>
        <v>1.4</v>
      </c>
      <c r="C12" s="152" t="str">
        <f>'Description Sheet'!C11</f>
        <v>Tranformers (Service Interval 3 Years)</v>
      </c>
      <c r="D12" s="107"/>
      <c r="E12" s="153" t="str">
        <f>IF('Maintenance Schedule'!R11="x","x","")</f>
        <v/>
      </c>
      <c r="F12" s="153" t="str">
        <f t="shared" si="0"/>
        <v/>
      </c>
      <c r="G12" s="154">
        <f t="shared" si="1"/>
        <v>0</v>
      </c>
      <c r="H12" s="155">
        <f t="shared" ref="H12:H14" si="2">IF(E12="x",P12,0)</f>
        <v>0</v>
      </c>
      <c r="I12" s="156">
        <f t="shared" ref="I12:I14" si="3">IF(E12="x",G12*H12,0)</f>
        <v>0</v>
      </c>
      <c r="J12" s="14"/>
      <c r="K12" s="85"/>
      <c r="L12" s="32"/>
      <c r="M12" s="66" t="str">
        <f>'Description Sheet'!K11</f>
        <v>No</v>
      </c>
      <c r="N12" s="67">
        <f>'Description Sheet'!L11</f>
        <v>0</v>
      </c>
      <c r="O12" s="68">
        <f>'Year (2026-2027)'!O12*(('Description Sheet'!M4)+1)</f>
        <v>44902.19584202343</v>
      </c>
      <c r="P12" s="69">
        <f t="shared" ref="P12:P14" si="4">N12*O12</f>
        <v>0</v>
      </c>
      <c r="Q12" s="14"/>
      <c r="R12" s="44"/>
    </row>
    <row r="13" spans="1:18" hidden="1">
      <c r="A13" s="14"/>
      <c r="B13" s="109">
        <f>'Description Sheet'!B12</f>
        <v>1.5</v>
      </c>
      <c r="C13" s="152" t="str">
        <f>'Description Sheet'!C12</f>
        <v>blank</v>
      </c>
      <c r="D13" s="107"/>
      <c r="E13" s="153" t="str">
        <f>IF('Maintenance Schedule'!R12="x","x","")</f>
        <v/>
      </c>
      <c r="F13" s="153" t="str">
        <f t="shared" si="0"/>
        <v/>
      </c>
      <c r="G13" s="154">
        <f t="shared" si="1"/>
        <v>0</v>
      </c>
      <c r="H13" s="155">
        <f t="shared" si="2"/>
        <v>0</v>
      </c>
      <c r="I13" s="156">
        <f t="shared" si="3"/>
        <v>0</v>
      </c>
      <c r="J13" s="14"/>
      <c r="K13" s="85"/>
      <c r="L13" s="32"/>
      <c r="M13" s="66" t="str">
        <f>'Description Sheet'!K12</f>
        <v>No</v>
      </c>
      <c r="N13" s="67">
        <f>'Description Sheet'!L12</f>
        <v>0</v>
      </c>
      <c r="O13" s="68">
        <f>'Year (2026-2027)'!O13*(('Description Sheet'!M4)+1)</f>
        <v>0</v>
      </c>
      <c r="P13" s="69">
        <f t="shared" si="4"/>
        <v>0</v>
      </c>
      <c r="Q13" s="14"/>
      <c r="R13" s="44"/>
    </row>
    <row r="14" spans="1:18" hidden="1">
      <c r="A14" s="14"/>
      <c r="B14" s="109">
        <f>'Description Sheet'!B13</f>
        <v>1.6</v>
      </c>
      <c r="C14" s="152" t="str">
        <f>'Description Sheet'!C13</f>
        <v>blank</v>
      </c>
      <c r="D14" s="107"/>
      <c r="E14" s="153" t="str">
        <f>IF('Maintenance Schedule'!R13="x","x","")</f>
        <v/>
      </c>
      <c r="F14" s="153" t="str">
        <f t="shared" si="0"/>
        <v/>
      </c>
      <c r="G14" s="154">
        <f t="shared" si="1"/>
        <v>0</v>
      </c>
      <c r="H14" s="155">
        <f t="shared" si="2"/>
        <v>0</v>
      </c>
      <c r="I14" s="156">
        <f t="shared" si="3"/>
        <v>0</v>
      </c>
      <c r="J14" s="14"/>
      <c r="K14" s="85"/>
      <c r="L14" s="32"/>
      <c r="M14" s="66" t="str">
        <f>'Description Sheet'!K13</f>
        <v>No</v>
      </c>
      <c r="N14" s="67">
        <f>'Description Sheet'!L13</f>
        <v>0</v>
      </c>
      <c r="O14" s="68">
        <f>'Year (2026-2027)'!O14*(('Description Sheet'!M4)+1)</f>
        <v>0</v>
      </c>
      <c r="P14" s="69">
        <f t="shared" si="4"/>
        <v>0</v>
      </c>
      <c r="Q14" s="14"/>
      <c r="R14" s="44"/>
    </row>
    <row r="15" spans="1:18" ht="17" thickBot="1">
      <c r="A15" s="14"/>
      <c r="B15" s="109"/>
      <c r="C15" s="152"/>
      <c r="D15" s="107"/>
      <c r="E15" s="153"/>
      <c r="F15" s="153"/>
      <c r="G15" s="154"/>
      <c r="H15" s="155"/>
      <c r="I15" s="157"/>
      <c r="J15" s="14"/>
      <c r="K15" s="85"/>
      <c r="L15" s="32"/>
      <c r="M15" s="70"/>
      <c r="N15" s="67"/>
      <c r="O15" s="68"/>
      <c r="P15" s="73"/>
      <c r="Q15" s="14"/>
      <c r="R15" s="44"/>
    </row>
    <row r="16" spans="1:18" s="4" customFormat="1" ht="15.75" customHeight="1" thickBot="1">
      <c r="A16" s="14"/>
      <c r="B16" s="109"/>
      <c r="C16" s="158"/>
      <c r="D16" s="107"/>
      <c r="E16" s="159"/>
      <c r="F16" s="528" t="s">
        <v>7</v>
      </c>
      <c r="G16" s="529"/>
      <c r="H16" s="530">
        <f>SUM(I9:I14)</f>
        <v>11807.931837026308</v>
      </c>
      <c r="I16" s="531"/>
      <c r="J16" s="14"/>
      <c r="K16" s="15"/>
      <c r="L16" s="33"/>
      <c r="M16" s="508" t="s">
        <v>7</v>
      </c>
      <c r="N16" s="509"/>
      <c r="O16" s="510">
        <f>SUM(P9:P14)</f>
        <v>11807.931837026308</v>
      </c>
      <c r="P16" s="511"/>
      <c r="Q16" s="14"/>
      <c r="R16" s="31"/>
    </row>
    <row r="17" spans="1:18" ht="17" thickBot="1">
      <c r="A17" s="14"/>
      <c r="B17" s="109">
        <f>'Description Sheet'!B16</f>
        <v>2</v>
      </c>
      <c r="C17" s="113" t="str">
        <f>'Description Sheet'!C16</f>
        <v>External Plumbing Areas</v>
      </c>
      <c r="D17" s="107"/>
      <c r="E17" s="110"/>
      <c r="F17" s="110"/>
      <c r="G17" s="110"/>
      <c r="H17" s="110"/>
      <c r="I17" s="151"/>
      <c r="J17" s="32"/>
      <c r="K17" s="40"/>
      <c r="L17" s="33"/>
      <c r="M17" s="24"/>
      <c r="N17" s="25"/>
      <c r="O17" s="25"/>
      <c r="P17" s="63"/>
      <c r="Q17" s="14"/>
      <c r="R17" s="44"/>
    </row>
    <row r="18" spans="1:18">
      <c r="A18" s="14"/>
      <c r="B18" s="109">
        <f>'Description Sheet'!B17</f>
        <v>2.1</v>
      </c>
      <c r="C18" s="152" t="str">
        <f>'Description Sheet'!C17</f>
        <v>General Plumbing Repairs/Upgrade (Stacks, Valves etc.)</v>
      </c>
      <c r="D18" s="107"/>
      <c r="E18" s="153" t="str">
        <f>IF('Maintenance Schedule'!R20="x","x","")</f>
        <v>x</v>
      </c>
      <c r="F18" s="153" t="str">
        <f>IF(E18="x","No","")</f>
        <v>No</v>
      </c>
      <c r="G18" s="154">
        <f>IF(E18="x",1,0)</f>
        <v>1</v>
      </c>
      <c r="H18" s="155">
        <f t="shared" ref="H18:H24" si="5">IF(E18="x",P18,0)</f>
        <v>39671.858073600015</v>
      </c>
      <c r="I18" s="156">
        <f>IF(E18="x",G18*H18,0)</f>
        <v>39671.858073600015</v>
      </c>
      <c r="J18" s="14"/>
      <c r="K18" s="15"/>
      <c r="L18" s="32"/>
      <c r="M18" s="70" t="str">
        <f>'Description Sheet'!K17</f>
        <v>No</v>
      </c>
      <c r="N18" s="67">
        <f>'Description Sheet'!L17</f>
        <v>1</v>
      </c>
      <c r="O18" s="68">
        <f>'Year (2026-2027)'!O18*(('Description Sheet'!M4)+1)</f>
        <v>39671.858073600015</v>
      </c>
      <c r="P18" s="68">
        <f>N18*O18</f>
        <v>39671.858073600015</v>
      </c>
      <c r="Q18" s="14"/>
      <c r="R18" s="44"/>
    </row>
    <row r="19" spans="1:18" hidden="1">
      <c r="A19" s="14"/>
      <c r="B19" s="109">
        <f>'Description Sheet'!B18</f>
        <v>2.2000000000000002</v>
      </c>
      <c r="C19" s="152" t="str">
        <f>'Description Sheet'!C18</f>
        <v>Rectify Reticalation Connections at Fire Hydrants</v>
      </c>
      <c r="D19" s="107"/>
      <c r="E19" s="153" t="str">
        <f>IF('Maintenance Schedule'!R21="x","x","")</f>
        <v/>
      </c>
      <c r="F19" s="153" t="str">
        <f t="shared" ref="F19:F24" si="6">IF(E19="x","No","")</f>
        <v/>
      </c>
      <c r="G19" s="154">
        <f t="shared" ref="G19:G24" si="7">IF(E19="x",1,0)</f>
        <v>0</v>
      </c>
      <c r="H19" s="155">
        <f t="shared" si="5"/>
        <v>0</v>
      </c>
      <c r="I19" s="156">
        <f>IF(E19="x",G19*H19,0)</f>
        <v>0</v>
      </c>
      <c r="J19" s="14"/>
      <c r="K19" s="15"/>
      <c r="L19" s="32"/>
      <c r="M19" s="70" t="str">
        <f>'Description Sheet'!K18</f>
        <v>No</v>
      </c>
      <c r="N19" s="67">
        <f>'Description Sheet'!L18</f>
        <v>0</v>
      </c>
      <c r="O19" s="68">
        <f>'Year (2026-2027)'!O19*(('Description Sheet'!M4)+1)</f>
        <v>85691.213438976032</v>
      </c>
      <c r="P19" s="68">
        <f>N19*O19</f>
        <v>0</v>
      </c>
      <c r="Q19" s="14"/>
      <c r="R19" s="44"/>
    </row>
    <row r="20" spans="1:18" hidden="1">
      <c r="A20" s="14"/>
      <c r="B20" s="109">
        <f>'Description Sheet'!B19</f>
        <v>2.2999999999999998</v>
      </c>
      <c r="C20" s="152" t="str">
        <f>'Description Sheet'!C19</f>
        <v>Repairs to Storm Water Gullies</v>
      </c>
      <c r="D20" s="107"/>
      <c r="E20" s="153" t="str">
        <f>IF('Maintenance Schedule'!R22="x","x","")</f>
        <v/>
      </c>
      <c r="F20" s="153" t="str">
        <f t="shared" si="6"/>
        <v/>
      </c>
      <c r="G20" s="154">
        <f t="shared" si="7"/>
        <v>0</v>
      </c>
      <c r="H20" s="155">
        <f t="shared" si="5"/>
        <v>0</v>
      </c>
      <c r="I20" s="156">
        <f>IF(E20="x",G20*H20,0)</f>
        <v>0</v>
      </c>
      <c r="J20" s="14"/>
      <c r="K20" s="15"/>
      <c r="L20" s="32"/>
      <c r="M20" s="70" t="str">
        <f>'Description Sheet'!K19</f>
        <v>No</v>
      </c>
      <c r="N20" s="67">
        <f>'Description Sheet'!L19</f>
        <v>0</v>
      </c>
      <c r="O20" s="68">
        <f>'Year (2026-2027)'!O20*(('Description Sheet'!M4)+1)</f>
        <v>7712.2092095078424</v>
      </c>
      <c r="P20" s="68">
        <f>N20*O20</f>
        <v>0</v>
      </c>
      <c r="Q20" s="14"/>
      <c r="R20" s="44"/>
    </row>
    <row r="21" spans="1:18" hidden="1">
      <c r="A21" s="14"/>
      <c r="B21" s="109">
        <f>'Description Sheet'!B20</f>
        <v>2.4</v>
      </c>
      <c r="C21" s="152" t="str">
        <f>'Description Sheet'!C20</f>
        <v>Servicing of Full-Bore Piping</v>
      </c>
      <c r="D21" s="107"/>
      <c r="E21" s="153" t="str">
        <f>IF('Maintenance Schedule'!R23="x","x","")</f>
        <v/>
      </c>
      <c r="F21" s="153" t="str">
        <f t="shared" si="6"/>
        <v/>
      </c>
      <c r="G21" s="154">
        <f t="shared" si="7"/>
        <v>0</v>
      </c>
      <c r="H21" s="155">
        <f t="shared" si="5"/>
        <v>0</v>
      </c>
      <c r="I21" s="156">
        <f>IF(E21="x",G21*H21,0)</f>
        <v>0</v>
      </c>
      <c r="J21" s="14"/>
      <c r="K21" s="15"/>
      <c r="L21" s="32"/>
      <c r="M21" s="70" t="str">
        <f>'Description Sheet'!K20</f>
        <v>No</v>
      </c>
      <c r="N21" s="67">
        <f>'Description Sheet'!L20</f>
        <v>1</v>
      </c>
      <c r="O21" s="68">
        <f>'Year (2026-2027)'!O21*(('Description Sheet'!M4)+1)</f>
        <v>7467.830563774467</v>
      </c>
      <c r="P21" s="68">
        <f>O21*N21</f>
        <v>7467.830563774467</v>
      </c>
      <c r="Q21" s="14"/>
      <c r="R21" s="44"/>
    </row>
    <row r="22" spans="1:18" hidden="1">
      <c r="A22" s="14"/>
      <c r="B22" s="109">
        <f>'Description Sheet'!B21</f>
        <v>2.5</v>
      </c>
      <c r="C22" s="152" t="str">
        <f>'Description Sheet'!C21</f>
        <v>Replacing of Cast Iron Stack Pipes with PVC</v>
      </c>
      <c r="D22" s="107"/>
      <c r="E22" s="153" t="str">
        <f>IF('Maintenance Schedule'!R24="x","x","")</f>
        <v/>
      </c>
      <c r="F22" s="153" t="str">
        <f t="shared" si="6"/>
        <v/>
      </c>
      <c r="G22" s="154">
        <f t="shared" si="7"/>
        <v>0</v>
      </c>
      <c r="H22" s="155">
        <f t="shared" si="5"/>
        <v>0</v>
      </c>
      <c r="I22" s="156">
        <f t="shared" ref="I22:I24" si="8">IF(E22="x",G22*H22,0)</f>
        <v>0</v>
      </c>
      <c r="J22" s="14"/>
      <c r="K22" s="15"/>
      <c r="L22" s="33"/>
      <c r="M22" s="70" t="str">
        <f>'Description Sheet'!K21</f>
        <v>lm</v>
      </c>
      <c r="N22" s="67">
        <f>'Description Sheet'!L21</f>
        <v>1</v>
      </c>
      <c r="O22" s="68">
        <f>'Year (2026-2027)'!O22*(('Description Sheet'!M4)+1)</f>
        <v>177380.81181868038</v>
      </c>
      <c r="P22" s="68">
        <f t="shared" ref="P22:P24" si="9">O22*N22</f>
        <v>177380.81181868038</v>
      </c>
      <c r="Q22" s="14"/>
      <c r="R22" s="44"/>
    </row>
    <row r="23" spans="1:18" hidden="1">
      <c r="A23" s="14"/>
      <c r="B23" s="109">
        <f>'Description Sheet'!B22</f>
        <v>2.6</v>
      </c>
      <c r="C23" s="152" t="str">
        <f>'Description Sheet'!C22</f>
        <v>Water Tanks and Pumps (Maintenance/Repairs Savings)</v>
      </c>
      <c r="D23" s="107"/>
      <c r="E23" s="153" t="str">
        <f>IF('Maintenance Schedule'!R25="x","x","")</f>
        <v/>
      </c>
      <c r="F23" s="153" t="str">
        <f t="shared" si="6"/>
        <v/>
      </c>
      <c r="G23" s="154">
        <f t="shared" si="7"/>
        <v>0</v>
      </c>
      <c r="H23" s="155">
        <f t="shared" si="5"/>
        <v>0</v>
      </c>
      <c r="I23" s="156">
        <f t="shared" si="8"/>
        <v>0</v>
      </c>
      <c r="J23" s="14"/>
      <c r="K23" s="15"/>
      <c r="L23" s="33"/>
      <c r="M23" s="70" t="str">
        <f>'Description Sheet'!K22</f>
        <v>No</v>
      </c>
      <c r="N23" s="67">
        <f>'Description Sheet'!L22</f>
        <v>0</v>
      </c>
      <c r="O23" s="68">
        <f>'Year (2026-2027)'!O23*(('Description Sheet'!M4)+1)</f>
        <v>17138.242687795209</v>
      </c>
      <c r="P23" s="68">
        <f t="shared" si="9"/>
        <v>0</v>
      </c>
      <c r="Q23" s="14"/>
      <c r="R23" s="44"/>
    </row>
    <row r="24" spans="1:18" hidden="1">
      <c r="A24" s="14"/>
      <c r="B24" s="109">
        <f>'Description Sheet'!B23</f>
        <v>2.7</v>
      </c>
      <c r="C24" s="152" t="str">
        <f>'Description Sheet'!C23</f>
        <v>Asbestos Water Tanks (Replace)</v>
      </c>
      <c r="D24" s="107"/>
      <c r="E24" s="153" t="str">
        <f>IF('Maintenance Schedule'!R26="x","x","")</f>
        <v/>
      </c>
      <c r="F24" s="153" t="str">
        <f t="shared" si="6"/>
        <v/>
      </c>
      <c r="G24" s="154">
        <f t="shared" si="7"/>
        <v>0</v>
      </c>
      <c r="H24" s="155">
        <f t="shared" si="5"/>
        <v>0</v>
      </c>
      <c r="I24" s="156">
        <f t="shared" si="8"/>
        <v>0</v>
      </c>
      <c r="J24" s="14"/>
      <c r="K24" s="15"/>
      <c r="L24" s="33"/>
      <c r="M24" s="70" t="str">
        <f>'Description Sheet'!K23</f>
        <v>No</v>
      </c>
      <c r="N24" s="67">
        <f>'Description Sheet'!L23</f>
        <v>0</v>
      </c>
      <c r="O24" s="68">
        <f>'Year (2026-2027)'!O24*(('Description Sheet'!M4)+1)</f>
        <v>49237.536492306455</v>
      </c>
      <c r="P24" s="68">
        <f t="shared" si="9"/>
        <v>0</v>
      </c>
      <c r="Q24" s="14"/>
      <c r="R24" s="44"/>
    </row>
    <row r="25" spans="1:18" ht="17" thickBot="1">
      <c r="A25" s="14"/>
      <c r="B25" s="109"/>
      <c r="C25" s="152"/>
      <c r="D25" s="107"/>
      <c r="E25" s="160"/>
      <c r="F25" s="161"/>
      <c r="G25" s="161"/>
      <c r="H25" s="155"/>
      <c r="I25" s="155"/>
      <c r="J25" s="14"/>
      <c r="K25" s="15"/>
      <c r="L25" s="33"/>
      <c r="M25" s="76"/>
      <c r="N25" s="76"/>
      <c r="O25" s="77"/>
      <c r="P25" s="77"/>
      <c r="Q25" s="14"/>
      <c r="R25" s="44"/>
    </row>
    <row r="26" spans="1:18" s="4" customFormat="1" ht="15.75" customHeight="1" thickBot="1">
      <c r="A26" s="14"/>
      <c r="B26" s="109"/>
      <c r="C26" s="152"/>
      <c r="D26" s="107"/>
      <c r="E26" s="159"/>
      <c r="F26" s="532" t="s">
        <v>7</v>
      </c>
      <c r="G26" s="533"/>
      <c r="H26" s="530">
        <f>SUM(I18:I24)</f>
        <v>39671.858073600015</v>
      </c>
      <c r="I26" s="531"/>
      <c r="J26" s="14"/>
      <c r="K26" s="15"/>
      <c r="L26" s="33"/>
      <c r="M26" s="508" t="s">
        <v>7</v>
      </c>
      <c r="N26" s="509"/>
      <c r="O26" s="510">
        <f>SUM(P18:P24)</f>
        <v>224520.50045605487</v>
      </c>
      <c r="P26" s="511"/>
      <c r="Q26" s="14"/>
      <c r="R26" s="31"/>
    </row>
    <row r="27" spans="1:18" ht="17" hidden="1" thickBot="1">
      <c r="A27" s="14"/>
      <c r="B27" s="109">
        <f>'Description Sheet'!B26</f>
        <v>3</v>
      </c>
      <c r="C27" s="113" t="str">
        <f>'Description Sheet'!C26</f>
        <v>Heating and Cooling Systems</v>
      </c>
      <c r="D27" s="107"/>
      <c r="E27" s="110"/>
      <c r="F27" s="110"/>
      <c r="G27" s="110"/>
      <c r="H27" s="110"/>
      <c r="I27" s="151"/>
      <c r="J27" s="32"/>
      <c r="K27" s="40"/>
      <c r="L27" s="33"/>
      <c r="M27" s="24"/>
      <c r="N27" s="25"/>
      <c r="O27" s="25"/>
      <c r="P27" s="63"/>
      <c r="Q27" s="14"/>
      <c r="R27" s="44"/>
    </row>
    <row r="28" spans="1:18" hidden="1">
      <c r="A28" s="14"/>
      <c r="B28" s="109">
        <f>'Description Sheet'!B27</f>
        <v>3.1</v>
      </c>
      <c r="C28" s="152" t="str">
        <f>'Description Sheet'!C27</f>
        <v>Ventilation Shafts (Maintenance &amp; Upgrade Savings)</v>
      </c>
      <c r="D28" s="107"/>
      <c r="E28" s="153" t="str">
        <f>IF('Maintenance Schedule'!R33="x","x","")</f>
        <v/>
      </c>
      <c r="F28" s="153" t="str">
        <f>IF(E28="x","No","")</f>
        <v/>
      </c>
      <c r="G28" s="154">
        <f>IF(E28="x",1,0)</f>
        <v>0</v>
      </c>
      <c r="H28" s="155">
        <f t="shared" ref="H28:H32" si="10">IF(E28="x",P28,0)</f>
        <v>0</v>
      </c>
      <c r="I28" s="156">
        <f>IF(E28="x",G28*H28,0)</f>
        <v>0</v>
      </c>
      <c r="J28" s="14"/>
      <c r="K28" s="15"/>
      <c r="L28" s="32"/>
      <c r="M28" s="70" t="str">
        <f>'Description Sheet'!K27</f>
        <v>No</v>
      </c>
      <c r="N28" s="67">
        <f>'Description Sheet'!L27</f>
        <v>0</v>
      </c>
      <c r="O28" s="68">
        <f>'Year (2026-2027)'!O28*(('Description Sheet'!M4)+1)</f>
        <v>9335.5816418795548</v>
      </c>
      <c r="P28" s="68">
        <f>N28*O28</f>
        <v>0</v>
      </c>
      <c r="Q28" s="14"/>
      <c r="R28" s="44"/>
    </row>
    <row r="29" spans="1:18" hidden="1">
      <c r="A29" s="14"/>
      <c r="B29" s="109">
        <f>'Description Sheet'!B28</f>
        <v>3.2</v>
      </c>
      <c r="C29" s="152" t="str">
        <f>'Description Sheet'!C28</f>
        <v>Air Conditioning Units (Maintenance &amp; Upgrade Savings)</v>
      </c>
      <c r="D29" s="107"/>
      <c r="E29" s="153" t="str">
        <f>IF('Maintenance Schedule'!R34="x","x","")</f>
        <v/>
      </c>
      <c r="F29" s="153" t="str">
        <f>IF(E29="x","No","")</f>
        <v/>
      </c>
      <c r="G29" s="154">
        <f>IF(E29="x",1,0)</f>
        <v>0</v>
      </c>
      <c r="H29" s="155">
        <f t="shared" si="10"/>
        <v>0</v>
      </c>
      <c r="I29" s="156">
        <f>IF(E29="x",G29*H29,0)</f>
        <v>0</v>
      </c>
      <c r="J29" s="14"/>
      <c r="K29" s="15"/>
      <c r="L29" s="32"/>
      <c r="M29" s="70" t="str">
        <f>'Description Sheet'!K28</f>
        <v>No</v>
      </c>
      <c r="N29" s="67">
        <f>'Description Sheet'!L28</f>
        <v>0</v>
      </c>
      <c r="O29" s="73">
        <f>'Year (2026-2027)'!O29*(('Description Sheet'!M4)+1)</f>
        <v>18671.16328375911</v>
      </c>
      <c r="P29" s="68">
        <f>N29*O29</f>
        <v>0</v>
      </c>
      <c r="Q29" s="14"/>
      <c r="R29" s="44"/>
    </row>
    <row r="30" spans="1:18" hidden="1">
      <c r="A30" s="14"/>
      <c r="B30" s="109">
        <f>'Description Sheet'!B29</f>
        <v>3.3</v>
      </c>
      <c r="C30" s="152" t="str">
        <f>'Description Sheet'!C29</f>
        <v>Solar Panels (Maintenance &amp; Upgrade Savings)</v>
      </c>
      <c r="D30" s="107"/>
      <c r="E30" s="153" t="str">
        <f>IF('Maintenance Schedule'!R35="x","x","")</f>
        <v/>
      </c>
      <c r="F30" s="153" t="str">
        <f t="shared" ref="F30:F32" si="11">IF(E30="x","No","")</f>
        <v/>
      </c>
      <c r="G30" s="154">
        <f t="shared" ref="G30:G32" si="12">IF(E30="x",1,0)</f>
        <v>0</v>
      </c>
      <c r="H30" s="155">
        <f t="shared" si="10"/>
        <v>0</v>
      </c>
      <c r="I30" s="156">
        <f t="shared" ref="I30:I32" si="13">IF(E30="x",G30*H30,0)</f>
        <v>0</v>
      </c>
      <c r="J30" s="14"/>
      <c r="K30" s="15"/>
      <c r="L30" s="32"/>
      <c r="M30" s="70" t="str">
        <f>'Description Sheet'!K29</f>
        <v>No</v>
      </c>
      <c r="N30" s="67">
        <f>'Description Sheet'!L29</f>
        <v>0</v>
      </c>
      <c r="O30" s="73">
        <f>'Year (2026-2027)'!O30*(('Description Sheet'!M4)+1)</f>
        <v>10314.683099136006</v>
      </c>
      <c r="P30" s="68">
        <f t="shared" ref="P30:P32" si="14">N30*O30</f>
        <v>0</v>
      </c>
      <c r="Q30" s="14"/>
      <c r="R30" s="44"/>
    </row>
    <row r="31" spans="1:18" hidden="1">
      <c r="A31" s="14"/>
      <c r="B31" s="109">
        <f>'Description Sheet'!B30</f>
        <v>3.4</v>
      </c>
      <c r="C31" s="152" t="str">
        <f>'Description Sheet'!C30</f>
        <v>blank</v>
      </c>
      <c r="D31" s="107"/>
      <c r="E31" s="153" t="str">
        <f>IF('Maintenance Schedule'!R36="x","x","")</f>
        <v/>
      </c>
      <c r="F31" s="153" t="str">
        <f t="shared" si="11"/>
        <v/>
      </c>
      <c r="G31" s="154">
        <f t="shared" si="12"/>
        <v>0</v>
      </c>
      <c r="H31" s="155">
        <f t="shared" si="10"/>
        <v>0</v>
      </c>
      <c r="I31" s="156">
        <f t="shared" si="13"/>
        <v>0</v>
      </c>
      <c r="J31" s="14"/>
      <c r="K31" s="15"/>
      <c r="L31" s="32"/>
      <c r="M31" s="70" t="str">
        <f>'Description Sheet'!K30</f>
        <v>No</v>
      </c>
      <c r="N31" s="67">
        <f>'Description Sheet'!L30</f>
        <v>0</v>
      </c>
      <c r="O31" s="73">
        <f>'Year (2026-2027)'!O31*(('Description Sheet'!M4)+1)</f>
        <v>0</v>
      </c>
      <c r="P31" s="68">
        <f t="shared" si="14"/>
        <v>0</v>
      </c>
      <c r="Q31" s="14"/>
      <c r="R31" s="44"/>
    </row>
    <row r="32" spans="1:18" hidden="1">
      <c r="A32" s="14"/>
      <c r="B32" s="109">
        <f>'Description Sheet'!B31</f>
        <v>3.5</v>
      </c>
      <c r="C32" s="152" t="str">
        <f>'Description Sheet'!C31</f>
        <v>blank</v>
      </c>
      <c r="D32" s="107"/>
      <c r="E32" s="153" t="str">
        <f>IF('Maintenance Schedule'!R37="x","x","")</f>
        <v/>
      </c>
      <c r="F32" s="153" t="str">
        <f t="shared" si="11"/>
        <v/>
      </c>
      <c r="G32" s="154">
        <f t="shared" si="12"/>
        <v>0</v>
      </c>
      <c r="H32" s="155">
        <f t="shared" si="10"/>
        <v>0</v>
      </c>
      <c r="I32" s="156">
        <f t="shared" si="13"/>
        <v>0</v>
      </c>
      <c r="J32" s="14"/>
      <c r="K32" s="15"/>
      <c r="L32" s="32"/>
      <c r="M32" s="70" t="str">
        <f>'Description Sheet'!K31</f>
        <v>No</v>
      </c>
      <c r="N32" s="67">
        <f>'Description Sheet'!L31</f>
        <v>0</v>
      </c>
      <c r="O32" s="73">
        <f>'Year (2026-2027)'!O32*(('Description Sheet'!M4)+1)</f>
        <v>0</v>
      </c>
      <c r="P32" s="68">
        <f t="shared" si="14"/>
        <v>0</v>
      </c>
      <c r="Q32" s="14"/>
      <c r="R32" s="44"/>
    </row>
    <row r="33" spans="1:18" ht="17" hidden="1" thickBot="1">
      <c r="A33" s="14"/>
      <c r="B33" s="109"/>
      <c r="C33" s="152"/>
      <c r="D33" s="107"/>
      <c r="E33" s="162"/>
      <c r="F33" s="154"/>
      <c r="G33" s="154"/>
      <c r="H33" s="155"/>
      <c r="I33" s="155"/>
      <c r="J33" s="14"/>
      <c r="K33" s="15"/>
      <c r="L33" s="32"/>
      <c r="M33" s="67"/>
      <c r="N33" s="67"/>
      <c r="O33" s="73"/>
      <c r="P33" s="68"/>
      <c r="Q33" s="14"/>
      <c r="R33" s="44"/>
    </row>
    <row r="34" spans="1:18" s="4" customFormat="1" ht="15.75" hidden="1" customHeight="1" thickBot="1">
      <c r="A34" s="14"/>
      <c r="B34" s="109"/>
      <c r="C34" s="152"/>
      <c r="D34" s="107"/>
      <c r="E34" s="159"/>
      <c r="F34" s="528" t="s">
        <v>7</v>
      </c>
      <c r="G34" s="529"/>
      <c r="H34" s="530">
        <f>SUM(I28:I32)</f>
        <v>0</v>
      </c>
      <c r="I34" s="531"/>
      <c r="J34" s="14"/>
      <c r="K34" s="15"/>
      <c r="L34" s="33"/>
      <c r="M34" s="508" t="s">
        <v>7</v>
      </c>
      <c r="N34" s="509"/>
      <c r="O34" s="510">
        <f>SUM(P28:P33)</f>
        <v>0</v>
      </c>
      <c r="P34" s="511"/>
      <c r="Q34" s="14"/>
      <c r="R34" s="31"/>
    </row>
    <row r="35" spans="1:18" ht="17" hidden="1" thickBot="1">
      <c r="A35" s="14"/>
      <c r="B35" s="109">
        <f>'Description Sheet'!B34</f>
        <v>4</v>
      </c>
      <c r="C35" s="113" t="str">
        <f>'Description Sheet'!C34</f>
        <v>Lifts</v>
      </c>
      <c r="D35" s="107"/>
      <c r="E35" s="110"/>
      <c r="F35" s="110"/>
      <c r="G35" s="110"/>
      <c r="H35" s="110"/>
      <c r="I35" s="151"/>
      <c r="J35" s="32"/>
      <c r="K35" s="40"/>
      <c r="L35" s="33"/>
      <c r="M35" s="24"/>
      <c r="N35" s="25"/>
      <c r="O35" s="25"/>
      <c r="P35" s="63"/>
      <c r="Q35" s="14"/>
      <c r="R35" s="44"/>
    </row>
    <row r="36" spans="1:18" hidden="1">
      <c r="A36" s="14"/>
      <c r="B36" s="109">
        <f>'Description Sheet'!B35</f>
        <v>4.0999999999999996</v>
      </c>
      <c r="C36" s="152" t="str">
        <f>'Description Sheet'!C35</f>
        <v>Lift Upgrade Savings</v>
      </c>
      <c r="D36" s="107"/>
      <c r="E36" s="153" t="str">
        <f>IF('Maintenance Schedule'!R44="x","x","")</f>
        <v/>
      </c>
      <c r="F36" s="153" t="str">
        <f>IF(E36="x","No","")</f>
        <v/>
      </c>
      <c r="G36" s="154">
        <f>IF(E36="x",1,0)</f>
        <v>0</v>
      </c>
      <c r="H36" s="155">
        <f t="shared" ref="H36:H39" si="15">IF(E36="x",P36,0)</f>
        <v>0</v>
      </c>
      <c r="I36" s="156">
        <f>IF(E36="x",G36*H36,0)</f>
        <v>0</v>
      </c>
      <c r="J36" s="14"/>
      <c r="K36" s="15"/>
      <c r="L36" s="32"/>
      <c r="M36" s="70" t="str">
        <f>'Description Sheet'!K35</f>
        <v>No</v>
      </c>
      <c r="N36" s="67">
        <f>'Description Sheet'!L35</f>
        <v>1</v>
      </c>
      <c r="O36" s="73">
        <f>'Year (2026-2027)'!O36*(('Description Sheet'!M4)+1)</f>
        <v>140036.89837683924</v>
      </c>
      <c r="P36" s="68">
        <f>N36*O36</f>
        <v>140036.89837683924</v>
      </c>
      <c r="Q36" s="14"/>
      <c r="R36" s="44"/>
    </row>
    <row r="37" spans="1:18" hidden="1">
      <c r="A37" s="14"/>
      <c r="B37" s="109">
        <f>'Description Sheet'!B36</f>
        <v>4.2</v>
      </c>
      <c r="C37" s="152" t="str">
        <f>'Description Sheet'!C36</f>
        <v>Lift Replacement (Only in 12-15 years)</v>
      </c>
      <c r="D37" s="107"/>
      <c r="E37" s="153" t="str">
        <f>IF('Maintenance Schedule'!R45="x","x","")</f>
        <v/>
      </c>
      <c r="F37" s="153" t="str">
        <f t="shared" ref="F37:F39" si="16">IF(E37="x","No","")</f>
        <v/>
      </c>
      <c r="G37" s="154">
        <f t="shared" ref="G37:G39" si="17">IF(E37="x",1,0)</f>
        <v>0</v>
      </c>
      <c r="H37" s="155">
        <f t="shared" si="15"/>
        <v>0</v>
      </c>
      <c r="I37" s="156">
        <f t="shared" ref="I37:I39" si="18">IF(E37="x",G37*H37,0)</f>
        <v>0</v>
      </c>
      <c r="J37" s="14"/>
      <c r="K37" s="15"/>
      <c r="L37" s="32"/>
      <c r="M37" s="70" t="str">
        <f>'Description Sheet'!K36</f>
        <v>No</v>
      </c>
      <c r="N37" s="67">
        <f>'Description Sheet'!L36</f>
        <v>0</v>
      </c>
      <c r="O37" s="73">
        <f>'Year (2026-2027)'!O37*(('Description Sheet'!M4)+1)</f>
        <v>1296987.2953772363</v>
      </c>
      <c r="P37" s="68">
        <f t="shared" ref="P37:P39" si="19">N37*O37</f>
        <v>0</v>
      </c>
      <c r="Q37" s="14"/>
      <c r="R37" s="44"/>
    </row>
    <row r="38" spans="1:18" hidden="1">
      <c r="A38" s="14"/>
      <c r="B38" s="109">
        <f>'Description Sheet'!B37</f>
        <v>4.3</v>
      </c>
      <c r="C38" s="152" t="str">
        <f>'Description Sheet'!C37</f>
        <v>blank</v>
      </c>
      <c r="D38" s="107"/>
      <c r="E38" s="153" t="str">
        <f>IF('Maintenance Schedule'!R46="x","x","")</f>
        <v/>
      </c>
      <c r="F38" s="153" t="str">
        <f t="shared" si="16"/>
        <v/>
      </c>
      <c r="G38" s="154">
        <f t="shared" si="17"/>
        <v>0</v>
      </c>
      <c r="H38" s="155">
        <f t="shared" si="15"/>
        <v>0</v>
      </c>
      <c r="I38" s="156">
        <f t="shared" si="18"/>
        <v>0</v>
      </c>
      <c r="J38" s="14"/>
      <c r="K38" s="15"/>
      <c r="L38" s="32"/>
      <c r="M38" s="70" t="str">
        <f>'Description Sheet'!K37</f>
        <v>No</v>
      </c>
      <c r="N38" s="67">
        <f>'Description Sheet'!L37</f>
        <v>0</v>
      </c>
      <c r="O38" s="73">
        <f>'Year (2026-2027)'!O38*(('Description Sheet'!M4)+1)</f>
        <v>0</v>
      </c>
      <c r="P38" s="68">
        <f t="shared" si="19"/>
        <v>0</v>
      </c>
      <c r="Q38" s="14"/>
      <c r="R38" s="44"/>
    </row>
    <row r="39" spans="1:18" hidden="1">
      <c r="A39" s="14"/>
      <c r="B39" s="109">
        <f>'Description Sheet'!B38</f>
        <v>4.4000000000000004</v>
      </c>
      <c r="C39" s="152" t="str">
        <f>'Description Sheet'!C38</f>
        <v>blank</v>
      </c>
      <c r="D39" s="107"/>
      <c r="E39" s="153" t="str">
        <f>IF('Maintenance Schedule'!R47="x","x","")</f>
        <v/>
      </c>
      <c r="F39" s="153" t="str">
        <f t="shared" si="16"/>
        <v/>
      </c>
      <c r="G39" s="154">
        <f t="shared" si="17"/>
        <v>0</v>
      </c>
      <c r="H39" s="155">
        <f t="shared" si="15"/>
        <v>0</v>
      </c>
      <c r="I39" s="156">
        <f t="shared" si="18"/>
        <v>0</v>
      </c>
      <c r="J39" s="14"/>
      <c r="K39" s="15"/>
      <c r="L39" s="32"/>
      <c r="M39" s="70" t="str">
        <f>'Description Sheet'!K38</f>
        <v>No</v>
      </c>
      <c r="N39" s="67">
        <f>'Description Sheet'!L38</f>
        <v>0</v>
      </c>
      <c r="O39" s="73">
        <f>'Year (2026-2027)'!O39*(('Description Sheet'!M4)+1)</f>
        <v>0</v>
      </c>
      <c r="P39" s="68">
        <f t="shared" si="19"/>
        <v>0</v>
      </c>
      <c r="Q39" s="14"/>
      <c r="R39" s="44"/>
    </row>
    <row r="40" spans="1:18" ht="17" hidden="1" thickBot="1">
      <c r="A40" s="14"/>
      <c r="B40" s="109"/>
      <c r="C40" s="152"/>
      <c r="D40" s="107"/>
      <c r="E40" s="162"/>
      <c r="F40" s="154"/>
      <c r="G40" s="154"/>
      <c r="H40" s="155"/>
      <c r="I40" s="155"/>
      <c r="J40" s="14"/>
      <c r="K40" s="15"/>
      <c r="L40" s="32"/>
      <c r="M40" s="67"/>
      <c r="N40" s="67"/>
      <c r="O40" s="73"/>
      <c r="P40" s="68"/>
      <c r="Q40" s="14"/>
      <c r="R40" s="44"/>
    </row>
    <row r="41" spans="1:18" s="4" customFormat="1" ht="15.75" hidden="1" customHeight="1" thickBot="1">
      <c r="A41" s="14"/>
      <c r="B41" s="109"/>
      <c r="C41" s="152"/>
      <c r="D41" s="107"/>
      <c r="E41" s="159"/>
      <c r="F41" s="528" t="s">
        <v>7</v>
      </c>
      <c r="G41" s="529"/>
      <c r="H41" s="530">
        <f>SUM(I36:I40)</f>
        <v>0</v>
      </c>
      <c r="I41" s="531"/>
      <c r="J41" s="14"/>
      <c r="K41" s="15"/>
      <c r="L41" s="33"/>
      <c r="M41" s="508" t="s">
        <v>7</v>
      </c>
      <c r="N41" s="509"/>
      <c r="O41" s="510">
        <f>SUM(P36:P40)</f>
        <v>140036.89837683924</v>
      </c>
      <c r="P41" s="511"/>
      <c r="Q41" s="14"/>
      <c r="R41" s="31"/>
    </row>
    <row r="42" spans="1:18" ht="17" thickBot="1">
      <c r="A42" s="14"/>
      <c r="B42" s="109">
        <f>'Description Sheet'!B41</f>
        <v>5</v>
      </c>
      <c r="C42" s="150" t="str">
        <f>'Description Sheet'!C41</f>
        <v>Carpeting and Furnishing</v>
      </c>
      <c r="D42" s="107"/>
      <c r="E42" s="110"/>
      <c r="F42" s="110"/>
      <c r="G42" s="110"/>
      <c r="H42" s="110"/>
      <c r="I42" s="151"/>
      <c r="J42" s="32"/>
      <c r="K42" s="40"/>
      <c r="L42" s="33"/>
      <c r="M42" s="24"/>
      <c r="N42" s="25"/>
      <c r="O42" s="25"/>
      <c r="P42" s="63"/>
      <c r="Q42" s="14"/>
      <c r="R42" s="44"/>
    </row>
    <row r="43" spans="1:18">
      <c r="A43" s="14"/>
      <c r="B43" s="109">
        <f>'Description Sheet'!B42</f>
        <v>5.0999999999999996</v>
      </c>
      <c r="C43" s="152" t="str">
        <f>'Description Sheet'!C42</f>
        <v>Common Area Equipment/Furnishings (Replacement/Maintenance)</v>
      </c>
      <c r="D43" s="107"/>
      <c r="E43" s="153" t="str">
        <f>IF('Maintenance Schedule'!R54="x","x","")</f>
        <v>x</v>
      </c>
      <c r="F43" s="153" t="str">
        <f>IF(E43="x","No","")</f>
        <v>No</v>
      </c>
      <c r="G43" s="154">
        <f>IF(E43="x",1,0)</f>
        <v>1</v>
      </c>
      <c r="H43" s="155">
        <f t="shared" ref="H43:H46" si="20">IF(E43="x",P43,0)</f>
        <v>5554.0601303040021</v>
      </c>
      <c r="I43" s="156">
        <f>IF(E43="x",G43*H43,0)</f>
        <v>5554.0601303040021</v>
      </c>
      <c r="J43" s="14"/>
      <c r="K43" s="15"/>
      <c r="L43" s="32"/>
      <c r="M43" s="70" t="str">
        <f>'Description Sheet'!K42</f>
        <v>No</v>
      </c>
      <c r="N43" s="67">
        <f>'Description Sheet'!L42</f>
        <v>1</v>
      </c>
      <c r="O43" s="73">
        <f>'Year (2026-2027)'!O43*(('Description Sheet'!M4)+1)</f>
        <v>5554.0601303040021</v>
      </c>
      <c r="P43" s="68">
        <f>N43*O43</f>
        <v>5554.0601303040021</v>
      </c>
      <c r="Q43" s="14"/>
      <c r="R43" s="44"/>
    </row>
    <row r="44" spans="1:18" hidden="1">
      <c r="A44" s="14"/>
      <c r="B44" s="109">
        <f>'Description Sheet'!B43</f>
        <v>5.2</v>
      </c>
      <c r="C44" s="152" t="str">
        <f>'Description Sheet'!C43</f>
        <v>blank</v>
      </c>
      <c r="D44" s="107"/>
      <c r="E44" s="153" t="str">
        <f>IF('Maintenance Schedule'!R55="x","x","")</f>
        <v/>
      </c>
      <c r="F44" s="153" t="str">
        <f t="shared" ref="F44:F46" si="21">IF(E44="x","No","")</f>
        <v/>
      </c>
      <c r="G44" s="154">
        <f t="shared" ref="G44:G46" si="22">IF(E44="x",1,0)</f>
        <v>0</v>
      </c>
      <c r="H44" s="155">
        <f t="shared" si="20"/>
        <v>0</v>
      </c>
      <c r="I44" s="156">
        <f t="shared" ref="I44:I46" si="23">IF(E44="x",G44*H44,0)</f>
        <v>0</v>
      </c>
      <c r="J44" s="14"/>
      <c r="K44" s="15"/>
      <c r="L44" s="32"/>
      <c r="M44" s="70" t="str">
        <f>'Description Sheet'!K43</f>
        <v>No</v>
      </c>
      <c r="N44" s="67">
        <f>'Description Sheet'!L43</f>
        <v>0</v>
      </c>
      <c r="O44" s="73">
        <f>'Year (2026-2027)'!O44*(('Description Sheet'!M4)+1)</f>
        <v>0</v>
      </c>
      <c r="P44" s="68">
        <f t="shared" ref="P44:P46" si="24">N44*O44</f>
        <v>0</v>
      </c>
      <c r="Q44" s="14"/>
      <c r="R44" s="44"/>
    </row>
    <row r="45" spans="1:18" hidden="1">
      <c r="A45" s="14"/>
      <c r="B45" s="109">
        <f>'Description Sheet'!B44</f>
        <v>5.3</v>
      </c>
      <c r="C45" s="152" t="str">
        <f>'Description Sheet'!C44</f>
        <v>blank</v>
      </c>
      <c r="D45" s="107"/>
      <c r="E45" s="153" t="str">
        <f>IF('Maintenance Schedule'!R56="x","x","")</f>
        <v/>
      </c>
      <c r="F45" s="153" t="str">
        <f t="shared" si="21"/>
        <v/>
      </c>
      <c r="G45" s="154">
        <f t="shared" si="22"/>
        <v>0</v>
      </c>
      <c r="H45" s="155">
        <f t="shared" si="20"/>
        <v>0</v>
      </c>
      <c r="I45" s="156">
        <f t="shared" si="23"/>
        <v>0</v>
      </c>
      <c r="J45" s="14"/>
      <c r="K45" s="15"/>
      <c r="L45" s="32"/>
      <c r="M45" s="70" t="str">
        <f>'Description Sheet'!K44</f>
        <v>No</v>
      </c>
      <c r="N45" s="67">
        <f>'Description Sheet'!L44</f>
        <v>0</v>
      </c>
      <c r="O45" s="73">
        <f>'Year (2026-2027)'!O45*(('Description Sheet'!M4)+1)</f>
        <v>0</v>
      </c>
      <c r="P45" s="68">
        <f t="shared" si="24"/>
        <v>0</v>
      </c>
      <c r="Q45" s="14"/>
      <c r="R45" s="44"/>
    </row>
    <row r="46" spans="1:18" hidden="1">
      <c r="A46" s="14"/>
      <c r="B46" s="109">
        <f>'Description Sheet'!B45</f>
        <v>5.4</v>
      </c>
      <c r="C46" s="152" t="str">
        <f>'Description Sheet'!C45</f>
        <v>blank</v>
      </c>
      <c r="D46" s="107"/>
      <c r="E46" s="153" t="str">
        <f>IF('Maintenance Schedule'!R57="x","x","")</f>
        <v/>
      </c>
      <c r="F46" s="153" t="str">
        <f t="shared" si="21"/>
        <v/>
      </c>
      <c r="G46" s="154">
        <f t="shared" si="22"/>
        <v>0</v>
      </c>
      <c r="H46" s="155">
        <f t="shared" si="20"/>
        <v>0</v>
      </c>
      <c r="I46" s="156">
        <f t="shared" si="23"/>
        <v>0</v>
      </c>
      <c r="J46" s="14"/>
      <c r="K46" s="15"/>
      <c r="L46" s="32"/>
      <c r="M46" s="70" t="str">
        <f>'Description Sheet'!K45</f>
        <v>No</v>
      </c>
      <c r="N46" s="67">
        <f>'Description Sheet'!L45</f>
        <v>0</v>
      </c>
      <c r="O46" s="73">
        <f>'Year (2026-2027)'!O46*(('Description Sheet'!M4)+1)</f>
        <v>0</v>
      </c>
      <c r="P46" s="68">
        <f t="shared" si="24"/>
        <v>0</v>
      </c>
      <c r="Q46" s="14"/>
      <c r="R46" s="44"/>
    </row>
    <row r="47" spans="1:18" ht="17" thickBot="1">
      <c r="A47" s="14"/>
      <c r="B47" s="109"/>
      <c r="C47" s="152"/>
      <c r="D47" s="107"/>
      <c r="E47" s="162"/>
      <c r="F47" s="154"/>
      <c r="G47" s="154"/>
      <c r="H47" s="155"/>
      <c r="I47" s="155"/>
      <c r="J47" s="14"/>
      <c r="K47" s="15"/>
      <c r="L47" s="32"/>
      <c r="M47" s="67"/>
      <c r="N47" s="67"/>
      <c r="O47" s="73"/>
      <c r="P47" s="68"/>
      <c r="Q47" s="14"/>
      <c r="R47" s="44"/>
    </row>
    <row r="48" spans="1:18" s="4" customFormat="1" ht="15.75" customHeight="1" thickBot="1">
      <c r="A48" s="14"/>
      <c r="B48" s="109"/>
      <c r="C48" s="115"/>
      <c r="D48" s="107"/>
      <c r="E48" s="159"/>
      <c r="F48" s="528" t="s">
        <v>7</v>
      </c>
      <c r="G48" s="529"/>
      <c r="H48" s="530">
        <f>SUM(I43:I47)</f>
        <v>5554.0601303040021</v>
      </c>
      <c r="I48" s="531"/>
      <c r="J48" s="14"/>
      <c r="K48" s="15"/>
      <c r="L48" s="33"/>
      <c r="M48" s="508" t="s">
        <v>7</v>
      </c>
      <c r="N48" s="509"/>
      <c r="O48" s="510">
        <f>SUM(P43:P47)</f>
        <v>5554.0601303040021</v>
      </c>
      <c r="P48" s="511"/>
      <c r="Q48" s="14"/>
      <c r="R48" s="31"/>
    </row>
    <row r="49" spans="1:18" ht="17" thickBot="1">
      <c r="A49" s="14"/>
      <c r="B49" s="109">
        <f>'Description Sheet'!B48</f>
        <v>6</v>
      </c>
      <c r="C49" s="113" t="str">
        <f>'Description Sheet'!C48</f>
        <v>Roof  Areas</v>
      </c>
      <c r="D49" s="107"/>
      <c r="E49" s="110"/>
      <c r="F49" s="110"/>
      <c r="G49" s="110"/>
      <c r="H49" s="110"/>
      <c r="I49" s="151"/>
      <c r="J49" s="32"/>
      <c r="K49" s="40"/>
      <c r="L49" s="33"/>
      <c r="M49" s="24"/>
      <c r="N49" s="25"/>
      <c r="O49" s="25"/>
      <c r="P49" s="63"/>
      <c r="Q49" s="14"/>
      <c r="R49" s="44"/>
    </row>
    <row r="50" spans="1:18" hidden="1">
      <c r="A50" s="14"/>
      <c r="B50" s="109">
        <f>'Description Sheet'!B49</f>
        <v>6.1</v>
      </c>
      <c r="C50" s="152" t="str">
        <f>'Description Sheet'!C49</f>
        <v xml:space="preserve">Flashings/Counter Flashings </v>
      </c>
      <c r="D50" s="107"/>
      <c r="E50" s="153" t="str">
        <f>IF('Maintenance Schedule'!R64="x","x","")</f>
        <v/>
      </c>
      <c r="F50" s="153" t="str">
        <f>IF(E50="x","No","")</f>
        <v/>
      </c>
      <c r="G50" s="154">
        <f>IF(E50="x",1,0)</f>
        <v>0</v>
      </c>
      <c r="H50" s="155">
        <f t="shared" ref="H50:H66" si="25">IF(E50="x",P50,0)</f>
        <v>0</v>
      </c>
      <c r="I50" s="156">
        <f t="shared" ref="I50:I66" si="26">IF(E50="x",G50*H50,0)</f>
        <v>0</v>
      </c>
      <c r="J50" s="14"/>
      <c r="K50" s="15"/>
      <c r="L50" s="32"/>
      <c r="M50" s="67" t="str">
        <f>'Description Sheet'!K49</f>
        <v>No</v>
      </c>
      <c r="N50" s="67">
        <f>'Description Sheet'!L49</f>
        <v>0</v>
      </c>
      <c r="O50" s="73">
        <f>'Year (2026-2027)'!O50*(('Description Sheet'!M4)+1)</f>
        <v>15424.418419015685</v>
      </c>
      <c r="P50" s="69">
        <f t="shared" ref="P50:P66" si="27">N50*O50</f>
        <v>0</v>
      </c>
      <c r="Q50" s="14"/>
      <c r="R50" s="44"/>
    </row>
    <row r="51" spans="1:18" hidden="1">
      <c r="A51" s="14"/>
      <c r="B51" s="109">
        <f>'Description Sheet'!B50</f>
        <v>6.2</v>
      </c>
      <c r="C51" s="152" t="str">
        <f>'Description Sheet'!C50</f>
        <v>General Roof Repairs</v>
      </c>
      <c r="D51" s="107"/>
      <c r="E51" s="153" t="str">
        <f>IF('Maintenance Schedule'!R65="x","x","")</f>
        <v/>
      </c>
      <c r="F51" s="153" t="str">
        <f t="shared" ref="F51:F62" si="28">IF(E51="x","No","")</f>
        <v/>
      </c>
      <c r="G51" s="154">
        <f t="shared" ref="G51:G66" si="29">IF(E51="x",1,0)</f>
        <v>0</v>
      </c>
      <c r="H51" s="155">
        <f t="shared" si="25"/>
        <v>0</v>
      </c>
      <c r="I51" s="156">
        <f t="shared" si="26"/>
        <v>0</v>
      </c>
      <c r="J51" s="14"/>
      <c r="K51" s="15"/>
      <c r="L51" s="32"/>
      <c r="M51" s="67" t="str">
        <f>'Description Sheet'!K50</f>
        <v>No</v>
      </c>
      <c r="N51" s="67">
        <f>'Description Sheet'!L50</f>
        <v>0</v>
      </c>
      <c r="O51" s="73">
        <f>'Year (2026-2027)'!O51*(('Description Sheet'!M4)+1)</f>
        <v>17.138242687795209</v>
      </c>
      <c r="P51" s="69">
        <f t="shared" si="27"/>
        <v>0</v>
      </c>
      <c r="Q51" s="14"/>
      <c r="R51" s="44"/>
    </row>
    <row r="52" spans="1:18">
      <c r="A52" s="14"/>
      <c r="B52" s="109">
        <f>'Description Sheet'!B51</f>
        <v>6.3</v>
      </c>
      <c r="C52" s="152" t="str">
        <f>'Description Sheet'!C51</f>
        <v>Cleaning &amp; Maintenance &amp; Repairs of Gutters and Downpipes</v>
      </c>
      <c r="D52" s="107"/>
      <c r="E52" s="153" t="str">
        <f>IF('Maintenance Schedule'!R66="x","x","")</f>
        <v>x</v>
      </c>
      <c r="F52" s="153" t="str">
        <f t="shared" si="28"/>
        <v>No</v>
      </c>
      <c r="G52" s="154">
        <f t="shared" si="29"/>
        <v>1</v>
      </c>
      <c r="H52" s="155">
        <f t="shared" si="25"/>
        <v>5062.1290901913617</v>
      </c>
      <c r="I52" s="156">
        <f t="shared" si="26"/>
        <v>5062.1290901913617</v>
      </c>
      <c r="J52" s="14"/>
      <c r="K52" s="15"/>
      <c r="L52" s="32"/>
      <c r="M52" s="67" t="str">
        <f>'Description Sheet'!K51</f>
        <v>lm</v>
      </c>
      <c r="N52" s="67">
        <f>'Description Sheet'!L51</f>
        <v>110</v>
      </c>
      <c r="O52" s="73">
        <f>'Year (2026-2027)'!O52*(('Description Sheet'!M4)+1)</f>
        <v>46.019355365376015</v>
      </c>
      <c r="P52" s="69">
        <f t="shared" si="27"/>
        <v>5062.1290901913617</v>
      </c>
      <c r="Q52" s="14"/>
      <c r="R52" s="44"/>
    </row>
    <row r="53" spans="1:18" hidden="1">
      <c r="A53" s="14"/>
      <c r="B53" s="109">
        <f>'Description Sheet'!B52</f>
        <v>6.4</v>
      </c>
      <c r="C53" s="152" t="str">
        <f>'Description Sheet'!C52</f>
        <v xml:space="preserve">Painting &amp; Repair of Metal Roof Areas </v>
      </c>
      <c r="D53" s="107"/>
      <c r="E53" s="153" t="str">
        <f>IF('Maintenance Schedule'!R67="x","x","")</f>
        <v/>
      </c>
      <c r="F53" s="153" t="str">
        <f>IF(E53="x","item","")</f>
        <v/>
      </c>
      <c r="G53" s="154">
        <f t="shared" si="29"/>
        <v>0</v>
      </c>
      <c r="H53" s="155">
        <f t="shared" si="25"/>
        <v>0</v>
      </c>
      <c r="I53" s="156">
        <f t="shared" si="26"/>
        <v>0</v>
      </c>
      <c r="J53" s="14"/>
      <c r="K53" s="15"/>
      <c r="L53" s="32"/>
      <c r="M53" s="67" t="str">
        <f>'Description Sheet'!K52</f>
        <v>m2</v>
      </c>
      <c r="N53" s="67">
        <f>'Description Sheet'!L52</f>
        <v>0</v>
      </c>
      <c r="O53" s="73">
        <f>'Year (2026-2027)'!O53*(('Description Sheet'!M4)+1)</f>
        <v>265.00801193164813</v>
      </c>
      <c r="P53" s="69">
        <f t="shared" si="27"/>
        <v>0</v>
      </c>
      <c r="Q53" s="14"/>
      <c r="R53" s="44"/>
    </row>
    <row r="54" spans="1:18" hidden="1">
      <c r="A54" s="14"/>
      <c r="B54" s="109">
        <f>'Description Sheet'!B53</f>
        <v>6.5</v>
      </c>
      <c r="C54" s="152" t="str">
        <f>'Description Sheet'!C53</f>
        <v xml:space="preserve">Painting &amp; Repair of Tile Roof Areas </v>
      </c>
      <c r="D54" s="107"/>
      <c r="E54" s="153" t="str">
        <f>IF('Maintenance Schedule'!R68="x","x","")</f>
        <v/>
      </c>
      <c r="F54" s="153" t="str">
        <f>IF(E54="x","item","")</f>
        <v/>
      </c>
      <c r="G54" s="154">
        <f t="shared" si="29"/>
        <v>0</v>
      </c>
      <c r="H54" s="155">
        <f t="shared" si="25"/>
        <v>0</v>
      </c>
      <c r="I54" s="156">
        <f t="shared" si="26"/>
        <v>0</v>
      </c>
      <c r="J54" s="14"/>
      <c r="K54" s="15"/>
      <c r="L54" s="32"/>
      <c r="M54" s="67" t="str">
        <f>'Description Sheet'!K53</f>
        <v>m2</v>
      </c>
      <c r="N54" s="67">
        <f>'Description Sheet'!L53</f>
        <v>0</v>
      </c>
      <c r="O54" s="73">
        <f>'Year (2026-2027)'!O54*(('Description Sheet'!M4)+1)</f>
        <v>144.40556338790404</v>
      </c>
      <c r="P54" s="69">
        <f t="shared" si="27"/>
        <v>0</v>
      </c>
      <c r="Q54" s="14"/>
      <c r="R54" s="44"/>
    </row>
    <row r="55" spans="1:18" hidden="1">
      <c r="A55" s="14"/>
      <c r="B55" s="109">
        <f>'Description Sheet'!B54</f>
        <v>6.6</v>
      </c>
      <c r="C55" s="152" t="str">
        <f>'Description Sheet'!C54</f>
        <v xml:space="preserve">Painting &amp; Repairs of Asbestos Roof Areas </v>
      </c>
      <c r="D55" s="107"/>
      <c r="E55" s="153" t="str">
        <f>IF('Maintenance Schedule'!R69="x","x","")</f>
        <v/>
      </c>
      <c r="F55" s="153" t="str">
        <f t="shared" si="28"/>
        <v/>
      </c>
      <c r="G55" s="154">
        <f t="shared" si="29"/>
        <v>0</v>
      </c>
      <c r="H55" s="155">
        <f t="shared" si="25"/>
        <v>0</v>
      </c>
      <c r="I55" s="156">
        <f t="shared" si="26"/>
        <v>0</v>
      </c>
      <c r="J55" s="14"/>
      <c r="K55" s="15"/>
      <c r="L55" s="32"/>
      <c r="M55" s="67" t="str">
        <f>'Description Sheet'!K54</f>
        <v>m2</v>
      </c>
      <c r="N55" s="67">
        <f>'Description Sheet'!L54</f>
        <v>0</v>
      </c>
      <c r="O55" s="73">
        <f>'Year (2026-2027)'!O55*(('Description Sheet'!M4)+1)</f>
        <v>299.9192470364161</v>
      </c>
      <c r="P55" s="69">
        <f t="shared" si="27"/>
        <v>0</v>
      </c>
      <c r="Q55" s="14"/>
      <c r="R55" s="44"/>
    </row>
    <row r="56" spans="1:18" hidden="1">
      <c r="A56" s="14"/>
      <c r="B56" s="109">
        <f>'Description Sheet'!B55</f>
        <v>6.7</v>
      </c>
      <c r="C56" s="152" t="str">
        <f>'Description Sheet'!C55</f>
        <v xml:space="preserve">Painting &amp; Repairs of Fibre Cement Roof Areas </v>
      </c>
      <c r="D56" s="107"/>
      <c r="E56" s="153" t="str">
        <f>IF('Maintenance Schedule'!R70="x","x","")</f>
        <v/>
      </c>
      <c r="F56" s="153" t="str">
        <f>IF(E56="x","item","")</f>
        <v/>
      </c>
      <c r="G56" s="154">
        <f t="shared" si="29"/>
        <v>0</v>
      </c>
      <c r="H56" s="155">
        <f t="shared" si="25"/>
        <v>0</v>
      </c>
      <c r="I56" s="156">
        <f t="shared" si="26"/>
        <v>0</v>
      </c>
      <c r="J56" s="14"/>
      <c r="K56" s="15"/>
      <c r="L56" s="32"/>
      <c r="M56" s="67" t="str">
        <f>'Description Sheet'!K55</f>
        <v>m2</v>
      </c>
      <c r="N56" s="67">
        <f>'Description Sheet'!L55</f>
        <v>0</v>
      </c>
      <c r="O56" s="73">
        <f>'Year (2026-2027)'!O56*(('Description Sheet'!M4)+1)</f>
        <v>282.46362948403214</v>
      </c>
      <c r="P56" s="69">
        <f t="shared" si="27"/>
        <v>0</v>
      </c>
      <c r="Q56" s="14"/>
      <c r="R56" s="44"/>
    </row>
    <row r="57" spans="1:18" hidden="1">
      <c r="A57" s="14"/>
      <c r="B57" s="109">
        <f>'Description Sheet'!B56</f>
        <v>6.8</v>
      </c>
      <c r="C57" s="152" t="str">
        <f>'Description Sheet'!C56</f>
        <v>Servicing of Roof Screws</v>
      </c>
      <c r="D57" s="107"/>
      <c r="E57" s="153" t="str">
        <f>IF('Maintenance Schedule'!R71="x","x","")</f>
        <v/>
      </c>
      <c r="F57" s="153" t="str">
        <f t="shared" ref="F57:F59" si="30">IF(E57="x","item","")</f>
        <v/>
      </c>
      <c r="G57" s="154">
        <f t="shared" si="29"/>
        <v>0</v>
      </c>
      <c r="H57" s="155">
        <f t="shared" si="25"/>
        <v>0</v>
      </c>
      <c r="I57" s="156">
        <f t="shared" si="26"/>
        <v>0</v>
      </c>
      <c r="J57" s="14"/>
      <c r="K57" s="15"/>
      <c r="L57" s="32"/>
      <c r="M57" s="67" t="str">
        <f>'Description Sheet'!K56</f>
        <v>No</v>
      </c>
      <c r="N57" s="67">
        <f>'Description Sheet'!L56</f>
        <v>0</v>
      </c>
      <c r="O57" s="73">
        <f>'Year (2026-2027)'!O57*(('Description Sheet'!M4)+1)</f>
        <v>10282.945612677124</v>
      </c>
      <c r="P57" s="69">
        <f t="shared" si="27"/>
        <v>0</v>
      </c>
      <c r="Q57" s="14"/>
      <c r="R57" s="44"/>
    </row>
    <row r="58" spans="1:18" hidden="1">
      <c r="A58" s="14"/>
      <c r="B58" s="109">
        <f>'Description Sheet'!B57</f>
        <v>6.9</v>
      </c>
      <c r="C58" s="152" t="str">
        <f>'Description Sheet'!C57</f>
        <v xml:space="preserve">Servicing and Re-lignment of Gutters </v>
      </c>
      <c r="D58" s="107"/>
      <c r="E58" s="153" t="str">
        <f>IF('Maintenance Schedule'!R72="x","x","")</f>
        <v/>
      </c>
      <c r="F58" s="153" t="str">
        <f t="shared" si="30"/>
        <v/>
      </c>
      <c r="G58" s="154">
        <f t="shared" si="29"/>
        <v>0</v>
      </c>
      <c r="H58" s="155">
        <f t="shared" si="25"/>
        <v>0</v>
      </c>
      <c r="I58" s="156">
        <f t="shared" si="26"/>
        <v>0</v>
      </c>
      <c r="J58" s="14"/>
      <c r="K58" s="15"/>
      <c r="L58" s="32"/>
      <c r="M58" s="67" t="str">
        <f>'Description Sheet'!K57</f>
        <v>item</v>
      </c>
      <c r="N58" s="67">
        <f>'Description Sheet'!L57</f>
        <v>0</v>
      </c>
      <c r="O58" s="73">
        <f>'Year (2026-2027)'!O58*(('Description Sheet'!M4)+1)</f>
        <v>5998.3849407283215</v>
      </c>
      <c r="P58" s="69">
        <f t="shared" si="27"/>
        <v>0</v>
      </c>
      <c r="Q58" s="14"/>
      <c r="R58" s="44"/>
    </row>
    <row r="59" spans="1:18" hidden="1">
      <c r="A59" s="14"/>
      <c r="B59" s="112">
        <f>'Description Sheet'!B58</f>
        <v>6.1</v>
      </c>
      <c r="C59" s="152" t="str">
        <f>'Description Sheet'!C58</f>
        <v>Replacement of Damaged Metal Roof Sheeting</v>
      </c>
      <c r="D59" s="107"/>
      <c r="E59" s="153" t="str">
        <f>IF('Maintenance Schedule'!R73="x","x","")</f>
        <v/>
      </c>
      <c r="F59" s="153" t="str">
        <f t="shared" si="30"/>
        <v/>
      </c>
      <c r="G59" s="154">
        <f t="shared" si="29"/>
        <v>0</v>
      </c>
      <c r="H59" s="155">
        <f t="shared" si="25"/>
        <v>0</v>
      </c>
      <c r="I59" s="156">
        <f t="shared" si="26"/>
        <v>0</v>
      </c>
      <c r="J59" s="14"/>
      <c r="K59" s="15"/>
      <c r="L59" s="32"/>
      <c r="M59" s="67" t="str">
        <f>'Description Sheet'!K58</f>
        <v>m2</v>
      </c>
      <c r="N59" s="67">
        <f>'Description Sheet'!L58</f>
        <v>0</v>
      </c>
      <c r="O59" s="73">
        <f>'Year (2026-2027)'!O59*(('Description Sheet'!M4)+1)</f>
        <v>771.22092095078426</v>
      </c>
      <c r="P59" s="69">
        <f t="shared" si="27"/>
        <v>0</v>
      </c>
      <c r="Q59" s="14"/>
      <c r="R59" s="44"/>
    </row>
    <row r="60" spans="1:18" hidden="1">
      <c r="A60" s="14"/>
      <c r="B60" s="112">
        <f>'Description Sheet'!B59</f>
        <v>6.11</v>
      </c>
      <c r="C60" s="152" t="str">
        <f>'Description Sheet'!C59</f>
        <v>Replacement of Polycarbonate Roof Sheeting</v>
      </c>
      <c r="D60" s="107"/>
      <c r="E60" s="153" t="str">
        <f>IF('Maintenance Schedule'!R74="x","x","")</f>
        <v/>
      </c>
      <c r="F60" s="153" t="str">
        <f t="shared" si="28"/>
        <v/>
      </c>
      <c r="G60" s="154">
        <f t="shared" si="29"/>
        <v>0</v>
      </c>
      <c r="H60" s="155">
        <f t="shared" si="25"/>
        <v>0</v>
      </c>
      <c r="I60" s="156">
        <f t="shared" si="26"/>
        <v>0</v>
      </c>
      <c r="J60" s="14"/>
      <c r="K60" s="15"/>
      <c r="L60" s="32"/>
      <c r="M60" s="67" t="str">
        <f>'Description Sheet'!K59</f>
        <v>m2</v>
      </c>
      <c r="N60" s="67">
        <f>'Description Sheet'!L59</f>
        <v>0</v>
      </c>
      <c r="O60" s="73">
        <f>'Year (2026-2027)'!O60*(('Description Sheet'!M4)+1)</f>
        <v>856.91213438976035</v>
      </c>
      <c r="P60" s="69">
        <f t="shared" si="27"/>
        <v>0</v>
      </c>
      <c r="Q60" s="14"/>
      <c r="R60" s="44"/>
    </row>
    <row r="61" spans="1:18" hidden="1">
      <c r="A61" s="14"/>
      <c r="B61" s="112">
        <f>'Description Sheet'!B60</f>
        <v>6.12</v>
      </c>
      <c r="C61" s="152" t="str">
        <f>'Description Sheet'!C60</f>
        <v>Replacement of Tile Roofs</v>
      </c>
      <c r="D61" s="107"/>
      <c r="E61" s="153" t="str">
        <f>IF('Maintenance Schedule'!R75="x","x","")</f>
        <v/>
      </c>
      <c r="F61" s="153" t="str">
        <f t="shared" si="28"/>
        <v/>
      </c>
      <c r="G61" s="154">
        <f t="shared" si="29"/>
        <v>0</v>
      </c>
      <c r="H61" s="155">
        <f t="shared" si="25"/>
        <v>0</v>
      </c>
      <c r="I61" s="156">
        <f t="shared" si="26"/>
        <v>0</v>
      </c>
      <c r="J61" s="14"/>
      <c r="K61" s="15"/>
      <c r="L61" s="32"/>
      <c r="M61" s="67" t="str">
        <f>'Description Sheet'!K60</f>
        <v>m2</v>
      </c>
      <c r="N61" s="67">
        <f>'Description Sheet'!L60</f>
        <v>0</v>
      </c>
      <c r="O61" s="73">
        <f>'Year (2026-2027)'!O61*(('Description Sheet'!M4)+1)</f>
        <v>1164.7657530408965</v>
      </c>
      <c r="P61" s="69">
        <f t="shared" si="27"/>
        <v>0</v>
      </c>
      <c r="Q61" s="14"/>
      <c r="R61" s="44"/>
    </row>
    <row r="62" spans="1:18" hidden="1">
      <c r="A62" s="14"/>
      <c r="B62" s="112">
        <f>'Description Sheet'!B61</f>
        <v>6.13</v>
      </c>
      <c r="C62" s="152" t="str">
        <f>'Description Sheet'!C61</f>
        <v>Replacement of Tile Roof and Structure</v>
      </c>
      <c r="D62" s="107"/>
      <c r="E62" s="153" t="str">
        <f>IF('Maintenance Schedule'!R76="x","x","")</f>
        <v/>
      </c>
      <c r="F62" s="153" t="str">
        <f t="shared" si="28"/>
        <v/>
      </c>
      <c r="G62" s="154">
        <f t="shared" si="29"/>
        <v>0</v>
      </c>
      <c r="H62" s="155">
        <f t="shared" si="25"/>
        <v>0</v>
      </c>
      <c r="I62" s="156">
        <f t="shared" si="26"/>
        <v>0</v>
      </c>
      <c r="J62" s="14"/>
      <c r="K62" s="15"/>
      <c r="L62" s="32"/>
      <c r="M62" s="67" t="str">
        <f>'Description Sheet'!K61</f>
        <v>m2</v>
      </c>
      <c r="N62" s="67">
        <f>'Description Sheet'!L61</f>
        <v>0</v>
      </c>
      <c r="O62" s="73">
        <f>'Year (2026-2027)'!O62*(('Description Sheet'!M4)+1)</f>
        <v>1440.8818852331522</v>
      </c>
      <c r="P62" s="69">
        <f t="shared" si="27"/>
        <v>0</v>
      </c>
      <c r="Q62" s="14"/>
      <c r="R62" s="44"/>
    </row>
    <row r="63" spans="1:18" hidden="1">
      <c r="A63" s="14"/>
      <c r="B63" s="112">
        <f>'Description Sheet'!B62</f>
        <v>6.14</v>
      </c>
      <c r="C63" s="152" t="str">
        <f>'Description Sheet'!C62</f>
        <v>Replacement of Fibre Cement Roof</v>
      </c>
      <c r="D63" s="107"/>
      <c r="E63" s="153" t="str">
        <f>IF('Maintenance Schedule'!R77="x","x","")</f>
        <v/>
      </c>
      <c r="F63" s="153" t="str">
        <f t="shared" ref="F63:F66" si="31">IF(E63="x","item","")</f>
        <v/>
      </c>
      <c r="G63" s="154">
        <f t="shared" si="29"/>
        <v>0</v>
      </c>
      <c r="H63" s="155">
        <f t="shared" si="25"/>
        <v>0</v>
      </c>
      <c r="I63" s="156">
        <f t="shared" si="26"/>
        <v>0</v>
      </c>
      <c r="J63" s="14"/>
      <c r="K63" s="15"/>
      <c r="L63" s="32"/>
      <c r="M63" s="67" t="str">
        <f>'Description Sheet'!K62</f>
        <v>m2</v>
      </c>
      <c r="N63" s="67">
        <f>'Description Sheet'!L62</f>
        <v>0</v>
      </c>
      <c r="O63" s="73">
        <f>'Year (2026-2027)'!O63*(('Description Sheet'!M4)+1)</f>
        <v>1113.9857747066885</v>
      </c>
      <c r="P63" s="69">
        <f t="shared" si="27"/>
        <v>0</v>
      </c>
      <c r="Q63" s="14"/>
      <c r="R63" s="44"/>
    </row>
    <row r="64" spans="1:18" hidden="1">
      <c r="A64" s="14"/>
      <c r="B64" s="112">
        <f>'Description Sheet'!B63</f>
        <v>6.15</v>
      </c>
      <c r="C64" s="152" t="str">
        <f>'Description Sheet'!C63</f>
        <v>blank</v>
      </c>
      <c r="D64" s="107"/>
      <c r="E64" s="153" t="str">
        <f>IF('Maintenance Schedule'!R78="x","x","")</f>
        <v/>
      </c>
      <c r="F64" s="153" t="str">
        <f t="shared" si="31"/>
        <v/>
      </c>
      <c r="G64" s="154">
        <f t="shared" si="29"/>
        <v>0</v>
      </c>
      <c r="H64" s="155">
        <f t="shared" si="25"/>
        <v>0</v>
      </c>
      <c r="I64" s="156">
        <f t="shared" si="26"/>
        <v>0</v>
      </c>
      <c r="J64" s="14"/>
      <c r="K64" s="15"/>
      <c r="L64" s="32"/>
      <c r="M64" s="67" t="str">
        <f>'Description Sheet'!K63</f>
        <v>item</v>
      </c>
      <c r="N64" s="67">
        <f>'Description Sheet'!L63</f>
        <v>0</v>
      </c>
      <c r="O64" s="73">
        <f>'Year (2026-2027)'!O64*(('Description Sheet'!M4)+1)</f>
        <v>0</v>
      </c>
      <c r="P64" s="69">
        <f t="shared" si="27"/>
        <v>0</v>
      </c>
      <c r="Q64" s="14"/>
      <c r="R64" s="44"/>
    </row>
    <row r="65" spans="1:19" hidden="1">
      <c r="A65" s="14"/>
      <c r="B65" s="112">
        <f>'Description Sheet'!B64</f>
        <v>6.17</v>
      </c>
      <c r="C65" s="152" t="str">
        <f>'Description Sheet'!C64</f>
        <v>blank</v>
      </c>
      <c r="D65" s="107"/>
      <c r="E65" s="153" t="str">
        <f>IF('Maintenance Schedule'!R79="x","x","")</f>
        <v/>
      </c>
      <c r="F65" s="153" t="str">
        <f t="shared" si="31"/>
        <v/>
      </c>
      <c r="G65" s="154">
        <f t="shared" si="29"/>
        <v>0</v>
      </c>
      <c r="H65" s="155">
        <f t="shared" si="25"/>
        <v>0</v>
      </c>
      <c r="I65" s="156">
        <f t="shared" si="26"/>
        <v>0</v>
      </c>
      <c r="J65" s="14"/>
      <c r="K65" s="15"/>
      <c r="L65" s="32"/>
      <c r="M65" s="67" t="str">
        <f>'Description Sheet'!K64</f>
        <v>item</v>
      </c>
      <c r="N65" s="67">
        <f>'Description Sheet'!L64</f>
        <v>0</v>
      </c>
      <c r="O65" s="73">
        <f>'Year (2026-2027)'!O65*(('Description Sheet'!M4)+1)</f>
        <v>0</v>
      </c>
      <c r="P65" s="69">
        <f t="shared" si="27"/>
        <v>0</v>
      </c>
      <c r="Q65" s="14"/>
      <c r="R65" s="44"/>
    </row>
    <row r="66" spans="1:19" hidden="1">
      <c r="A66" s="14"/>
      <c r="B66" s="112">
        <f>'Description Sheet'!B65</f>
        <v>6.18</v>
      </c>
      <c r="C66" s="152" t="str">
        <f>'Description Sheet'!C65</f>
        <v>blank</v>
      </c>
      <c r="D66" s="107"/>
      <c r="E66" s="153" t="str">
        <f>IF('Maintenance Schedule'!R80="x","x","")</f>
        <v/>
      </c>
      <c r="F66" s="153" t="str">
        <f t="shared" si="31"/>
        <v/>
      </c>
      <c r="G66" s="154">
        <f t="shared" si="29"/>
        <v>0</v>
      </c>
      <c r="H66" s="155">
        <f t="shared" si="25"/>
        <v>0</v>
      </c>
      <c r="I66" s="156">
        <f t="shared" si="26"/>
        <v>0</v>
      </c>
      <c r="J66" s="14"/>
      <c r="K66" s="15"/>
      <c r="L66" s="32"/>
      <c r="M66" s="67" t="str">
        <f>'Description Sheet'!K65</f>
        <v>item</v>
      </c>
      <c r="N66" s="67">
        <f>'Description Sheet'!L65</f>
        <v>0</v>
      </c>
      <c r="O66" s="73">
        <f>'Year (2026-2027)'!O66*(('Description Sheet'!M4)+1)</f>
        <v>0</v>
      </c>
      <c r="P66" s="69">
        <f t="shared" si="27"/>
        <v>0</v>
      </c>
      <c r="Q66" s="14"/>
      <c r="R66" s="44"/>
    </row>
    <row r="67" spans="1:19" ht="17" thickBot="1">
      <c r="A67" s="14"/>
      <c r="B67" s="109"/>
      <c r="C67" s="152"/>
      <c r="D67" s="107"/>
      <c r="E67" s="153"/>
      <c r="F67" s="153"/>
      <c r="G67" s="154"/>
      <c r="H67" s="155"/>
      <c r="I67" s="155"/>
      <c r="J67" s="14"/>
      <c r="K67" s="15"/>
      <c r="L67" s="32"/>
      <c r="M67" s="70"/>
      <c r="N67" s="67"/>
      <c r="O67" s="73"/>
      <c r="P67" s="79"/>
      <c r="Q67" s="14"/>
      <c r="R67" s="44"/>
    </row>
    <row r="68" spans="1:19" s="4" customFormat="1" ht="15.75" customHeight="1" thickBot="1">
      <c r="A68" s="14"/>
      <c r="B68" s="109"/>
      <c r="C68" s="115"/>
      <c r="D68" s="107"/>
      <c r="E68" s="159"/>
      <c r="F68" s="528" t="s">
        <v>7</v>
      </c>
      <c r="G68" s="529"/>
      <c r="H68" s="530">
        <f>SUM(I50:I67)</f>
        <v>5062.1290901913617</v>
      </c>
      <c r="I68" s="531"/>
      <c r="J68" s="14"/>
      <c r="K68" s="15"/>
      <c r="L68" s="33"/>
      <c r="M68" s="508" t="s">
        <v>7</v>
      </c>
      <c r="N68" s="509"/>
      <c r="O68" s="510">
        <f>SUM(P50:P67)</f>
        <v>5062.1290901913617</v>
      </c>
      <c r="P68" s="511"/>
      <c r="Q68" s="14"/>
      <c r="R68" s="31"/>
    </row>
    <row r="69" spans="1:19" ht="17" hidden="1" thickBot="1">
      <c r="A69" s="14"/>
      <c r="B69" s="109">
        <f>'Description Sheet'!B68</f>
        <v>7</v>
      </c>
      <c r="C69" s="113" t="str">
        <f>'Description Sheet'!C68</f>
        <v>Painting and Repairs</v>
      </c>
      <c r="D69" s="107"/>
      <c r="E69" s="110"/>
      <c r="F69" s="110"/>
      <c r="G69" s="110"/>
      <c r="H69" s="110"/>
      <c r="I69" s="151"/>
      <c r="J69" s="32"/>
      <c r="K69" s="40"/>
      <c r="L69" s="33"/>
      <c r="M69" s="24"/>
      <c r="N69" s="25"/>
      <c r="O69" s="25"/>
      <c r="P69" s="63"/>
      <c r="Q69" s="14"/>
      <c r="R69" s="44"/>
    </row>
    <row r="70" spans="1:19" hidden="1">
      <c r="A70" s="14"/>
      <c r="B70" s="109">
        <f>'Description Sheet'!B69</f>
        <v>7.1</v>
      </c>
      <c r="C70" s="152" t="str">
        <f>'Description Sheet'!C69</f>
        <v>External  Painting and Remedial Repairs</v>
      </c>
      <c r="D70" s="107"/>
      <c r="E70" s="153" t="str">
        <f>IF('Maintenance Schedule'!R87="x","x","")</f>
        <v/>
      </c>
      <c r="F70" s="153" t="str">
        <f t="shared" ref="F70:F91" si="32">IF(E70="x","No","")</f>
        <v/>
      </c>
      <c r="G70" s="154">
        <f>IF(E70="x",1,0)</f>
        <v>0</v>
      </c>
      <c r="H70" s="155">
        <f t="shared" ref="H70:H91" si="33">IF(E70="x",P70,0)</f>
        <v>0</v>
      </c>
      <c r="I70" s="156">
        <f>IF(E70="x",G70*H70,0)</f>
        <v>0</v>
      </c>
      <c r="J70" s="14"/>
      <c r="K70" s="15"/>
      <c r="L70" s="32"/>
      <c r="M70" s="67" t="str">
        <f>'Description Sheet'!K69</f>
        <v>m2</v>
      </c>
      <c r="N70" s="67">
        <f>'Description Sheet'!L69</f>
        <v>1</v>
      </c>
      <c r="O70" s="73">
        <f>'Year (2026-2027)'!O70*(('Description Sheet'!M4)+1)</f>
        <v>2925004.1915173414</v>
      </c>
      <c r="P70" s="68">
        <f t="shared" ref="P70:P78" si="34">N70*O70</f>
        <v>2925004.1915173414</v>
      </c>
      <c r="Q70" s="14"/>
      <c r="R70" s="44"/>
    </row>
    <row r="71" spans="1:19" hidden="1">
      <c r="A71" s="14"/>
      <c r="B71" s="109">
        <f>'Description Sheet'!B70</f>
        <v>7.2</v>
      </c>
      <c r="C71" s="152" t="str">
        <f>'Description Sheet'!C70</f>
        <v>Internal Repairs to Apartments 505, 405, 305</v>
      </c>
      <c r="D71" s="107"/>
      <c r="E71" s="153" t="str">
        <f>IF('Maintenance Schedule'!R88="x","x","")</f>
        <v/>
      </c>
      <c r="F71" s="153" t="str">
        <f t="shared" si="32"/>
        <v/>
      </c>
      <c r="G71" s="154">
        <f t="shared" ref="G71:G91" si="35">IF(E71="x",1,0)</f>
        <v>0</v>
      </c>
      <c r="H71" s="155">
        <f t="shared" si="33"/>
        <v>0</v>
      </c>
      <c r="I71" s="156">
        <f t="shared" ref="I71:I91" si="36">IF(E71="x",G71*H71,0)</f>
        <v>0</v>
      </c>
      <c r="J71" s="14"/>
      <c r="K71" s="15"/>
      <c r="L71" s="32"/>
      <c r="M71" s="67" t="str">
        <f>'Description Sheet'!K70</f>
        <v>m2</v>
      </c>
      <c r="N71" s="67">
        <f>'Description Sheet'!L70</f>
        <v>1</v>
      </c>
      <c r="O71" s="73">
        <f>'Year (2026-2027)'!O71*(('Description Sheet'!M4)+1)</f>
        <v>246362.23863705609</v>
      </c>
      <c r="P71" s="68">
        <f t="shared" si="34"/>
        <v>246362.23863705609</v>
      </c>
      <c r="Q71" s="14"/>
      <c r="R71" s="44"/>
    </row>
    <row r="72" spans="1:19" hidden="1">
      <c r="A72" s="14"/>
      <c r="B72" s="109">
        <f>'Description Sheet'!B71</f>
        <v>7.3</v>
      </c>
      <c r="C72" s="152" t="str">
        <f>'Description Sheet'!C71</f>
        <v>Exposed Tops</v>
      </c>
      <c r="D72" s="107"/>
      <c r="E72" s="153" t="str">
        <f>IF('Maintenance Schedule'!R89="x","x","")</f>
        <v/>
      </c>
      <c r="F72" s="153" t="str">
        <f t="shared" si="32"/>
        <v/>
      </c>
      <c r="G72" s="154">
        <f t="shared" si="35"/>
        <v>0</v>
      </c>
      <c r="H72" s="155">
        <f t="shared" si="33"/>
        <v>0</v>
      </c>
      <c r="I72" s="156">
        <f t="shared" si="36"/>
        <v>0</v>
      </c>
      <c r="J72" s="14"/>
      <c r="K72" s="15"/>
      <c r="L72" s="32"/>
      <c r="M72" s="67" t="str">
        <f>'Description Sheet'!K71</f>
        <v>m2</v>
      </c>
      <c r="N72" s="67">
        <f>'Description Sheet'!L71</f>
        <v>0</v>
      </c>
      <c r="O72" s="73">
        <f>'Year (2026-2027)'!O72*(('Description Sheet'!M4)+1)</f>
        <v>196.7724160450561</v>
      </c>
      <c r="P72" s="68">
        <f t="shared" si="34"/>
        <v>0</v>
      </c>
      <c r="Q72" s="14"/>
      <c r="R72" s="44"/>
    </row>
    <row r="73" spans="1:19" hidden="1">
      <c r="A73" s="14"/>
      <c r="B73" s="109">
        <f>'Description Sheet'!B72</f>
        <v>7.4</v>
      </c>
      <c r="C73" s="152" t="str">
        <f>'Description Sheet'!C72</f>
        <v>Wall to Frame Sealant (Exposed)</v>
      </c>
      <c r="D73" s="107"/>
      <c r="E73" s="153" t="str">
        <f>IF('Maintenance Schedule'!R90="x","x","")</f>
        <v/>
      </c>
      <c r="F73" s="153" t="str">
        <f>IF(E73="x","All","")</f>
        <v/>
      </c>
      <c r="G73" s="154">
        <f t="shared" si="35"/>
        <v>0</v>
      </c>
      <c r="H73" s="155">
        <f t="shared" si="33"/>
        <v>0</v>
      </c>
      <c r="I73" s="156">
        <f t="shared" si="36"/>
        <v>0</v>
      </c>
      <c r="J73" s="14"/>
      <c r="K73" s="15"/>
      <c r="L73" s="32"/>
      <c r="M73" s="67" t="str">
        <f>'Description Sheet'!K72</f>
        <v>lm</v>
      </c>
      <c r="N73" s="67">
        <f>'Description Sheet'!L72</f>
        <v>0</v>
      </c>
      <c r="O73" s="73">
        <f>'Year (2026-2027)'!O73*(('Description Sheet'!M4)+1)</f>
        <v>111.08120260608004</v>
      </c>
      <c r="P73" s="68">
        <f t="shared" si="34"/>
        <v>0</v>
      </c>
      <c r="Q73" s="14"/>
      <c r="R73" s="44"/>
    </row>
    <row r="74" spans="1:19" hidden="1">
      <c r="A74" s="14"/>
      <c r="B74" s="109">
        <f>'Description Sheet'!B73</f>
        <v>7.5</v>
      </c>
      <c r="C74" s="152" t="str">
        <f>'Description Sheet'!C73</f>
        <v>Glass to Frame Sealant (Skylights)</v>
      </c>
      <c r="D74" s="107"/>
      <c r="E74" s="153" t="str">
        <f>IF('Maintenance Schedule'!R91="x","x","")</f>
        <v/>
      </c>
      <c r="F74" s="153" t="str">
        <f>IF(E74="x","All","")</f>
        <v/>
      </c>
      <c r="G74" s="154">
        <f t="shared" si="35"/>
        <v>0</v>
      </c>
      <c r="H74" s="155">
        <f t="shared" si="33"/>
        <v>0</v>
      </c>
      <c r="I74" s="156">
        <f t="shared" si="36"/>
        <v>0</v>
      </c>
      <c r="J74" s="14"/>
      <c r="K74" s="15"/>
      <c r="L74" s="32"/>
      <c r="M74" s="67" t="str">
        <f>'Description Sheet'!K73</f>
        <v>All</v>
      </c>
      <c r="N74" s="67">
        <f>'Description Sheet'!L73</f>
        <v>0</v>
      </c>
      <c r="O74" s="73">
        <f>'Year (2026-2027)'!O74*(('Description Sheet'!M4)+1)</f>
        <v>25707.36403169281</v>
      </c>
      <c r="P74" s="68">
        <f>N74*O74</f>
        <v>0</v>
      </c>
      <c r="Q74" s="14"/>
      <c r="R74" s="44"/>
    </row>
    <row r="75" spans="1:19" hidden="1">
      <c r="A75" s="14"/>
      <c r="B75" s="109">
        <f>'Description Sheet'!B74</f>
        <v>7.6</v>
      </c>
      <c r="C75" s="152" t="str">
        <f>'Description Sheet'!C74</f>
        <v>Metal Windows and Putty Repairs</v>
      </c>
      <c r="D75" s="107"/>
      <c r="E75" s="153" t="str">
        <f>IF('Maintenance Schedule'!R92="x","x","")</f>
        <v/>
      </c>
      <c r="F75" s="153" t="str">
        <f t="shared" si="32"/>
        <v/>
      </c>
      <c r="G75" s="154">
        <f t="shared" si="35"/>
        <v>0</v>
      </c>
      <c r="H75" s="155">
        <f t="shared" si="33"/>
        <v>0</v>
      </c>
      <c r="I75" s="156">
        <f t="shared" si="36"/>
        <v>0</v>
      </c>
      <c r="J75" s="14"/>
      <c r="K75" s="15"/>
      <c r="L75" s="32"/>
      <c r="M75" s="67" t="str">
        <f>'Description Sheet'!K74</f>
        <v>m2</v>
      </c>
      <c r="N75" s="67">
        <f>'Description Sheet'!L74</f>
        <v>1</v>
      </c>
      <c r="O75" s="73">
        <f>'Year (2026-2027)'!O75*(('Description Sheet'!M4)+1)</f>
        <v>15868.743229440006</v>
      </c>
      <c r="P75" s="68">
        <f t="shared" si="34"/>
        <v>15868.743229440006</v>
      </c>
      <c r="Q75" s="14"/>
      <c r="R75" s="44"/>
      <c r="S75" s="2"/>
    </row>
    <row r="76" spans="1:19" hidden="1">
      <c r="A76" s="14"/>
      <c r="B76" s="109">
        <f>'Description Sheet'!B75</f>
        <v>7.7</v>
      </c>
      <c r="C76" s="152" t="str">
        <f>'Description Sheet'!C75</f>
        <v xml:space="preserve">External Woodwork </v>
      </c>
      <c r="D76" s="107"/>
      <c r="E76" s="153" t="str">
        <f>IF('Maintenance Schedule'!R93="x","x","")</f>
        <v/>
      </c>
      <c r="F76" s="153" t="str">
        <f t="shared" si="32"/>
        <v/>
      </c>
      <c r="G76" s="154">
        <f t="shared" si="35"/>
        <v>0</v>
      </c>
      <c r="H76" s="155">
        <f t="shared" si="33"/>
        <v>0</v>
      </c>
      <c r="I76" s="156">
        <f t="shared" si="36"/>
        <v>0</v>
      </c>
      <c r="J76" s="14"/>
      <c r="K76" s="15"/>
      <c r="L76" s="32"/>
      <c r="M76" s="67" t="str">
        <f>'Description Sheet'!K75</f>
        <v>m2</v>
      </c>
      <c r="N76" s="67">
        <f>'Description Sheet'!L75</f>
        <v>160</v>
      </c>
      <c r="O76" s="73">
        <f>'Year (2026-2027)'!O76*(('Description Sheet'!M4)+1)</f>
        <v>325.30923620352013</v>
      </c>
      <c r="P76" s="68">
        <f t="shared" si="34"/>
        <v>52049.477792563222</v>
      </c>
      <c r="Q76" s="14"/>
      <c r="R76" s="44"/>
    </row>
    <row r="77" spans="1:19" hidden="1">
      <c r="A77" s="14"/>
      <c r="B77" s="109">
        <f>'Description Sheet'!B76</f>
        <v>7.8</v>
      </c>
      <c r="C77" s="152" t="str">
        <f>'Description Sheet'!C76</f>
        <v xml:space="preserve">External Steelwork </v>
      </c>
      <c r="D77" s="107"/>
      <c r="E77" s="153" t="str">
        <f>IF('Maintenance Schedule'!R94="x","x","")</f>
        <v/>
      </c>
      <c r="F77" s="153" t="str">
        <f t="shared" si="32"/>
        <v/>
      </c>
      <c r="G77" s="154">
        <f t="shared" si="35"/>
        <v>0</v>
      </c>
      <c r="H77" s="155">
        <f t="shared" si="33"/>
        <v>0</v>
      </c>
      <c r="I77" s="156">
        <f t="shared" si="36"/>
        <v>0</v>
      </c>
      <c r="J77" s="14"/>
      <c r="K77" s="15"/>
      <c r="L77" s="32"/>
      <c r="M77" s="67" t="str">
        <f>'Description Sheet'!K76</f>
        <v>m2</v>
      </c>
      <c r="N77" s="67">
        <f>'Description Sheet'!L76</f>
        <v>40</v>
      </c>
      <c r="O77" s="73">
        <f>'Year (2026-2027)'!O77*(('Description Sheet'!M4)+1)</f>
        <v>363.39421995417615</v>
      </c>
      <c r="P77" s="68">
        <f t="shared" si="34"/>
        <v>14535.768798167046</v>
      </c>
      <c r="Q77" s="14"/>
      <c r="R77" s="44"/>
    </row>
    <row r="78" spans="1:19" hidden="1">
      <c r="A78" s="14"/>
      <c r="B78" s="109">
        <f>'Description Sheet'!B77</f>
        <v>7.9</v>
      </c>
      <c r="C78" s="152" t="str">
        <f>'Description Sheet'!C77</f>
        <v xml:space="preserve">Pointing &amp; Brickwork Repairs </v>
      </c>
      <c r="D78" s="107"/>
      <c r="E78" s="153" t="str">
        <f>IF('Maintenance Schedule'!R95="x","x","")</f>
        <v/>
      </c>
      <c r="F78" s="153" t="str">
        <f t="shared" si="32"/>
        <v/>
      </c>
      <c r="G78" s="154">
        <f t="shared" si="35"/>
        <v>0</v>
      </c>
      <c r="H78" s="155">
        <f t="shared" si="33"/>
        <v>0</v>
      </c>
      <c r="I78" s="156">
        <f t="shared" si="36"/>
        <v>0</v>
      </c>
      <c r="J78" s="14"/>
      <c r="K78" s="15"/>
      <c r="L78" s="32"/>
      <c r="M78" s="67" t="str">
        <f>'Description Sheet'!K77</f>
        <v>m2</v>
      </c>
      <c r="N78" s="67">
        <f>'Description Sheet'!L77</f>
        <v>0</v>
      </c>
      <c r="O78" s="73">
        <f>'Year (2026-2027)'!O78*(('Description Sheet'!M4)+1)</f>
        <v>77122.092095078435</v>
      </c>
      <c r="P78" s="68">
        <f t="shared" si="34"/>
        <v>0</v>
      </c>
      <c r="Q78" s="14"/>
      <c r="R78" s="44"/>
    </row>
    <row r="79" spans="1:19" hidden="1">
      <c r="A79" s="14"/>
      <c r="B79" s="112">
        <f>'Description Sheet'!B78</f>
        <v>7.1</v>
      </c>
      <c r="C79" s="152" t="str">
        <f>'Description Sheet'!C78</f>
        <v>Brickwork Repairs</v>
      </c>
      <c r="D79" s="107"/>
      <c r="E79" s="153" t="str">
        <f>IF('Maintenance Schedule'!R96="x","x","")</f>
        <v/>
      </c>
      <c r="F79" s="153" t="str">
        <f t="shared" si="32"/>
        <v/>
      </c>
      <c r="G79" s="154">
        <f t="shared" si="35"/>
        <v>0</v>
      </c>
      <c r="H79" s="155">
        <f t="shared" si="33"/>
        <v>0</v>
      </c>
      <c r="I79" s="156">
        <f t="shared" si="36"/>
        <v>0</v>
      </c>
      <c r="J79" s="14"/>
      <c r="K79" s="15"/>
      <c r="L79" s="32"/>
      <c r="M79" s="67" t="str">
        <f>'Description Sheet'!K78</f>
        <v>m2</v>
      </c>
      <c r="N79" s="67">
        <f>'Description Sheet'!L78</f>
        <v>1</v>
      </c>
      <c r="O79" s="73">
        <f>'Year (2026-2027)'!O79*(('Description Sheet'!M4)+1)</f>
        <v>6534.7484618833951</v>
      </c>
      <c r="P79" s="68">
        <f>N79*O79</f>
        <v>6534.7484618833951</v>
      </c>
      <c r="Q79" s="14"/>
      <c r="R79" s="44"/>
    </row>
    <row r="80" spans="1:19" hidden="1">
      <c r="A80" s="14"/>
      <c r="B80" s="112">
        <f>'Description Sheet'!B79</f>
        <v>7.11</v>
      </c>
      <c r="C80" s="152" t="str">
        <f>'Description Sheet'!C79</f>
        <v>Painted Floors</v>
      </c>
      <c r="D80" s="107"/>
      <c r="E80" s="153" t="str">
        <f>IF('Maintenance Schedule'!R97="x","x","")</f>
        <v/>
      </c>
      <c r="F80" s="153" t="str">
        <f t="shared" si="32"/>
        <v/>
      </c>
      <c r="G80" s="154">
        <f t="shared" si="35"/>
        <v>0</v>
      </c>
      <c r="H80" s="155">
        <f t="shared" si="33"/>
        <v>0</v>
      </c>
      <c r="I80" s="156">
        <f t="shared" si="36"/>
        <v>0</v>
      </c>
      <c r="J80" s="14"/>
      <c r="K80" s="15"/>
      <c r="L80" s="32"/>
      <c r="M80" s="67" t="str">
        <f>'Description Sheet'!K79</f>
        <v>m2</v>
      </c>
      <c r="N80" s="67">
        <f>'Description Sheet'!L79</f>
        <v>680</v>
      </c>
      <c r="O80" s="73">
        <f>'Year (2026-2027)'!O80*(('Description Sheet'!M4)+1)</f>
        <v>241.20489708748809</v>
      </c>
      <c r="P80" s="68">
        <f>N80*O80</f>
        <v>164019.3300194919</v>
      </c>
      <c r="Q80" s="14"/>
      <c r="R80" s="44"/>
    </row>
    <row r="81" spans="1:18" hidden="1">
      <c r="A81" s="14"/>
      <c r="B81" s="112">
        <f>'Description Sheet'!B80</f>
        <v>7.12</v>
      </c>
      <c r="C81" s="152" t="str">
        <f>'Description Sheet'!C80</f>
        <v>Nutec Walls</v>
      </c>
      <c r="D81" s="107"/>
      <c r="E81" s="153" t="str">
        <f>IF('Maintenance Schedule'!R98="x","x","")</f>
        <v/>
      </c>
      <c r="F81" s="153" t="str">
        <f t="shared" si="32"/>
        <v/>
      </c>
      <c r="G81" s="154">
        <f t="shared" si="35"/>
        <v>0</v>
      </c>
      <c r="H81" s="155">
        <f t="shared" si="33"/>
        <v>0</v>
      </c>
      <c r="I81" s="156">
        <f t="shared" si="36"/>
        <v>0</v>
      </c>
      <c r="J81" s="14"/>
      <c r="K81" s="15"/>
      <c r="L81" s="32"/>
      <c r="M81" s="67" t="str">
        <f>'Description Sheet'!K80</f>
        <v>m2</v>
      </c>
      <c r="N81" s="67">
        <f>'Description Sheet'!L80</f>
        <v>390</v>
      </c>
      <c r="O81" s="73">
        <f>'Year (2026-2027)'!O81*(('Description Sheet'!M4)+1)</f>
        <v>176.14304984678409</v>
      </c>
      <c r="P81" s="68">
        <f>N81*O81</f>
        <v>68695.789440245804</v>
      </c>
      <c r="Q81" s="14"/>
      <c r="R81" s="44"/>
    </row>
    <row r="82" spans="1:18" hidden="1">
      <c r="A82" s="14"/>
      <c r="B82" s="112">
        <f>'Description Sheet'!B81</f>
        <v>7.13</v>
      </c>
      <c r="C82" s="152" t="str">
        <f>'Description Sheet'!C81</f>
        <v xml:space="preserve">Basement Parking Walls and Soffits Areas </v>
      </c>
      <c r="D82" s="107"/>
      <c r="E82" s="153" t="str">
        <f>IF('Maintenance Schedule'!R99="x","x","")</f>
        <v/>
      </c>
      <c r="F82" s="153" t="str">
        <f t="shared" si="32"/>
        <v/>
      </c>
      <c r="G82" s="154">
        <f t="shared" si="35"/>
        <v>0</v>
      </c>
      <c r="H82" s="155">
        <f t="shared" si="33"/>
        <v>0</v>
      </c>
      <c r="I82" s="156">
        <f t="shared" si="36"/>
        <v>0</v>
      </c>
      <c r="J82" s="14"/>
      <c r="K82" s="15"/>
      <c r="L82" s="32"/>
      <c r="M82" s="67" t="str">
        <f>'Description Sheet'!K81</f>
        <v>m2</v>
      </c>
      <c r="N82" s="67">
        <f>'Description Sheet'!L81</f>
        <v>0</v>
      </c>
      <c r="O82" s="73">
        <f>'Year (2026-2027)'!O82*(('Description Sheet'!M4)+1)</f>
        <v>233.27052547276807</v>
      </c>
      <c r="P82" s="68">
        <f>N82*O82</f>
        <v>0</v>
      </c>
      <c r="Q82" s="14"/>
      <c r="R82" s="44"/>
    </row>
    <row r="83" spans="1:18" hidden="1">
      <c r="A83" s="14"/>
      <c r="B83" s="112">
        <f>'Description Sheet'!B82</f>
        <v>7.14</v>
      </c>
      <c r="C83" s="152" t="str">
        <f>'Description Sheet'!C82</f>
        <v>Internal Common Walls and Soffit Areas</v>
      </c>
      <c r="D83" s="107"/>
      <c r="E83" s="153" t="str">
        <f>IF('Maintenance Schedule'!R100="x","x","")</f>
        <v/>
      </c>
      <c r="F83" s="153" t="str">
        <f t="shared" si="32"/>
        <v/>
      </c>
      <c r="G83" s="154">
        <f t="shared" si="35"/>
        <v>0</v>
      </c>
      <c r="H83" s="155">
        <f t="shared" si="33"/>
        <v>0</v>
      </c>
      <c r="I83" s="156">
        <f t="shared" si="36"/>
        <v>0</v>
      </c>
      <c r="J83" s="14"/>
      <c r="K83" s="15"/>
      <c r="L83" s="32"/>
      <c r="M83" s="67" t="str">
        <f>'Description Sheet'!K82</f>
        <v>m2</v>
      </c>
      <c r="N83" s="67">
        <f>'Description Sheet'!L82</f>
        <v>0</v>
      </c>
      <c r="O83" s="73">
        <f>'Year (2026-2027)'!O83*(('Description Sheet'!M4)+1)</f>
        <v>241.20489708748809</v>
      </c>
      <c r="P83" s="68">
        <f t="shared" ref="P83:P91" si="37">N83*O83</f>
        <v>0</v>
      </c>
      <c r="Q83" s="14"/>
      <c r="R83" s="44"/>
    </row>
    <row r="84" spans="1:18" hidden="1">
      <c r="A84" s="14"/>
      <c r="B84" s="112">
        <f>'Description Sheet'!B83</f>
        <v>7.15</v>
      </c>
      <c r="C84" s="152" t="str">
        <f>'Description Sheet'!C83</f>
        <v xml:space="preserve">Basement Parking Walls and Soffits Areas </v>
      </c>
      <c r="D84" s="107"/>
      <c r="E84" s="153" t="str">
        <f>IF('Maintenance Schedule'!R101="x","x","")</f>
        <v/>
      </c>
      <c r="F84" s="153" t="str">
        <f t="shared" si="32"/>
        <v/>
      </c>
      <c r="G84" s="154">
        <f t="shared" si="35"/>
        <v>0</v>
      </c>
      <c r="H84" s="155">
        <f t="shared" si="33"/>
        <v>0</v>
      </c>
      <c r="I84" s="156">
        <f t="shared" si="36"/>
        <v>0</v>
      </c>
      <c r="J84" s="14"/>
      <c r="K84" s="15"/>
      <c r="L84" s="32"/>
      <c r="M84" s="67" t="str">
        <f>'Description Sheet'!K83</f>
        <v>m2</v>
      </c>
      <c r="N84" s="67">
        <f>'Description Sheet'!L83</f>
        <v>0</v>
      </c>
      <c r="O84" s="73">
        <f>'Year (2026-2027)'!O84*(('Description Sheet'!M4)+1)</f>
        <v>233.27052547276807</v>
      </c>
      <c r="P84" s="68">
        <f t="shared" si="37"/>
        <v>0</v>
      </c>
      <c r="Q84" s="14"/>
      <c r="R84" s="44"/>
    </row>
    <row r="85" spans="1:18" hidden="1">
      <c r="A85" s="14"/>
      <c r="B85" s="112">
        <f>'Description Sheet'!B84</f>
        <v>7.16</v>
      </c>
      <c r="C85" s="152" t="str">
        <f>'Description Sheet'!C84</f>
        <v>Cleaning of Cladding Panels</v>
      </c>
      <c r="D85" s="107"/>
      <c r="E85" s="153" t="str">
        <f>IF('Maintenance Schedule'!R102="x","x","")</f>
        <v/>
      </c>
      <c r="F85" s="153" t="str">
        <f t="shared" si="32"/>
        <v/>
      </c>
      <c r="G85" s="154">
        <f t="shared" si="35"/>
        <v>0</v>
      </c>
      <c r="H85" s="155">
        <f t="shared" si="33"/>
        <v>0</v>
      </c>
      <c r="I85" s="156">
        <f t="shared" si="36"/>
        <v>0</v>
      </c>
      <c r="J85" s="14"/>
      <c r="K85" s="15"/>
      <c r="L85" s="32"/>
      <c r="M85" s="67" t="str">
        <f>'Description Sheet'!K84</f>
        <v>m2</v>
      </c>
      <c r="N85" s="67">
        <f>'Description Sheet'!L84</f>
        <v>0</v>
      </c>
      <c r="O85" s="73">
        <f>'Year (2026-2027)'!O85*(('Description Sheet'!M4)+1)</f>
        <v>161.86118094028805</v>
      </c>
      <c r="P85" s="68">
        <f t="shared" si="37"/>
        <v>0</v>
      </c>
      <c r="Q85" s="14"/>
      <c r="R85" s="44"/>
    </row>
    <row r="86" spans="1:18" hidden="1">
      <c r="A86" s="14"/>
      <c r="B86" s="112">
        <f>'Description Sheet'!B85</f>
        <v>7.17</v>
      </c>
      <c r="C86" s="152" t="str">
        <f>'Description Sheet'!C85</f>
        <v>Painting of Facais and Barge Boarding</v>
      </c>
      <c r="D86" s="107"/>
      <c r="E86" s="153" t="str">
        <f>IF('Maintenance Schedule'!R103="x","x","")</f>
        <v/>
      </c>
      <c r="F86" s="153" t="str">
        <f t="shared" si="32"/>
        <v/>
      </c>
      <c r="G86" s="154">
        <f t="shared" si="35"/>
        <v>0</v>
      </c>
      <c r="H86" s="155">
        <f t="shared" si="33"/>
        <v>0</v>
      </c>
      <c r="I86" s="156">
        <f t="shared" si="36"/>
        <v>0</v>
      </c>
      <c r="J86" s="14"/>
      <c r="K86" s="15"/>
      <c r="L86" s="32"/>
      <c r="M86" s="67" t="str">
        <f>'Description Sheet'!K85</f>
        <v>m2</v>
      </c>
      <c r="N86" s="67">
        <f>'Description Sheet'!L85</f>
        <v>0</v>
      </c>
      <c r="O86" s="73">
        <f>'Year (2026-2027)'!O86*(('Description Sheet'!M4)+1)</f>
        <v>214.22803359744009</v>
      </c>
      <c r="P86" s="68">
        <f t="shared" si="37"/>
        <v>0</v>
      </c>
      <c r="Q86" s="14"/>
      <c r="R86" s="44"/>
    </row>
    <row r="87" spans="1:18" hidden="1">
      <c r="A87" s="14"/>
      <c r="B87" s="112">
        <f>'Description Sheet'!B86</f>
        <v>7.18</v>
      </c>
      <c r="C87" s="152" t="str">
        <f>'Description Sheet'!C86</f>
        <v>Painting External Wooden Soffits</v>
      </c>
      <c r="D87" s="107"/>
      <c r="E87" s="153" t="str">
        <f>IF('Maintenance Schedule'!R104="x","x","")</f>
        <v/>
      </c>
      <c r="F87" s="153" t="str">
        <f t="shared" si="32"/>
        <v/>
      </c>
      <c r="G87" s="154">
        <f t="shared" si="35"/>
        <v>0</v>
      </c>
      <c r="H87" s="155">
        <f t="shared" si="33"/>
        <v>0</v>
      </c>
      <c r="I87" s="156">
        <f t="shared" si="36"/>
        <v>0</v>
      </c>
      <c r="J87" s="14"/>
      <c r="K87" s="15"/>
      <c r="L87" s="32"/>
      <c r="M87" s="67" t="str">
        <f>'Description Sheet'!K86</f>
        <v>m2</v>
      </c>
      <c r="N87" s="67">
        <f>'Description Sheet'!L86</f>
        <v>0</v>
      </c>
      <c r="O87" s="73">
        <f>'Year (2026-2027)'!O87*(('Description Sheet'!M4)+1)</f>
        <v>111.08120260608004</v>
      </c>
      <c r="P87" s="68">
        <f t="shared" si="37"/>
        <v>0</v>
      </c>
      <c r="Q87" s="14"/>
      <c r="R87" s="44"/>
    </row>
    <row r="88" spans="1:18" hidden="1">
      <c r="A88" s="14"/>
      <c r="B88" s="112">
        <f>'Description Sheet'!B87</f>
        <v>7.19</v>
      </c>
      <c r="C88" s="152" t="str">
        <f>'Description Sheet'!C87</f>
        <v>Painting of Palisade Fencing</v>
      </c>
      <c r="D88" s="107"/>
      <c r="E88" s="153" t="str">
        <f>IF('Maintenance Schedule'!R105="x","x","")</f>
        <v/>
      </c>
      <c r="F88" s="153" t="str">
        <f t="shared" si="32"/>
        <v/>
      </c>
      <c r="G88" s="154">
        <f t="shared" si="35"/>
        <v>0</v>
      </c>
      <c r="H88" s="155">
        <f t="shared" si="33"/>
        <v>0</v>
      </c>
      <c r="I88" s="156">
        <f t="shared" si="36"/>
        <v>0</v>
      </c>
      <c r="J88" s="14"/>
      <c r="K88" s="15"/>
      <c r="L88" s="32"/>
      <c r="M88" s="67" t="str">
        <f>'Description Sheet'!K87</f>
        <v>m2</v>
      </c>
      <c r="N88" s="67">
        <f>'Description Sheet'!L87</f>
        <v>0</v>
      </c>
      <c r="O88" s="73">
        <f>'Year (2026-2027)'!O88*(('Description Sheet'!M4)+1)</f>
        <v>111.08120260608004</v>
      </c>
      <c r="P88" s="68">
        <f t="shared" si="37"/>
        <v>0</v>
      </c>
      <c r="Q88" s="14"/>
      <c r="R88" s="44"/>
    </row>
    <row r="89" spans="1:18" hidden="1">
      <c r="A89" s="14"/>
      <c r="B89" s="112">
        <f>'Description Sheet'!B88</f>
        <v>7.2</v>
      </c>
      <c r="C89" s="152" t="str">
        <f>'Description Sheet'!C88</f>
        <v>blank</v>
      </c>
      <c r="D89" s="107"/>
      <c r="E89" s="153" t="str">
        <f>IF('Maintenance Schedule'!R106="x","x","")</f>
        <v/>
      </c>
      <c r="F89" s="153" t="str">
        <f t="shared" si="32"/>
        <v/>
      </c>
      <c r="G89" s="154">
        <f t="shared" si="35"/>
        <v>0</v>
      </c>
      <c r="H89" s="155">
        <f t="shared" si="33"/>
        <v>0</v>
      </c>
      <c r="I89" s="156">
        <f t="shared" si="36"/>
        <v>0</v>
      </c>
      <c r="J89" s="14"/>
      <c r="K89" s="15"/>
      <c r="L89" s="32"/>
      <c r="M89" s="67" t="str">
        <f>'Description Sheet'!K88</f>
        <v>m3</v>
      </c>
      <c r="N89" s="67">
        <f>'Description Sheet'!L88</f>
        <v>0</v>
      </c>
      <c r="O89" s="73">
        <f>'Year (2026-2027)'!O89*(('Description Sheet'!M4)+1)</f>
        <v>282.46362948403214</v>
      </c>
      <c r="P89" s="68">
        <f t="shared" si="37"/>
        <v>0</v>
      </c>
      <c r="Q89" s="14"/>
      <c r="R89" s="44"/>
    </row>
    <row r="90" spans="1:18" hidden="1">
      <c r="A90" s="14"/>
      <c r="B90" s="112">
        <f>'Description Sheet'!B89</f>
        <v>7.21</v>
      </c>
      <c r="C90" s="152" t="str">
        <f>'Description Sheet'!C89</f>
        <v>blank</v>
      </c>
      <c r="D90" s="107"/>
      <c r="E90" s="153" t="str">
        <f>IF('Maintenance Schedule'!R107="x","x","")</f>
        <v/>
      </c>
      <c r="F90" s="153" t="str">
        <f t="shared" si="32"/>
        <v/>
      </c>
      <c r="G90" s="154">
        <f t="shared" si="35"/>
        <v>0</v>
      </c>
      <c r="H90" s="155">
        <f t="shared" si="33"/>
        <v>0</v>
      </c>
      <c r="I90" s="156">
        <f t="shared" si="36"/>
        <v>0</v>
      </c>
      <c r="J90" s="14"/>
      <c r="K90" s="15"/>
      <c r="L90" s="32"/>
      <c r="M90" s="67" t="str">
        <f>'Description Sheet'!K89</f>
        <v>m3</v>
      </c>
      <c r="N90" s="67">
        <f>'Description Sheet'!L89</f>
        <v>0</v>
      </c>
      <c r="O90" s="73">
        <f>'Year (2026-2027)'!O90*(('Description Sheet'!M4)+1)</f>
        <v>16281.330553405449</v>
      </c>
      <c r="P90" s="68">
        <f t="shared" si="37"/>
        <v>0</v>
      </c>
      <c r="Q90" s="14"/>
      <c r="R90" s="44"/>
    </row>
    <row r="91" spans="1:18" hidden="1">
      <c r="A91" s="14"/>
      <c r="B91" s="112">
        <f>'Description Sheet'!B90</f>
        <v>7.22</v>
      </c>
      <c r="C91" s="152" t="str">
        <f>'Description Sheet'!C90</f>
        <v>blank</v>
      </c>
      <c r="D91" s="107"/>
      <c r="E91" s="153" t="str">
        <f>IF('Maintenance Schedule'!R108="x","x","")</f>
        <v/>
      </c>
      <c r="F91" s="153" t="str">
        <f t="shared" si="32"/>
        <v/>
      </c>
      <c r="G91" s="154">
        <f t="shared" si="35"/>
        <v>0</v>
      </c>
      <c r="H91" s="155">
        <f t="shared" si="33"/>
        <v>0</v>
      </c>
      <c r="I91" s="156">
        <f t="shared" si="36"/>
        <v>0</v>
      </c>
      <c r="J91" s="14"/>
      <c r="K91" s="15"/>
      <c r="L91" s="32"/>
      <c r="M91" s="67" t="str">
        <f>'Description Sheet'!K90</f>
        <v>m3</v>
      </c>
      <c r="N91" s="67">
        <f>'Description Sheet'!L90</f>
        <v>0</v>
      </c>
      <c r="O91" s="73">
        <f>'Year (2026-2027)'!O91*(('Description Sheet'!M4)+1)</f>
        <v>0</v>
      </c>
      <c r="P91" s="68">
        <f t="shared" si="37"/>
        <v>0</v>
      </c>
      <c r="Q91" s="14"/>
      <c r="R91" s="44"/>
    </row>
    <row r="92" spans="1:18" ht="17" hidden="1" thickBot="1">
      <c r="A92" s="14"/>
      <c r="B92" s="109"/>
      <c r="C92" s="152"/>
      <c r="D92" s="107"/>
      <c r="E92" s="153"/>
      <c r="F92" s="153" t="str">
        <f>IF(E92="x",M92,"")</f>
        <v/>
      </c>
      <c r="G92" s="154"/>
      <c r="H92" s="155"/>
      <c r="I92" s="156"/>
      <c r="J92" s="14"/>
      <c r="K92" s="15"/>
      <c r="L92" s="32"/>
      <c r="M92" s="70"/>
      <c r="N92" s="67"/>
      <c r="O92" s="73"/>
      <c r="P92" s="68"/>
      <c r="Q92" s="14"/>
      <c r="R92" s="44"/>
    </row>
    <row r="93" spans="1:18" s="4" customFormat="1" ht="15.75" hidden="1" customHeight="1" thickBot="1">
      <c r="A93" s="14"/>
      <c r="B93" s="109"/>
      <c r="C93" s="115"/>
      <c r="D93" s="107"/>
      <c r="E93" s="163"/>
      <c r="F93" s="528" t="s">
        <v>7</v>
      </c>
      <c r="G93" s="529"/>
      <c r="H93" s="530">
        <f>SUM(I70:I92)</f>
        <v>0</v>
      </c>
      <c r="I93" s="531"/>
      <c r="J93" s="14"/>
      <c r="K93" s="15"/>
      <c r="L93" s="33"/>
      <c r="M93" s="508" t="s">
        <v>7</v>
      </c>
      <c r="N93" s="509"/>
      <c r="O93" s="510">
        <f>SUM(P70:P92)</f>
        <v>3493070.2878961889</v>
      </c>
      <c r="P93" s="511"/>
      <c r="Q93" s="14"/>
      <c r="R93" s="31"/>
    </row>
    <row r="94" spans="1:18" ht="18" hidden="1" thickBot="1">
      <c r="A94" s="14"/>
      <c r="B94" s="179" t="s">
        <v>41</v>
      </c>
      <c r="C94" s="113" t="str">
        <f>'Description Sheet'!C93</f>
        <v xml:space="preserve">Waterproofing </v>
      </c>
      <c r="D94" s="107"/>
      <c r="E94" s="110"/>
      <c r="F94" s="110"/>
      <c r="G94" s="110"/>
      <c r="H94" s="110"/>
      <c r="I94" s="151"/>
      <c r="J94" s="32"/>
      <c r="K94" s="40"/>
      <c r="L94" s="33"/>
      <c r="M94" s="24"/>
      <c r="N94" s="25"/>
      <c r="O94" s="25"/>
      <c r="P94" s="63"/>
      <c r="Q94" s="14"/>
      <c r="R94" s="44"/>
    </row>
    <row r="95" spans="1:18" hidden="1">
      <c r="A95" s="14"/>
      <c r="B95" s="112">
        <f>'Description Sheet'!B94</f>
        <v>7.23</v>
      </c>
      <c r="C95" s="152" t="str">
        <f>'Description Sheet'!C94</f>
        <v>Waterproofing of Walkways</v>
      </c>
      <c r="D95" s="107"/>
      <c r="E95" s="153" t="str">
        <f>IF('Maintenance Schedule'!R115="x","x","")</f>
        <v/>
      </c>
      <c r="F95" s="153" t="str">
        <f t="shared" ref="F95:F102" si="38">IF(E95="x","No","")</f>
        <v/>
      </c>
      <c r="G95" s="154">
        <f>IF(E95="x",1,0)</f>
        <v>0</v>
      </c>
      <c r="H95" s="155">
        <f t="shared" ref="H95" si="39">IF(E95="x",P95,0)</f>
        <v>0</v>
      </c>
      <c r="I95" s="156">
        <f>IF(E95="x",G95*H95,0)</f>
        <v>0</v>
      </c>
      <c r="J95" s="14"/>
      <c r="K95" s="15"/>
      <c r="L95" s="32"/>
      <c r="M95" s="86" t="str">
        <f>'Description Sheet'!K94</f>
        <v>m2</v>
      </c>
      <c r="N95" s="67">
        <f>'Description Sheet'!L94</f>
        <v>1</v>
      </c>
      <c r="O95" s="73">
        <f>'Year (2026-2027)'!O95*(('Description Sheet'!M4)+1)</f>
        <v>256906.54245072207</v>
      </c>
      <c r="P95" s="69">
        <f>N95*O95</f>
        <v>256906.54245072207</v>
      </c>
      <c r="Q95" s="14"/>
      <c r="R95" s="44"/>
    </row>
    <row r="96" spans="1:18" hidden="1">
      <c r="A96" s="14"/>
      <c r="B96" s="112">
        <f>'Description Sheet'!B95</f>
        <v>7.24</v>
      </c>
      <c r="C96" s="152" t="str">
        <f>'Description Sheet'!C95</f>
        <v>Roof Repairs (Phase 2)</v>
      </c>
      <c r="D96" s="107"/>
      <c r="E96" s="153" t="str">
        <f>IF('Maintenance Schedule'!R116="x","x","")</f>
        <v/>
      </c>
      <c r="F96" s="153" t="str">
        <f t="shared" si="38"/>
        <v/>
      </c>
      <c r="G96" s="154">
        <f t="shared" ref="G96:G102" si="40">IF(E96="x",1,0)</f>
        <v>0</v>
      </c>
      <c r="H96" s="155">
        <f>IF(E96="x",P96,0)</f>
        <v>0</v>
      </c>
      <c r="I96" s="156">
        <f>IF(E96="x",G96*H96,0)</f>
        <v>0</v>
      </c>
      <c r="J96" s="14"/>
      <c r="K96" s="15"/>
      <c r="L96" s="32"/>
      <c r="M96" s="86" t="str">
        <f>'Description Sheet'!K95</f>
        <v>m2</v>
      </c>
      <c r="N96" s="67">
        <f>'Description Sheet'!L95</f>
        <v>1</v>
      </c>
      <c r="O96" s="73">
        <f>'Year (2026-2027)'!O96*(('Description Sheet'!M4)+1)</f>
        <v>793437.1614720003</v>
      </c>
      <c r="P96" s="69">
        <f>N96*O96</f>
        <v>793437.1614720003</v>
      </c>
      <c r="Q96" s="14"/>
      <c r="R96" s="44"/>
    </row>
    <row r="97" spans="1:18" hidden="1">
      <c r="A97" s="14"/>
      <c r="B97" s="112">
        <f>'Description Sheet'!B96</f>
        <v>7.25</v>
      </c>
      <c r="C97" s="152" t="str">
        <f>'Description Sheet'!C96</f>
        <v xml:space="preserve">Flat Roof Service </v>
      </c>
      <c r="D97" s="107"/>
      <c r="E97" s="153" t="str">
        <f>IF('Maintenance Schedule'!R117="x","x","")</f>
        <v/>
      </c>
      <c r="F97" s="153" t="str">
        <f t="shared" si="38"/>
        <v/>
      </c>
      <c r="G97" s="154">
        <f t="shared" si="40"/>
        <v>0</v>
      </c>
      <c r="H97" s="155">
        <f>IF(E97="x",P97,0)</f>
        <v>0</v>
      </c>
      <c r="I97" s="156">
        <f>IF(E97="x",G97*H97,0)</f>
        <v>0</v>
      </c>
      <c r="J97" s="14"/>
      <c r="K97" s="15"/>
      <c r="L97" s="32"/>
      <c r="M97" s="86" t="str">
        <f>'Description Sheet'!K96</f>
        <v>m2</v>
      </c>
      <c r="N97" s="67">
        <f>'Description Sheet'!L96</f>
        <v>895</v>
      </c>
      <c r="O97" s="73">
        <f>'Year (2026-2027)'!O97*(('Description Sheet'!M4)+1)</f>
        <v>103.14683099136001</v>
      </c>
      <c r="P97" s="69">
        <f>N97*O97</f>
        <v>92316.413737267198</v>
      </c>
      <c r="Q97" s="14"/>
      <c r="R97" s="44"/>
    </row>
    <row r="98" spans="1:18" hidden="1">
      <c r="A98" s="14"/>
      <c r="B98" s="112">
        <f>'Description Sheet'!B97</f>
        <v>7.26</v>
      </c>
      <c r="C98" s="152" t="str">
        <f>'Description Sheet'!C97</f>
        <v>Flat Roof Replacement</v>
      </c>
      <c r="D98" s="107"/>
      <c r="E98" s="153" t="str">
        <f>IF('Maintenance Schedule'!R118="x","x","")</f>
        <v/>
      </c>
      <c r="F98" s="153" t="str">
        <f t="shared" si="38"/>
        <v/>
      </c>
      <c r="G98" s="154">
        <f t="shared" si="40"/>
        <v>0</v>
      </c>
      <c r="H98" s="155">
        <f>IF(E98="x",P98,0)</f>
        <v>0</v>
      </c>
      <c r="I98" s="156">
        <f>IF(E98="x",G98*H98,0)</f>
        <v>0</v>
      </c>
      <c r="J98" s="14"/>
      <c r="K98" s="15"/>
      <c r="L98" s="32"/>
      <c r="M98" s="86" t="str">
        <f>'Description Sheet'!K97</f>
        <v>m2</v>
      </c>
      <c r="N98" s="67">
        <f>'Description Sheet'!L97</f>
        <v>1</v>
      </c>
      <c r="O98" s="73">
        <f>'Year (2026-2027)'!O98*(('Description Sheet'!M4)+1)</f>
        <v>1026940.957470241</v>
      </c>
      <c r="P98" s="69">
        <f>N98*O98</f>
        <v>1026940.957470241</v>
      </c>
      <c r="Q98" s="14"/>
      <c r="R98" s="44"/>
    </row>
    <row r="99" spans="1:18" hidden="1">
      <c r="A99" s="14"/>
      <c r="B99" s="112">
        <f>'Description Sheet'!B98</f>
        <v>7.27</v>
      </c>
      <c r="C99" s="152" t="str">
        <f>'Description Sheet'!C98</f>
        <v xml:space="preserve">Walkway and Staircases (Cementitious Waterproofing) </v>
      </c>
      <c r="D99" s="107"/>
      <c r="E99" s="153" t="str">
        <f>IF('Maintenance Schedule'!R119="x","x","")</f>
        <v/>
      </c>
      <c r="F99" s="153" t="str">
        <f t="shared" si="38"/>
        <v/>
      </c>
      <c r="G99" s="154">
        <f t="shared" si="40"/>
        <v>0</v>
      </c>
      <c r="H99" s="155">
        <f>IF(E99="x",P99,0)</f>
        <v>0</v>
      </c>
      <c r="I99" s="156">
        <f>IF(E99="x",G99*H99,0)</f>
        <v>0</v>
      </c>
      <c r="J99" s="14"/>
      <c r="K99" s="15"/>
      <c r="L99" s="32"/>
      <c r="M99" s="86" t="str">
        <f>'Description Sheet'!K98</f>
        <v>m2</v>
      </c>
      <c r="N99" s="67">
        <f>'Description Sheet'!L98</f>
        <v>0</v>
      </c>
      <c r="O99" s="73">
        <f>'Year (2026-2027)'!O99*(('Description Sheet'!M4)+1)</f>
        <v>650.61847240704026</v>
      </c>
      <c r="P99" s="69">
        <f>N99*O99</f>
        <v>0</v>
      </c>
      <c r="Q99" s="14"/>
      <c r="R99" s="44"/>
    </row>
    <row r="100" spans="1:18" hidden="1">
      <c r="A100" s="14"/>
      <c r="B100" s="112">
        <f>'Description Sheet'!B99</f>
        <v>7.28</v>
      </c>
      <c r="C100" s="152" t="str">
        <f>'Description Sheet'!C99</f>
        <v>Waterproofing Servicing of Parapets</v>
      </c>
      <c r="D100" s="107"/>
      <c r="E100" s="153" t="str">
        <f>IF('Maintenance Schedule'!R120="x","x","")</f>
        <v/>
      </c>
      <c r="F100" s="153" t="str">
        <f t="shared" si="38"/>
        <v/>
      </c>
      <c r="G100" s="154">
        <f t="shared" si="40"/>
        <v>0</v>
      </c>
      <c r="H100" s="155">
        <f t="shared" ref="H100:H102" si="41">IF(E100="x",P100,0)</f>
        <v>0</v>
      </c>
      <c r="I100" s="156">
        <f t="shared" ref="I100:I102" si="42">IF(E100="x",G100*H100,0)</f>
        <v>0</v>
      </c>
      <c r="J100" s="14"/>
      <c r="K100" s="15"/>
      <c r="L100" s="32"/>
      <c r="M100" s="86" t="str">
        <f>'Description Sheet'!K99</f>
        <v>m2</v>
      </c>
      <c r="N100" s="67">
        <f>'Description Sheet'!L99</f>
        <v>0</v>
      </c>
      <c r="O100" s="73">
        <f>'Year (2026-2027)'!O100*(('Description Sheet'!M4)+1)</f>
        <v>161.86118094028805</v>
      </c>
      <c r="P100" s="69">
        <f t="shared" ref="P100:P102" si="43">N100*O100</f>
        <v>0</v>
      </c>
      <c r="Q100" s="14"/>
      <c r="R100" s="44"/>
    </row>
    <row r="101" spans="1:18" hidden="1">
      <c r="A101" s="14"/>
      <c r="B101" s="112">
        <f>'Description Sheet'!B100</f>
        <v>7.29</v>
      </c>
      <c r="C101" s="152" t="str">
        <f>'Description Sheet'!C100</f>
        <v>blank</v>
      </c>
      <c r="D101" s="107"/>
      <c r="E101" s="153" t="str">
        <f>IF('Maintenance Schedule'!R121="x","x","")</f>
        <v/>
      </c>
      <c r="F101" s="153" t="str">
        <f t="shared" si="38"/>
        <v/>
      </c>
      <c r="G101" s="154">
        <f t="shared" si="40"/>
        <v>0</v>
      </c>
      <c r="H101" s="155">
        <f t="shared" si="41"/>
        <v>0</v>
      </c>
      <c r="I101" s="156">
        <f t="shared" si="42"/>
        <v>0</v>
      </c>
      <c r="J101" s="14"/>
      <c r="K101" s="15"/>
      <c r="L101" s="32"/>
      <c r="M101" s="86" t="str">
        <f>'Description Sheet'!K100</f>
        <v>m2</v>
      </c>
      <c r="N101" s="67">
        <f>'Description Sheet'!L100</f>
        <v>0</v>
      </c>
      <c r="O101" s="73">
        <f>'Year (2026-2027)'!O101*(('Description Sheet'!M4)+1)</f>
        <v>0</v>
      </c>
      <c r="P101" s="69">
        <f t="shared" si="43"/>
        <v>0</v>
      </c>
      <c r="Q101" s="14"/>
      <c r="R101" s="44"/>
    </row>
    <row r="102" spans="1:18" hidden="1">
      <c r="A102" s="14"/>
      <c r="B102" s="112">
        <f>'Description Sheet'!B101</f>
        <v>7.3</v>
      </c>
      <c r="C102" s="152" t="str">
        <f>'Description Sheet'!C101</f>
        <v>blank</v>
      </c>
      <c r="D102" s="107"/>
      <c r="E102" s="153" t="str">
        <f>IF('Maintenance Schedule'!R122="x","x","")</f>
        <v/>
      </c>
      <c r="F102" s="153" t="str">
        <f t="shared" si="38"/>
        <v/>
      </c>
      <c r="G102" s="154">
        <f t="shared" si="40"/>
        <v>0</v>
      </c>
      <c r="H102" s="155">
        <f t="shared" si="41"/>
        <v>0</v>
      </c>
      <c r="I102" s="156">
        <f t="shared" si="42"/>
        <v>0</v>
      </c>
      <c r="J102" s="14"/>
      <c r="K102" s="15"/>
      <c r="L102" s="32"/>
      <c r="M102" s="86" t="str">
        <f>'Description Sheet'!K101</f>
        <v>m2</v>
      </c>
      <c r="N102" s="67">
        <f>'Description Sheet'!L101</f>
        <v>0</v>
      </c>
      <c r="O102" s="73">
        <f>'Year (2026-2027)'!O102*(('Description Sheet'!M4)+1)</f>
        <v>0</v>
      </c>
      <c r="P102" s="69">
        <f t="shared" si="43"/>
        <v>0</v>
      </c>
      <c r="Q102" s="14"/>
      <c r="R102" s="44"/>
    </row>
    <row r="103" spans="1:18" ht="17" hidden="1" thickBot="1">
      <c r="A103" s="14"/>
      <c r="B103" s="109"/>
      <c r="C103" s="152"/>
      <c r="D103" s="107"/>
      <c r="E103" s="153"/>
      <c r="F103" s="154"/>
      <c r="G103" s="154"/>
      <c r="H103" s="155"/>
      <c r="I103" s="156"/>
      <c r="J103" s="14"/>
      <c r="K103" s="15"/>
      <c r="L103" s="32"/>
      <c r="M103" s="70"/>
      <c r="N103" s="67"/>
      <c r="O103" s="68"/>
      <c r="P103" s="69"/>
      <c r="Q103" s="14"/>
      <c r="R103" s="44"/>
    </row>
    <row r="104" spans="1:18" s="4" customFormat="1" ht="15.75" hidden="1" customHeight="1" thickBot="1">
      <c r="A104" s="14"/>
      <c r="B104" s="109"/>
      <c r="C104" s="115"/>
      <c r="D104" s="107"/>
      <c r="E104" s="159"/>
      <c r="F104" s="528" t="s">
        <v>7</v>
      </c>
      <c r="G104" s="529"/>
      <c r="H104" s="530">
        <f>SUM(I95:I102)</f>
        <v>0</v>
      </c>
      <c r="I104" s="531"/>
      <c r="J104" s="14"/>
      <c r="K104" s="15"/>
      <c r="L104" s="33"/>
      <c r="M104" s="508" t="s">
        <v>7</v>
      </c>
      <c r="N104" s="509"/>
      <c r="O104" s="510">
        <f>SUM(P95:P103)</f>
        <v>2169601.0751302307</v>
      </c>
      <c r="P104" s="511"/>
      <c r="Q104" s="14"/>
      <c r="R104" s="31"/>
    </row>
    <row r="105" spans="1:18" ht="17" thickBot="1">
      <c r="A105" s="14"/>
      <c r="B105" s="109">
        <f>'Description Sheet'!B104</f>
        <v>8</v>
      </c>
      <c r="C105" s="113" t="str">
        <f>'Description Sheet'!C104</f>
        <v>Communication and Service Supply Systems</v>
      </c>
      <c r="D105" s="107"/>
      <c r="E105" s="110"/>
      <c r="F105" s="110"/>
      <c r="G105" s="110"/>
      <c r="H105" s="110"/>
      <c r="I105" s="151"/>
      <c r="J105" s="32"/>
      <c r="K105" s="40"/>
      <c r="L105" s="33"/>
      <c r="M105" s="24"/>
      <c r="N105" s="25"/>
      <c r="O105" s="25"/>
      <c r="P105" s="63"/>
      <c r="Q105" s="14"/>
      <c r="R105" s="44"/>
    </row>
    <row r="106" spans="1:18" ht="17" hidden="1">
      <c r="A106" s="14"/>
      <c r="B106" s="109">
        <f>'Description Sheet'!B105</f>
        <v>8.1</v>
      </c>
      <c r="C106" s="164" t="str">
        <f>'Description Sheet'!C105</f>
        <v>Communication Systems (Service &amp; Upgrade Savings)</v>
      </c>
      <c r="D106" s="107"/>
      <c r="E106" s="153" t="str">
        <f>IF('Maintenance Schedule'!R129="x","x","")</f>
        <v/>
      </c>
      <c r="F106" s="153" t="str">
        <f>IF(E106="x","No","")</f>
        <v/>
      </c>
      <c r="G106" s="154">
        <f>IF(E106="x",1,0)</f>
        <v>0</v>
      </c>
      <c r="H106" s="155">
        <f t="shared" ref="H106:H109" si="44">IF(E106="x",P106,0)</f>
        <v>0</v>
      </c>
      <c r="I106" s="156">
        <f>IF(E106="x",G106*H106,0)</f>
        <v>0</v>
      </c>
      <c r="J106" s="14"/>
      <c r="K106" s="15"/>
      <c r="L106" s="32"/>
      <c r="M106" s="67" t="str">
        <f>'Description Sheet'!K105</f>
        <v>No</v>
      </c>
      <c r="N106" s="67">
        <f>'Description Sheet'!L105</f>
        <v>0</v>
      </c>
      <c r="O106" s="73">
        <f>'Year (2026-2027)'!O106*(('Description Sheet'!M4)+1)</f>
        <v>4666.9973837783064</v>
      </c>
      <c r="P106" s="69">
        <f>N106*O106</f>
        <v>0</v>
      </c>
      <c r="Q106" s="14"/>
      <c r="R106" s="44"/>
    </row>
    <row r="107" spans="1:18" ht="17">
      <c r="A107" s="14"/>
      <c r="B107" s="109">
        <f>'Description Sheet'!B106</f>
        <v>8.1999999999999993</v>
      </c>
      <c r="C107" s="164" t="str">
        <f>'Description Sheet'!C106</f>
        <v>Intercom Systems (Replacement Maintenance/Savings)</v>
      </c>
      <c r="D107" s="107"/>
      <c r="E107" s="153" t="str">
        <f>IF('Maintenance Schedule'!R130="x","x","")</f>
        <v>x</v>
      </c>
      <c r="F107" s="153" t="str">
        <f t="shared" ref="F107:F109" si="45">IF(E107="x","No","")</f>
        <v>No</v>
      </c>
      <c r="G107" s="154">
        <f t="shared" ref="G107:G109" si="46">IF(E107="x",1,0)</f>
        <v>1</v>
      </c>
      <c r="H107" s="155">
        <f t="shared" si="44"/>
        <v>6534.7484618833951</v>
      </c>
      <c r="I107" s="156">
        <f t="shared" ref="I107:I109" si="47">IF(E107="x",G107*H107,0)</f>
        <v>6534.7484618833951</v>
      </c>
      <c r="J107" s="14"/>
      <c r="K107" s="15"/>
      <c r="L107" s="32"/>
      <c r="M107" s="67" t="str">
        <f>'Description Sheet'!K106</f>
        <v>No</v>
      </c>
      <c r="N107" s="67">
        <f>'Description Sheet'!L106</f>
        <v>1</v>
      </c>
      <c r="O107" s="73">
        <f>'Year (2026-2027)'!O107*(('Description Sheet'!M4)+1)</f>
        <v>6534.7484618833951</v>
      </c>
      <c r="P107" s="69">
        <f t="shared" ref="P107:P109" si="48">N107*O107</f>
        <v>6534.7484618833951</v>
      </c>
      <c r="Q107" s="14"/>
      <c r="R107" s="44"/>
    </row>
    <row r="108" spans="1:18" ht="17" hidden="1">
      <c r="A108" s="14"/>
      <c r="B108" s="109">
        <f>'Description Sheet'!B107</f>
        <v>8.3000000000000007</v>
      </c>
      <c r="C108" s="164" t="str">
        <f>'Description Sheet'!C107</f>
        <v xml:space="preserve">Intercom System Replacement </v>
      </c>
      <c r="D108" s="107"/>
      <c r="E108" s="153" t="str">
        <f>IF('Maintenance Schedule'!R131="x","x","")</f>
        <v/>
      </c>
      <c r="F108" s="153" t="str">
        <f t="shared" si="45"/>
        <v/>
      </c>
      <c r="G108" s="154">
        <f t="shared" si="46"/>
        <v>0</v>
      </c>
      <c r="H108" s="155">
        <f t="shared" si="44"/>
        <v>0</v>
      </c>
      <c r="I108" s="156">
        <f t="shared" si="47"/>
        <v>0</v>
      </c>
      <c r="J108" s="14"/>
      <c r="K108" s="15"/>
      <c r="L108" s="32"/>
      <c r="M108" s="67" t="str">
        <f>'Description Sheet'!K107</f>
        <v>No</v>
      </c>
      <c r="N108" s="67">
        <f>'Description Sheet'!L107</f>
        <v>1</v>
      </c>
      <c r="O108" s="73">
        <f>'Year (2026-2027)'!O108*(('Description Sheet'!M4)+1)</f>
        <v>66648.721563648025</v>
      </c>
      <c r="P108" s="69">
        <f t="shared" si="48"/>
        <v>66648.721563648025</v>
      </c>
      <c r="Q108" s="14"/>
      <c r="R108" s="44"/>
    </row>
    <row r="109" spans="1:18" ht="17" hidden="1">
      <c r="A109" s="14"/>
      <c r="B109" s="109">
        <f>'Description Sheet'!B108</f>
        <v>8.4</v>
      </c>
      <c r="C109" s="164" t="str">
        <f>'Description Sheet'!C108</f>
        <v>blank</v>
      </c>
      <c r="D109" s="107"/>
      <c r="E109" s="153" t="str">
        <f>IF('Maintenance Schedule'!R132="x","x","")</f>
        <v/>
      </c>
      <c r="F109" s="153" t="str">
        <f t="shared" si="45"/>
        <v/>
      </c>
      <c r="G109" s="154">
        <f t="shared" si="46"/>
        <v>0</v>
      </c>
      <c r="H109" s="155">
        <f t="shared" si="44"/>
        <v>0</v>
      </c>
      <c r="I109" s="156">
        <f t="shared" si="47"/>
        <v>0</v>
      </c>
      <c r="J109" s="14"/>
      <c r="K109" s="15"/>
      <c r="L109" s="32"/>
      <c r="M109" s="67" t="str">
        <f>'Description Sheet'!K108</f>
        <v>No</v>
      </c>
      <c r="N109" s="67">
        <f>'Description Sheet'!L108</f>
        <v>0</v>
      </c>
      <c r="O109" s="73">
        <f>'Year (2026-2027)'!O109*(('Description Sheet'!M4)+1)</f>
        <v>0</v>
      </c>
      <c r="P109" s="69">
        <f t="shared" si="48"/>
        <v>0</v>
      </c>
      <c r="Q109" s="14"/>
      <c r="R109" s="44"/>
    </row>
    <row r="110" spans="1:18" ht="17" thickBot="1">
      <c r="A110" s="14"/>
      <c r="B110" s="109"/>
      <c r="C110" s="164"/>
      <c r="D110" s="107"/>
      <c r="E110" s="162"/>
      <c r="F110" s="154"/>
      <c r="G110" s="154"/>
      <c r="H110" s="155"/>
      <c r="I110" s="155"/>
      <c r="J110" s="14"/>
      <c r="K110" s="15"/>
      <c r="L110" s="32"/>
      <c r="M110" s="67"/>
      <c r="N110" s="67"/>
      <c r="O110" s="73"/>
      <c r="P110" s="68"/>
      <c r="Q110" s="14"/>
      <c r="R110" s="44"/>
    </row>
    <row r="111" spans="1:18" s="4" customFormat="1" ht="15.75" customHeight="1" thickBot="1">
      <c r="A111" s="14"/>
      <c r="B111" s="109"/>
      <c r="C111" s="158"/>
      <c r="D111" s="107"/>
      <c r="E111" s="159"/>
      <c r="F111" s="528" t="s">
        <v>7</v>
      </c>
      <c r="G111" s="529"/>
      <c r="H111" s="530">
        <f>SUM(I106:I110)</f>
        <v>6534.7484618833951</v>
      </c>
      <c r="I111" s="531"/>
      <c r="J111" s="14"/>
      <c r="K111" s="15"/>
      <c r="L111" s="33"/>
      <c r="M111" s="508" t="s">
        <v>7</v>
      </c>
      <c r="N111" s="509"/>
      <c r="O111" s="510">
        <f>SUM(P106:P110)</f>
        <v>73183.470025531424</v>
      </c>
      <c r="P111" s="511"/>
      <c r="Q111" s="14"/>
      <c r="R111" s="31"/>
    </row>
    <row r="112" spans="1:18" ht="17" hidden="1" thickBot="1">
      <c r="A112" s="14"/>
      <c r="B112" s="109">
        <f>'Description Sheet'!B111</f>
        <v>9</v>
      </c>
      <c r="C112" s="113" t="str">
        <f>'Description Sheet'!C111</f>
        <v>Parking Facilities</v>
      </c>
      <c r="D112" s="107"/>
      <c r="E112" s="110"/>
      <c r="F112" s="110"/>
      <c r="G112" s="110"/>
      <c r="H112" s="110"/>
      <c r="I112" s="151"/>
      <c r="J112" s="32"/>
      <c r="K112" s="40"/>
      <c r="L112" s="33"/>
      <c r="M112" s="24"/>
      <c r="N112" s="25"/>
      <c r="O112" s="25"/>
      <c r="P112" s="63"/>
      <c r="Q112" s="14"/>
      <c r="R112" s="44"/>
    </row>
    <row r="113" spans="1:18" ht="17" hidden="1">
      <c r="A113" s="14"/>
      <c r="B113" s="109">
        <f>'Description Sheet'!B112</f>
        <v>9.1</v>
      </c>
      <c r="C113" s="164" t="str">
        <f>'Description Sheet'!C112</f>
        <v>Painting of Demarcation Lines</v>
      </c>
      <c r="D113" s="107"/>
      <c r="E113" s="153" t="str">
        <f>IF('Maintenance Schedule'!R139="x","x","")</f>
        <v/>
      </c>
      <c r="F113" s="153" t="str">
        <f>IF(E113="x","No","")</f>
        <v/>
      </c>
      <c r="G113" s="154">
        <f>IF(E113="x",1,0)</f>
        <v>0</v>
      </c>
      <c r="H113" s="155">
        <f t="shared" ref="H113:H116" si="49">IF(E113="x",P113,0)</f>
        <v>0</v>
      </c>
      <c r="I113" s="156">
        <f>IF(E113="x",G113*H113,0)</f>
        <v>0</v>
      </c>
      <c r="J113" s="14"/>
      <c r="K113" s="15"/>
      <c r="L113" s="32"/>
      <c r="M113" s="67" t="str">
        <f>'Description Sheet'!K112</f>
        <v>lm</v>
      </c>
      <c r="N113" s="67">
        <f>'Description Sheet'!L112</f>
        <v>1</v>
      </c>
      <c r="O113" s="73">
        <f>'Year (2026-2027)'!O113*(('Description Sheet'!M4)+1)</f>
        <v>10314.683099136006</v>
      </c>
      <c r="P113" s="68">
        <f>N113*O113</f>
        <v>10314.683099136006</v>
      </c>
      <c r="Q113" s="14"/>
      <c r="R113" s="44"/>
    </row>
    <row r="114" spans="1:18" ht="17" hidden="1">
      <c r="A114" s="14"/>
      <c r="B114" s="109">
        <f>'Description Sheet'!B113</f>
        <v>9.1999999999999993</v>
      </c>
      <c r="C114" s="164" t="str">
        <f>'Description Sheet'!C113</f>
        <v>Shade Port Netting (Replacement and Maintanance)</v>
      </c>
      <c r="D114" s="107"/>
      <c r="E114" s="153" t="str">
        <f>IF('Maintenance Schedule'!R140="x","x","")</f>
        <v/>
      </c>
      <c r="F114" s="153" t="str">
        <f t="shared" ref="F114:F116" si="50">IF(E114="x","No","")</f>
        <v/>
      </c>
      <c r="G114" s="154">
        <f t="shared" ref="G114:G116" si="51">IF(E114="x",1,0)</f>
        <v>0</v>
      </c>
      <c r="H114" s="155">
        <f t="shared" si="49"/>
        <v>0</v>
      </c>
      <c r="I114" s="156">
        <f t="shared" ref="I114:I116" si="52">IF(E114="x",G114*H114,0)</f>
        <v>0</v>
      </c>
      <c r="J114" s="14"/>
      <c r="K114" s="15"/>
      <c r="L114" s="32"/>
      <c r="M114" s="67" t="str">
        <f>'Description Sheet'!K113</f>
        <v>No</v>
      </c>
      <c r="N114" s="67">
        <f>'Description Sheet'!L113</f>
        <v>0</v>
      </c>
      <c r="O114" s="73">
        <f>'Year (2026-2027)'!O114*(('Description Sheet'!M4)+1)</f>
        <v>12136.414821875715</v>
      </c>
      <c r="P114" s="68">
        <f t="shared" ref="P114:P116" si="53">N114*O114</f>
        <v>0</v>
      </c>
      <c r="Q114" s="14"/>
      <c r="R114" s="44"/>
    </row>
    <row r="115" spans="1:18" ht="17" hidden="1">
      <c r="A115" s="14"/>
      <c r="B115" s="109">
        <f>'Description Sheet'!B114</f>
        <v>9.3000000000000007</v>
      </c>
      <c r="C115" s="164" t="str">
        <f>'Description Sheet'!C114</f>
        <v>Garages (Maintanance)</v>
      </c>
      <c r="D115" s="107"/>
      <c r="E115" s="153" t="str">
        <f>IF('Maintenance Schedule'!R141="x","x","")</f>
        <v/>
      </c>
      <c r="F115" s="153" t="str">
        <f t="shared" si="50"/>
        <v/>
      </c>
      <c r="G115" s="154">
        <f t="shared" si="51"/>
        <v>0</v>
      </c>
      <c r="H115" s="155">
        <f t="shared" si="49"/>
        <v>0</v>
      </c>
      <c r="I115" s="156">
        <f t="shared" si="52"/>
        <v>0</v>
      </c>
      <c r="J115" s="14"/>
      <c r="K115" s="15"/>
      <c r="L115" s="32"/>
      <c r="M115" s="67" t="str">
        <f>'Description Sheet'!K114</f>
        <v>No</v>
      </c>
      <c r="N115" s="67">
        <f>'Description Sheet'!L114</f>
        <v>0</v>
      </c>
      <c r="O115" s="73">
        <f>'Year (2026-2027)'!O115*(('Description Sheet'!M4)+1)</f>
        <v>856.91213438976035</v>
      </c>
      <c r="P115" s="68">
        <f t="shared" si="53"/>
        <v>0</v>
      </c>
      <c r="Q115" s="14"/>
      <c r="R115" s="44"/>
    </row>
    <row r="116" spans="1:18" ht="17" hidden="1">
      <c r="A116" s="14"/>
      <c r="B116" s="109">
        <f>'Description Sheet'!B115</f>
        <v>9.4</v>
      </c>
      <c r="C116" s="164" t="str">
        <f>'Description Sheet'!C115</f>
        <v>Parking Facilities</v>
      </c>
      <c r="D116" s="107"/>
      <c r="E116" s="153" t="str">
        <f>IF('Maintenance Schedule'!R142="x","x","")</f>
        <v/>
      </c>
      <c r="F116" s="153" t="str">
        <f t="shared" si="50"/>
        <v/>
      </c>
      <c r="G116" s="154">
        <f t="shared" si="51"/>
        <v>0</v>
      </c>
      <c r="H116" s="155">
        <f t="shared" si="49"/>
        <v>0</v>
      </c>
      <c r="I116" s="156">
        <f t="shared" si="52"/>
        <v>0</v>
      </c>
      <c r="J116" s="14"/>
      <c r="K116" s="15"/>
      <c r="L116" s="32"/>
      <c r="M116" s="67" t="str">
        <f>'Description Sheet'!K115</f>
        <v>No</v>
      </c>
      <c r="N116" s="67">
        <f>'Description Sheet'!L115</f>
        <v>0</v>
      </c>
      <c r="O116" s="73">
        <f>'Year (2026-2027)'!O116*(('Description Sheet'!M4)+1)</f>
        <v>7712.2092095078424</v>
      </c>
      <c r="P116" s="68">
        <f t="shared" si="53"/>
        <v>0</v>
      </c>
      <c r="Q116" s="14"/>
      <c r="R116" s="44"/>
    </row>
    <row r="117" spans="1:18" ht="17" hidden="1" thickBot="1">
      <c r="A117" s="14"/>
      <c r="B117" s="109"/>
      <c r="C117" s="164"/>
      <c r="D117" s="107"/>
      <c r="E117" s="162"/>
      <c r="F117" s="154"/>
      <c r="G117" s="154"/>
      <c r="H117" s="155"/>
      <c r="I117" s="155"/>
      <c r="J117" s="14"/>
      <c r="K117" s="15"/>
      <c r="L117" s="32"/>
      <c r="M117" s="67"/>
      <c r="N117" s="67"/>
      <c r="O117" s="73"/>
      <c r="P117" s="68"/>
      <c r="Q117" s="14"/>
      <c r="R117" s="44"/>
    </row>
    <row r="118" spans="1:18" s="4" customFormat="1" ht="15.75" hidden="1" customHeight="1" thickBot="1">
      <c r="A118" s="14"/>
      <c r="B118" s="109"/>
      <c r="C118" s="158"/>
      <c r="D118" s="107"/>
      <c r="E118" s="159"/>
      <c r="F118" s="528" t="s">
        <v>7</v>
      </c>
      <c r="G118" s="529"/>
      <c r="H118" s="530">
        <f>SUM(I113:I117)</f>
        <v>0</v>
      </c>
      <c r="I118" s="531"/>
      <c r="J118" s="14"/>
      <c r="K118" s="15"/>
      <c r="L118" s="33"/>
      <c r="M118" s="508" t="s">
        <v>7</v>
      </c>
      <c r="N118" s="509"/>
      <c r="O118" s="510">
        <f>SUM(P113:P117)</f>
        <v>10314.683099136006</v>
      </c>
      <c r="P118" s="511"/>
      <c r="Q118" s="14"/>
      <c r="R118" s="31"/>
    </row>
    <row r="119" spans="1:18" ht="17" hidden="1" thickBot="1">
      <c r="A119" s="14"/>
      <c r="B119" s="109">
        <f>'Description Sheet'!B118</f>
        <v>10</v>
      </c>
      <c r="C119" s="113" t="str">
        <f>'Description Sheet'!C118</f>
        <v>Roadways and Paved Areas</v>
      </c>
      <c r="D119" s="107"/>
      <c r="E119" s="110"/>
      <c r="F119" s="110"/>
      <c r="G119" s="110"/>
      <c r="H119" s="110"/>
      <c r="I119" s="151"/>
      <c r="J119" s="32"/>
      <c r="K119" s="40"/>
      <c r="L119" s="33"/>
      <c r="M119" s="24"/>
      <c r="N119" s="25"/>
      <c r="O119" s="25"/>
      <c r="P119" s="63"/>
      <c r="Q119" s="14"/>
      <c r="R119" s="44"/>
    </row>
    <row r="120" spans="1:18" ht="17" hidden="1">
      <c r="A120" s="14"/>
      <c r="B120" s="109">
        <f>'Description Sheet'!B119</f>
        <v>10.1</v>
      </c>
      <c r="C120" s="114" t="str">
        <f>'Description Sheet'!C119</f>
        <v>Tarmac Areas (Reinstatement)</v>
      </c>
      <c r="D120" s="107"/>
      <c r="E120" s="153" t="str">
        <f>IF('Maintenance Schedule'!R149="x","x","")</f>
        <v/>
      </c>
      <c r="F120" s="153" t="str">
        <f>IF(E120="x","No","")</f>
        <v/>
      </c>
      <c r="G120" s="154">
        <f>IF(E120="x",1,0)</f>
        <v>0</v>
      </c>
      <c r="H120" s="155">
        <f t="shared" ref="H120" si="54">IF(E120="x",P120,0)</f>
        <v>0</v>
      </c>
      <c r="I120" s="156">
        <f>IF(E120="x",G120*H120,0)</f>
        <v>0</v>
      </c>
      <c r="J120" s="14"/>
      <c r="K120" s="15"/>
      <c r="L120" s="32"/>
      <c r="M120" s="67" t="str">
        <f>'Description Sheet'!K119</f>
        <v>No</v>
      </c>
      <c r="N120" s="67">
        <f>'Description Sheet'!L119</f>
        <v>0</v>
      </c>
      <c r="O120" s="73">
        <f>'Year (2026-2027)'!O120*(('Description Sheet'!M4)+1)</f>
        <v>7712.2092095078424</v>
      </c>
      <c r="P120" s="68">
        <f>N120*O120</f>
        <v>0</v>
      </c>
      <c r="Q120" s="14"/>
      <c r="R120" s="44"/>
    </row>
    <row r="121" spans="1:18" ht="17" hidden="1">
      <c r="A121" s="14"/>
      <c r="B121" s="109">
        <f>'Description Sheet'!B120</f>
        <v>10.199999999999999</v>
      </c>
      <c r="C121" s="114" t="str">
        <f>'Description Sheet'!C120</f>
        <v>Concrete Areas (Reinstatement)</v>
      </c>
      <c r="D121" s="107"/>
      <c r="E121" s="153" t="str">
        <f>IF('Maintenance Schedule'!R150="x","x","")</f>
        <v/>
      </c>
      <c r="F121" s="153" t="str">
        <f t="shared" ref="F121:F126" si="55">IF(E121="x","No","")</f>
        <v/>
      </c>
      <c r="G121" s="154">
        <f t="shared" ref="G121:G126" si="56">IF(E121="x",1,0)</f>
        <v>0</v>
      </c>
      <c r="H121" s="155">
        <f>IF(E121="x",P121,0)</f>
        <v>0</v>
      </c>
      <c r="I121" s="156">
        <f>IF(E121="x",G121*H121,0)</f>
        <v>0</v>
      </c>
      <c r="J121" s="14"/>
      <c r="K121" s="15"/>
      <c r="L121" s="32"/>
      <c r="M121" s="67" t="str">
        <f>'Description Sheet'!K120</f>
        <v>No</v>
      </c>
      <c r="N121" s="67">
        <f>'Description Sheet'!L120</f>
        <v>1</v>
      </c>
      <c r="O121" s="73">
        <f>'Year (2026-2027)'!O121*(('Description Sheet'!M4)+1)</f>
        <v>3733.9152818872335</v>
      </c>
      <c r="P121" s="68">
        <f>N121*O121</f>
        <v>3733.9152818872335</v>
      </c>
      <c r="Q121" s="14"/>
      <c r="R121" s="44"/>
    </row>
    <row r="122" spans="1:18" ht="17" hidden="1">
      <c r="A122" s="14"/>
      <c r="B122" s="109">
        <f>'Description Sheet'!B121</f>
        <v>10.3</v>
      </c>
      <c r="C122" s="114" t="str">
        <f>'Description Sheet'!C121</f>
        <v>Paving  Areas (Reinstatement)</v>
      </c>
      <c r="D122" s="107"/>
      <c r="E122" s="153" t="str">
        <f>IF('Maintenance Schedule'!R151="x","x","")</f>
        <v/>
      </c>
      <c r="F122" s="153" t="str">
        <f t="shared" si="55"/>
        <v/>
      </c>
      <c r="G122" s="154">
        <f t="shared" si="56"/>
        <v>0</v>
      </c>
      <c r="H122" s="155">
        <f>IF(E122="x",P122,0)</f>
        <v>0</v>
      </c>
      <c r="I122" s="156">
        <f>IF(E122="x",G122*H122,0)</f>
        <v>0</v>
      </c>
      <c r="J122" s="14"/>
      <c r="K122" s="15"/>
      <c r="L122" s="32"/>
      <c r="M122" s="67" t="str">
        <f>'Description Sheet'!K121</f>
        <v>No</v>
      </c>
      <c r="N122" s="67">
        <f>'Description Sheet'!L121</f>
        <v>1</v>
      </c>
      <c r="O122" s="73">
        <f>'Year (2026-2027)'!O122*(('Description Sheet'!M4)+1)</f>
        <v>3733.9152818872335</v>
      </c>
      <c r="P122" s="68">
        <f>N122*O122</f>
        <v>3733.9152818872335</v>
      </c>
      <c r="Q122" s="14"/>
      <c r="R122" s="44"/>
    </row>
    <row r="123" spans="1:18" ht="17" hidden="1">
      <c r="A123" s="14"/>
      <c r="B123" s="109">
        <f>'Description Sheet'!B122</f>
        <v>10.4</v>
      </c>
      <c r="C123" s="114" t="str">
        <f>'Description Sheet'!C122</f>
        <v>Reinstatement of Walkways (Grouting and Tiles)</v>
      </c>
      <c r="D123" s="107"/>
      <c r="E123" s="153" t="str">
        <f>IF('Maintenance Schedule'!R152="x","x","")</f>
        <v/>
      </c>
      <c r="F123" s="153" t="str">
        <f t="shared" si="55"/>
        <v/>
      </c>
      <c r="G123" s="154">
        <f t="shared" si="56"/>
        <v>0</v>
      </c>
      <c r="H123" s="155">
        <f>IF(E123="x",P123,0)</f>
        <v>0</v>
      </c>
      <c r="I123" s="156">
        <f>IF(E123="x",G123*H123,0)</f>
        <v>0</v>
      </c>
      <c r="J123" s="14"/>
      <c r="K123" s="15"/>
      <c r="L123" s="32"/>
      <c r="M123" s="67" t="str">
        <f>'Description Sheet'!K122</f>
        <v>No</v>
      </c>
      <c r="N123" s="67">
        <f>'Description Sheet'!L122</f>
        <v>1</v>
      </c>
      <c r="O123" s="73">
        <f>'Year (2026-2027)'!O123*(('Description Sheet'!M4)+1)</f>
        <v>3733.9152818872335</v>
      </c>
      <c r="P123" s="68">
        <f>N123*O123</f>
        <v>3733.9152818872335</v>
      </c>
      <c r="Q123" s="14"/>
      <c r="R123" s="44"/>
    </row>
    <row r="124" spans="1:18" ht="17" hidden="1">
      <c r="A124" s="14"/>
      <c r="B124" s="109">
        <f>'Description Sheet'!B123</f>
        <v>10.5</v>
      </c>
      <c r="C124" s="114" t="str">
        <f>'Description Sheet'!C123</f>
        <v>Tarmac Damaged Areas (Replacement)</v>
      </c>
      <c r="D124" s="107"/>
      <c r="E124" s="153" t="str">
        <f>IF('Maintenance Schedule'!R153="x","x","")</f>
        <v/>
      </c>
      <c r="F124" s="153" t="str">
        <f t="shared" si="55"/>
        <v/>
      </c>
      <c r="G124" s="154">
        <f t="shared" si="56"/>
        <v>0</v>
      </c>
      <c r="H124" s="155">
        <f t="shared" ref="H124:H126" si="57">IF(E124="x",P124,0)</f>
        <v>0</v>
      </c>
      <c r="I124" s="156">
        <f t="shared" ref="I124:I126" si="58">IF(E124="x",G124*H124,0)</f>
        <v>0</v>
      </c>
      <c r="J124" s="14"/>
      <c r="K124" s="15"/>
      <c r="L124" s="32"/>
      <c r="M124" s="67" t="str">
        <f>'Description Sheet'!K123</f>
        <v>No</v>
      </c>
      <c r="N124" s="67">
        <f>'Description Sheet'!L123</f>
        <v>0</v>
      </c>
      <c r="O124" s="73">
        <f>'Year (2026-2027)'!O124*(('Description Sheet'!M4)+1)</f>
        <v>0</v>
      </c>
      <c r="P124" s="68">
        <f t="shared" ref="P124:P126" si="59">N124*O124</f>
        <v>0</v>
      </c>
      <c r="Q124" s="14"/>
      <c r="R124" s="44"/>
    </row>
    <row r="125" spans="1:18" ht="17" hidden="1">
      <c r="A125" s="14"/>
      <c r="B125" s="109">
        <f>'Description Sheet'!B124</f>
        <v>10.6</v>
      </c>
      <c r="C125" s="114" t="str">
        <f>'Description Sheet'!C124</f>
        <v>blank</v>
      </c>
      <c r="D125" s="107"/>
      <c r="E125" s="153" t="str">
        <f>IF('Maintenance Schedule'!R154="x","x","")</f>
        <v/>
      </c>
      <c r="F125" s="153" t="str">
        <f t="shared" si="55"/>
        <v/>
      </c>
      <c r="G125" s="154">
        <f t="shared" si="56"/>
        <v>0</v>
      </c>
      <c r="H125" s="155">
        <f t="shared" si="57"/>
        <v>0</v>
      </c>
      <c r="I125" s="156">
        <f t="shared" si="58"/>
        <v>0</v>
      </c>
      <c r="J125" s="14"/>
      <c r="K125" s="15"/>
      <c r="L125" s="32"/>
      <c r="M125" s="67" t="str">
        <f>'Description Sheet'!K124</f>
        <v>No</v>
      </c>
      <c r="N125" s="67">
        <f>'Description Sheet'!L124</f>
        <v>0</v>
      </c>
      <c r="O125" s="73">
        <f>'Year (2026-2027)'!O125*(('Description Sheet'!M4)+1)</f>
        <v>0</v>
      </c>
      <c r="P125" s="68">
        <f t="shared" si="59"/>
        <v>0</v>
      </c>
      <c r="Q125" s="14"/>
      <c r="R125" s="44"/>
    </row>
    <row r="126" spans="1:18" ht="17" hidden="1">
      <c r="A126" s="14"/>
      <c r="B126" s="109">
        <f>'Description Sheet'!B125</f>
        <v>10.7</v>
      </c>
      <c r="C126" s="114" t="str">
        <f>'Description Sheet'!C125</f>
        <v>blank</v>
      </c>
      <c r="D126" s="107"/>
      <c r="E126" s="153" t="str">
        <f>IF('Maintenance Schedule'!R155="x","x","")</f>
        <v/>
      </c>
      <c r="F126" s="153" t="str">
        <f t="shared" si="55"/>
        <v/>
      </c>
      <c r="G126" s="154">
        <f t="shared" si="56"/>
        <v>0</v>
      </c>
      <c r="H126" s="155">
        <f t="shared" si="57"/>
        <v>0</v>
      </c>
      <c r="I126" s="156">
        <f t="shared" si="58"/>
        <v>0</v>
      </c>
      <c r="J126" s="14"/>
      <c r="K126" s="15"/>
      <c r="L126" s="32"/>
      <c r="M126" s="67" t="str">
        <f>'Description Sheet'!K125</f>
        <v>No</v>
      </c>
      <c r="N126" s="67">
        <f>'Description Sheet'!L125</f>
        <v>0</v>
      </c>
      <c r="O126" s="73">
        <f>'Year (2026-2027)'!O126*(('Description Sheet'!M4)+1)</f>
        <v>0</v>
      </c>
      <c r="P126" s="68">
        <f t="shared" si="59"/>
        <v>0</v>
      </c>
      <c r="Q126" s="14"/>
      <c r="R126" s="44"/>
    </row>
    <row r="127" spans="1:18" ht="17" hidden="1" thickBot="1">
      <c r="A127" s="14"/>
      <c r="B127" s="109"/>
      <c r="C127" s="164"/>
      <c r="D127" s="107"/>
      <c r="E127" s="162"/>
      <c r="F127" s="154"/>
      <c r="G127" s="154"/>
      <c r="H127" s="155"/>
      <c r="I127" s="155"/>
      <c r="J127" s="14"/>
      <c r="K127" s="15"/>
      <c r="L127" s="32"/>
      <c r="M127" s="67"/>
      <c r="N127" s="67"/>
      <c r="O127" s="73"/>
      <c r="P127" s="68"/>
      <c r="Q127" s="14"/>
      <c r="R127" s="44"/>
    </row>
    <row r="128" spans="1:18" s="4" customFormat="1" ht="15.75" hidden="1" customHeight="1" thickBot="1">
      <c r="A128" s="14"/>
      <c r="B128" s="109"/>
      <c r="C128" s="165"/>
      <c r="D128" s="107"/>
      <c r="E128" s="159"/>
      <c r="F128" s="528" t="s">
        <v>7</v>
      </c>
      <c r="G128" s="529"/>
      <c r="H128" s="530">
        <f>SUM(I120:I127)</f>
        <v>0</v>
      </c>
      <c r="I128" s="531"/>
      <c r="J128" s="14"/>
      <c r="K128" s="15"/>
      <c r="L128" s="33"/>
      <c r="M128" s="508" t="s">
        <v>7</v>
      </c>
      <c r="N128" s="509"/>
      <c r="O128" s="510">
        <f>SUM(P120:P127)</f>
        <v>11201.745845661701</v>
      </c>
      <c r="P128" s="511"/>
      <c r="Q128" s="14"/>
      <c r="R128" s="31"/>
    </row>
    <row r="129" spans="1:23" ht="17" thickBot="1">
      <c r="A129" s="14"/>
      <c r="B129" s="109">
        <f>'Description Sheet'!B128</f>
        <v>11</v>
      </c>
      <c r="C129" s="113" t="str">
        <f>'Description Sheet'!C128</f>
        <v>Security Systems and Facilities</v>
      </c>
      <c r="D129" s="107"/>
      <c r="E129" s="110"/>
      <c r="F129" s="110"/>
      <c r="G129" s="110"/>
      <c r="H129" s="110"/>
      <c r="I129" s="151"/>
      <c r="J129" s="32"/>
      <c r="K129" s="40"/>
      <c r="L129" s="33"/>
      <c r="M129" s="24"/>
      <c r="N129" s="25"/>
      <c r="O129" s="25"/>
      <c r="P129" s="63"/>
      <c r="Q129" s="14"/>
      <c r="R129" s="44"/>
    </row>
    <row r="130" spans="1:23" ht="17">
      <c r="A130" s="14"/>
      <c r="B130" s="109">
        <f>'Description Sheet'!B129</f>
        <v>11.1</v>
      </c>
      <c r="C130" s="164" t="str">
        <f>'Description Sheet'!C129</f>
        <v>Security Equipment (Replacement/Upgrade Savings)</v>
      </c>
      <c r="D130" s="107"/>
      <c r="E130" s="153" t="str">
        <f>IF('Maintenance Schedule'!R162="x","x","")</f>
        <v>x</v>
      </c>
      <c r="F130" s="153" t="str">
        <f>IF(E130="x","No","")</f>
        <v>No</v>
      </c>
      <c r="G130" s="154">
        <f>IF(E130="x",1,0)</f>
        <v>1</v>
      </c>
      <c r="H130" s="155">
        <f t="shared" ref="H130:H133" si="60">IF(E130="x",P130,0)</f>
        <v>10314.683099136006</v>
      </c>
      <c r="I130" s="156">
        <f>IF(E130="x",G130*H130,0)</f>
        <v>10314.683099136006</v>
      </c>
      <c r="J130" s="14"/>
      <c r="K130" s="15"/>
      <c r="L130" s="32"/>
      <c r="M130" s="67" t="str">
        <f>'Description Sheet'!K129</f>
        <v>No</v>
      </c>
      <c r="N130" s="67">
        <f>'Description Sheet'!L129</f>
        <v>1</v>
      </c>
      <c r="O130" s="73">
        <f>'Year (2026-2027)'!O130*(('Description Sheet'!M4)+1)</f>
        <v>10314.683099136006</v>
      </c>
      <c r="P130" s="68">
        <f>N130*O130</f>
        <v>10314.683099136006</v>
      </c>
      <c r="Q130" s="14"/>
      <c r="R130" s="44"/>
    </row>
    <row r="131" spans="1:23" ht="17" hidden="1">
      <c r="A131" s="14"/>
      <c r="B131" s="109">
        <f>'Description Sheet'!B130</f>
        <v>11.2</v>
      </c>
      <c r="C131" s="164" t="str">
        <f>'Description Sheet'!C130</f>
        <v>CCTV Installation</v>
      </c>
      <c r="D131" s="107"/>
      <c r="E131" s="153" t="str">
        <f>IF('Maintenance Schedule'!R163="x","x","")</f>
        <v/>
      </c>
      <c r="F131" s="153" t="str">
        <f t="shared" ref="F131:F133" si="61">IF(E131="x","No","")</f>
        <v/>
      </c>
      <c r="G131" s="154">
        <f t="shared" ref="G131:G133" si="62">IF(E131="x",1,0)</f>
        <v>0</v>
      </c>
      <c r="H131" s="155">
        <f t="shared" si="60"/>
        <v>0</v>
      </c>
      <c r="I131" s="156">
        <f t="shared" ref="I131:I133" si="63">IF(E131="x",G131*H131,0)</f>
        <v>0</v>
      </c>
      <c r="J131" s="14"/>
      <c r="K131" s="15"/>
      <c r="L131" s="32"/>
      <c r="M131" s="67" t="str">
        <f>'Description Sheet'!K130</f>
        <v>No</v>
      </c>
      <c r="N131" s="67">
        <f>'Description Sheet'!L130</f>
        <v>1</v>
      </c>
      <c r="O131" s="73">
        <f>'Year (2026-2027)'!O131*(('Description Sheet'!M4)+1)</f>
        <v>66648.721563648025</v>
      </c>
      <c r="P131" s="68">
        <f t="shared" ref="P131:P133" si="64">N131*O131</f>
        <v>66648.721563648025</v>
      </c>
      <c r="Q131" s="14"/>
      <c r="R131" s="44"/>
    </row>
    <row r="132" spans="1:23" ht="17" hidden="1">
      <c r="A132" s="14"/>
      <c r="B132" s="109">
        <f>'Description Sheet'!B131</f>
        <v>11.3</v>
      </c>
      <c r="C132" s="164" t="str">
        <f>'Description Sheet'!C131</f>
        <v>blank</v>
      </c>
      <c r="D132" s="107"/>
      <c r="E132" s="153" t="str">
        <f>IF('Maintenance Schedule'!R164="x","x","")</f>
        <v/>
      </c>
      <c r="F132" s="153" t="str">
        <f t="shared" si="61"/>
        <v/>
      </c>
      <c r="G132" s="154">
        <f t="shared" si="62"/>
        <v>0</v>
      </c>
      <c r="H132" s="155">
        <f t="shared" si="60"/>
        <v>0</v>
      </c>
      <c r="I132" s="156">
        <f t="shared" si="63"/>
        <v>0</v>
      </c>
      <c r="J132" s="14"/>
      <c r="K132" s="15"/>
      <c r="L132" s="32"/>
      <c r="M132" s="67" t="str">
        <f>'Description Sheet'!K131</f>
        <v>No</v>
      </c>
      <c r="N132" s="67">
        <f>'Description Sheet'!L131</f>
        <v>0</v>
      </c>
      <c r="O132" s="73">
        <f>'Year (2026-2027)'!O132*(('Description Sheet'!M4)+1)</f>
        <v>0</v>
      </c>
      <c r="P132" s="68">
        <f t="shared" si="64"/>
        <v>0</v>
      </c>
      <c r="Q132" s="14"/>
      <c r="R132" s="44"/>
    </row>
    <row r="133" spans="1:23" ht="17" hidden="1">
      <c r="A133" s="14"/>
      <c r="B133" s="109">
        <f>'Description Sheet'!B132</f>
        <v>11.4</v>
      </c>
      <c r="C133" s="164" t="str">
        <f>'Description Sheet'!C132</f>
        <v>blank</v>
      </c>
      <c r="D133" s="107"/>
      <c r="E133" s="153" t="str">
        <f>IF('Maintenance Schedule'!R165="x","x","")</f>
        <v/>
      </c>
      <c r="F133" s="153" t="str">
        <f t="shared" si="61"/>
        <v/>
      </c>
      <c r="G133" s="154">
        <f t="shared" si="62"/>
        <v>0</v>
      </c>
      <c r="H133" s="155">
        <f t="shared" si="60"/>
        <v>0</v>
      </c>
      <c r="I133" s="156">
        <f t="shared" si="63"/>
        <v>0</v>
      </c>
      <c r="J133" s="14"/>
      <c r="K133" s="15"/>
      <c r="L133" s="32"/>
      <c r="M133" s="67" t="str">
        <f>'Description Sheet'!K132</f>
        <v>No</v>
      </c>
      <c r="N133" s="67">
        <f>'Description Sheet'!L132</f>
        <v>0</v>
      </c>
      <c r="O133" s="73">
        <f>'Year (2026-2027)'!O133*(('Description Sheet'!M4)+1)</f>
        <v>0</v>
      </c>
      <c r="P133" s="68">
        <f t="shared" si="64"/>
        <v>0</v>
      </c>
      <c r="Q133" s="14"/>
      <c r="R133" s="44"/>
    </row>
    <row r="134" spans="1:23" ht="17" thickBot="1">
      <c r="A134" s="14"/>
      <c r="B134" s="109"/>
      <c r="C134" s="164"/>
      <c r="D134" s="107"/>
      <c r="E134" s="162"/>
      <c r="F134" s="154"/>
      <c r="G134" s="154"/>
      <c r="H134" s="155"/>
      <c r="I134" s="155"/>
      <c r="J134" s="14"/>
      <c r="K134" s="15"/>
      <c r="L134" s="32"/>
      <c r="M134" s="67"/>
      <c r="N134" s="67"/>
      <c r="O134" s="73"/>
      <c r="P134" s="68"/>
      <c r="Q134" s="14"/>
      <c r="R134" s="44"/>
    </row>
    <row r="135" spans="1:23" s="4" customFormat="1" ht="15.75" customHeight="1" thickBot="1">
      <c r="A135" s="14"/>
      <c r="B135" s="109"/>
      <c r="C135" s="158"/>
      <c r="D135" s="107"/>
      <c r="E135" s="159"/>
      <c r="F135" s="528" t="s">
        <v>7</v>
      </c>
      <c r="G135" s="529"/>
      <c r="H135" s="530">
        <f>SUM(I130:I134)</f>
        <v>10314.683099136006</v>
      </c>
      <c r="I135" s="531"/>
      <c r="J135" s="14"/>
      <c r="K135" s="15"/>
      <c r="L135" s="33"/>
      <c r="M135" s="508" t="s">
        <v>7</v>
      </c>
      <c r="N135" s="509"/>
      <c r="O135" s="510">
        <f>SUM(P130:P134)</f>
        <v>76963.404662784029</v>
      </c>
      <c r="P135" s="511"/>
      <c r="Q135" s="14"/>
      <c r="R135" s="31"/>
    </row>
    <row r="136" spans="1:23" ht="17" thickBot="1">
      <c r="A136" s="14"/>
      <c r="B136" s="109">
        <f>'Description Sheet'!B135</f>
        <v>12</v>
      </c>
      <c r="C136" s="113" t="str">
        <f>'Description Sheet'!C135</f>
        <v>Community and Recreational Facilities</v>
      </c>
      <c r="D136" s="107"/>
      <c r="E136" s="110"/>
      <c r="F136" s="110"/>
      <c r="G136" s="110"/>
      <c r="H136" s="110"/>
      <c r="I136" s="151"/>
      <c r="J136" s="32"/>
      <c r="K136" s="40"/>
      <c r="L136" s="33"/>
      <c r="M136" s="24"/>
      <c r="N136" s="25"/>
      <c r="O136" s="25"/>
      <c r="P136" s="63"/>
      <c r="Q136" s="14"/>
      <c r="R136" s="44"/>
    </row>
    <row r="137" spans="1:23">
      <c r="A137" s="14"/>
      <c r="B137" s="109">
        <f>'Description Sheet'!B136</f>
        <v>12.1</v>
      </c>
      <c r="C137" s="111" t="str">
        <f>'Description Sheet'!C136</f>
        <v>Fire Equipment and Signage (Replace)</v>
      </c>
      <c r="D137" s="107"/>
      <c r="E137" s="153" t="str">
        <f>IF('Maintenance Schedule'!R172="x","x","")</f>
        <v>x</v>
      </c>
      <c r="F137" s="153" t="str">
        <f>IF(E137="x","No","")</f>
        <v>No</v>
      </c>
      <c r="G137" s="154">
        <f>IF(E137="x",1,0)</f>
        <v>1</v>
      </c>
      <c r="H137" s="155">
        <f>IF(E137="x",P137,0)</f>
        <v>4760.6229688320018</v>
      </c>
      <c r="I137" s="156">
        <f>IF(E137="x",G137*H137,0)</f>
        <v>4760.6229688320018</v>
      </c>
      <c r="J137" s="14"/>
      <c r="K137" s="15"/>
      <c r="L137" s="32"/>
      <c r="M137" s="67" t="str">
        <f>'Description Sheet'!K136</f>
        <v>No</v>
      </c>
      <c r="N137" s="67">
        <f>'Description Sheet'!L136</f>
        <v>1</v>
      </c>
      <c r="O137" s="73">
        <f>'Year (2026-2027)'!O137*(('Description Sheet'!M4)+1)</f>
        <v>4760.6229688320018</v>
      </c>
      <c r="P137" s="68">
        <f>N137*O137</f>
        <v>4760.6229688320018</v>
      </c>
      <c r="Q137" s="14"/>
      <c r="R137" s="44"/>
      <c r="W137" s="1"/>
    </row>
    <row r="138" spans="1:23" hidden="1">
      <c r="A138" s="14"/>
      <c r="B138" s="109">
        <f>'Description Sheet'!B137</f>
        <v>12.2</v>
      </c>
      <c r="C138" s="111" t="str">
        <f>'Description Sheet'!C137</f>
        <v>Communal Areas (Pool, Gym Areas, ablutions etc Upgrade/Replacment of Fixtures &amp; Equipment)</v>
      </c>
      <c r="D138" s="107"/>
      <c r="E138" s="153" t="str">
        <f>IF('Maintenance Schedule'!R173="x","x","")</f>
        <v/>
      </c>
      <c r="F138" s="153" t="str">
        <f t="shared" ref="F138:F144" si="65">IF(E138="x","No","")</f>
        <v/>
      </c>
      <c r="G138" s="154">
        <f t="shared" ref="G138:G144" si="66">IF(E138="x",1,0)</f>
        <v>0</v>
      </c>
      <c r="H138" s="155">
        <f>IF(E138="x",P138,0)</f>
        <v>0</v>
      </c>
      <c r="I138" s="156">
        <f>IF(E138="x",G138*H138,0)</f>
        <v>0</v>
      </c>
      <c r="J138" s="14"/>
      <c r="K138" s="15"/>
      <c r="L138" s="32"/>
      <c r="M138" s="67" t="str">
        <f>'Description Sheet'!K137</f>
        <v>No</v>
      </c>
      <c r="N138" s="67">
        <f>'Description Sheet'!L137</f>
        <v>0</v>
      </c>
      <c r="O138" s="73">
        <f>'Year (2026-2027)'!O138*(('Description Sheet'!M4)+1)</f>
        <v>12136.414821875715</v>
      </c>
      <c r="P138" s="68">
        <f>N138*O138</f>
        <v>0</v>
      </c>
      <c r="Q138" s="14"/>
      <c r="R138" s="44"/>
    </row>
    <row r="139" spans="1:23" hidden="1">
      <c r="A139" s="14"/>
      <c r="B139" s="109">
        <f>'Description Sheet'!B138</f>
        <v>12.3</v>
      </c>
      <c r="C139" s="111" t="str">
        <f>'Description Sheet'!C138</f>
        <v>Laundry Room (Maintain/Replace)</v>
      </c>
      <c r="D139" s="107"/>
      <c r="E139" s="153" t="str">
        <f>IF('Maintenance Schedule'!R174="x","x","")</f>
        <v/>
      </c>
      <c r="F139" s="153" t="str">
        <f t="shared" si="65"/>
        <v/>
      </c>
      <c r="G139" s="154">
        <f t="shared" si="66"/>
        <v>0</v>
      </c>
      <c r="H139" s="155">
        <f>IF(E139="x",P139,0)</f>
        <v>0</v>
      </c>
      <c r="I139" s="156">
        <f>IF(E139="x",G139*H139,0)</f>
        <v>0</v>
      </c>
      <c r="J139" s="14"/>
      <c r="K139" s="15"/>
      <c r="L139" s="32"/>
      <c r="M139" s="67" t="str">
        <f>'Description Sheet'!K138</f>
        <v>lm</v>
      </c>
      <c r="N139" s="67">
        <f>'Description Sheet'!L138</f>
        <v>0</v>
      </c>
      <c r="O139" s="73">
        <f>'Year (2026-2027)'!O139*(('Description Sheet'!M4)+1)</f>
        <v>4666.9973837783064</v>
      </c>
      <c r="P139" s="68">
        <f>N139*O139</f>
        <v>0</v>
      </c>
      <c r="Q139" s="14"/>
      <c r="R139" s="44"/>
    </row>
    <row r="140" spans="1:23" hidden="1">
      <c r="A140" s="14"/>
      <c r="B140" s="109">
        <f>'Description Sheet'!B139</f>
        <v>12.4</v>
      </c>
      <c r="C140" s="111" t="str">
        <f>'Description Sheet'!C139</f>
        <v>Bin Room</v>
      </c>
      <c r="D140" s="107"/>
      <c r="E140" s="153" t="str">
        <f>IF('Maintenance Schedule'!R175="x","x","")</f>
        <v/>
      </c>
      <c r="F140" s="153" t="str">
        <f t="shared" si="65"/>
        <v/>
      </c>
      <c r="G140" s="154">
        <f t="shared" si="66"/>
        <v>0</v>
      </c>
      <c r="H140" s="155">
        <f>IF(E140="x",P140,0)</f>
        <v>0</v>
      </c>
      <c r="I140" s="156">
        <f>IF(E140="x",G140*H140,0)</f>
        <v>0</v>
      </c>
      <c r="J140" s="14"/>
      <c r="K140" s="15"/>
      <c r="L140" s="32"/>
      <c r="M140" s="67" t="str">
        <f>'Description Sheet'!K139</f>
        <v>No</v>
      </c>
      <c r="N140" s="67">
        <f>'Description Sheet'!L139</f>
        <v>0</v>
      </c>
      <c r="O140" s="73">
        <f>'Year (2026-2027)'!O140*(('Description Sheet'!M4)+1)</f>
        <v>5998.3849407283215</v>
      </c>
      <c r="P140" s="68">
        <f>N140*O140</f>
        <v>0</v>
      </c>
      <c r="Q140" s="14"/>
      <c r="R140" s="44"/>
    </row>
    <row r="141" spans="1:23" hidden="1">
      <c r="A141" s="14"/>
      <c r="B141" s="109">
        <f>'Description Sheet'!B140</f>
        <v>12.5</v>
      </c>
      <c r="C141" s="111" t="str">
        <f>'Description Sheet'!C140</f>
        <v>Pool Area (Re-Surfacing)</v>
      </c>
      <c r="D141" s="107"/>
      <c r="E141" s="153" t="str">
        <f>IF('Maintenance Schedule'!R176="x","x","")</f>
        <v/>
      </c>
      <c r="F141" s="153" t="str">
        <f t="shared" si="65"/>
        <v/>
      </c>
      <c r="G141" s="154">
        <f t="shared" si="66"/>
        <v>0</v>
      </c>
      <c r="H141" s="155">
        <f>IF(E141="x",P141,0)</f>
        <v>0</v>
      </c>
      <c r="I141" s="156">
        <f>IF(E141="x",G141*H141,0)</f>
        <v>0</v>
      </c>
      <c r="J141" s="14"/>
      <c r="K141" s="15"/>
      <c r="L141" s="32"/>
      <c r="M141" s="67" t="str">
        <f>'Description Sheet'!K140</f>
        <v>No</v>
      </c>
      <c r="N141" s="67">
        <f>'Description Sheet'!L140</f>
        <v>0</v>
      </c>
      <c r="O141" s="73">
        <f>'Year (2026-2027)'!O141*(('Description Sheet'!M4)+1)</f>
        <v>26786.43857129473</v>
      </c>
      <c r="P141" s="68">
        <f>N141*O141</f>
        <v>0</v>
      </c>
      <c r="Q141" s="14"/>
      <c r="R141" s="44"/>
    </row>
    <row r="142" spans="1:23" hidden="1">
      <c r="A142" s="14"/>
      <c r="B142" s="109">
        <f>'Description Sheet'!B141</f>
        <v>12.6</v>
      </c>
      <c r="C142" s="111" t="str">
        <f>'Description Sheet'!C141</f>
        <v>Pool Area (Maintenance/Repairs Savings)</v>
      </c>
      <c r="D142" s="107"/>
      <c r="E142" s="153" t="str">
        <f>IF('Maintenance Schedule'!R177="x","x","")</f>
        <v/>
      </c>
      <c r="F142" s="153" t="str">
        <f t="shared" si="65"/>
        <v/>
      </c>
      <c r="G142" s="154">
        <f t="shared" si="66"/>
        <v>0</v>
      </c>
      <c r="H142" s="155">
        <f t="shared" ref="H142:H144" si="67">IF(E142="x",P142,0)</f>
        <v>0</v>
      </c>
      <c r="I142" s="156">
        <f t="shared" ref="I142:I144" si="68">IF(E142="x",G142*H142,0)</f>
        <v>0</v>
      </c>
      <c r="J142" s="14"/>
      <c r="K142" s="15"/>
      <c r="L142" s="32"/>
      <c r="M142" s="67" t="str">
        <f>'Description Sheet'!K141</f>
        <v>No</v>
      </c>
      <c r="N142" s="67">
        <f>'Description Sheet'!L141</f>
        <v>0</v>
      </c>
      <c r="O142" s="73">
        <f>'Year (2026-2027)'!O142*(('Description Sheet'!M4)+1)</f>
        <v>5839.6975084339228</v>
      </c>
      <c r="P142" s="68">
        <f t="shared" ref="P142:P144" si="69">N142*O142</f>
        <v>0</v>
      </c>
      <c r="Q142" s="14"/>
      <c r="R142" s="44"/>
    </row>
    <row r="143" spans="1:23" hidden="1">
      <c r="A143" s="14"/>
      <c r="B143" s="109">
        <f>'Description Sheet'!B142</f>
        <v>12.7</v>
      </c>
      <c r="C143" s="111" t="str">
        <f>'Description Sheet'!C142</f>
        <v>blank</v>
      </c>
      <c r="D143" s="107"/>
      <c r="E143" s="153" t="str">
        <f>IF('Maintenance Schedule'!R178="x","x","")</f>
        <v/>
      </c>
      <c r="F143" s="153" t="str">
        <f t="shared" si="65"/>
        <v/>
      </c>
      <c r="G143" s="154">
        <f t="shared" si="66"/>
        <v>0</v>
      </c>
      <c r="H143" s="155">
        <f t="shared" si="67"/>
        <v>0</v>
      </c>
      <c r="I143" s="156">
        <f t="shared" si="68"/>
        <v>0</v>
      </c>
      <c r="J143" s="14"/>
      <c r="K143" s="15"/>
      <c r="L143" s="32"/>
      <c r="M143" s="67" t="str">
        <f>'Description Sheet'!K142</f>
        <v>No</v>
      </c>
      <c r="N143" s="67">
        <f>'Description Sheet'!L142</f>
        <v>0</v>
      </c>
      <c r="O143" s="73">
        <f>'Year (2026-2027)'!O143*(('Description Sheet'!M4)+1)</f>
        <v>0</v>
      </c>
      <c r="P143" s="68">
        <f t="shared" si="69"/>
        <v>0</v>
      </c>
      <c r="Q143" s="14"/>
      <c r="R143" s="44"/>
    </row>
    <row r="144" spans="1:23" hidden="1">
      <c r="A144" s="14"/>
      <c r="B144" s="109">
        <f>'Description Sheet'!B143</f>
        <v>12.8</v>
      </c>
      <c r="C144" s="111" t="str">
        <f>'Description Sheet'!C143</f>
        <v>blank</v>
      </c>
      <c r="D144" s="107"/>
      <c r="E144" s="153" t="str">
        <f>IF('Maintenance Schedule'!R179="x","x","")</f>
        <v/>
      </c>
      <c r="F144" s="153" t="str">
        <f t="shared" si="65"/>
        <v/>
      </c>
      <c r="G144" s="154">
        <f t="shared" si="66"/>
        <v>0</v>
      </c>
      <c r="H144" s="155">
        <f t="shared" si="67"/>
        <v>0</v>
      </c>
      <c r="I144" s="156">
        <f t="shared" si="68"/>
        <v>0</v>
      </c>
      <c r="J144" s="14"/>
      <c r="K144" s="15"/>
      <c r="L144" s="32"/>
      <c r="M144" s="67" t="str">
        <f>'Description Sheet'!K143</f>
        <v>No</v>
      </c>
      <c r="N144" s="67">
        <f>'Description Sheet'!L143</f>
        <v>0</v>
      </c>
      <c r="O144" s="73">
        <f>'Year (2026-2027)'!O144*(('Description Sheet'!M4)+1)</f>
        <v>0</v>
      </c>
      <c r="P144" s="68">
        <f t="shared" si="69"/>
        <v>0</v>
      </c>
      <c r="Q144" s="14"/>
      <c r="R144" s="44"/>
    </row>
    <row r="145" spans="1:72" ht="17" thickBot="1">
      <c r="A145" s="14"/>
      <c r="B145" s="105"/>
      <c r="C145" s="111"/>
      <c r="D145" s="107"/>
      <c r="E145" s="153"/>
      <c r="F145" s="153" t="str">
        <f>IF(E145="x",M145,"")</f>
        <v/>
      </c>
      <c r="G145" s="154"/>
      <c r="H145" s="155"/>
      <c r="I145" s="166"/>
      <c r="J145" s="14"/>
      <c r="K145" s="15"/>
      <c r="L145" s="32"/>
      <c r="M145" s="67"/>
      <c r="N145" s="78"/>
      <c r="O145" s="77"/>
      <c r="P145" s="79"/>
      <c r="Q145" s="14"/>
      <c r="R145" s="44"/>
    </row>
    <row r="146" spans="1:72" s="4" customFormat="1" ht="15.75" customHeight="1" thickBot="1">
      <c r="A146" s="14"/>
      <c r="B146" s="105"/>
      <c r="C146" s="115"/>
      <c r="D146" s="107"/>
      <c r="E146" s="163"/>
      <c r="F146" s="528" t="s">
        <v>7</v>
      </c>
      <c r="G146" s="529"/>
      <c r="H146" s="530">
        <f>SUM(I137:I144)</f>
        <v>4760.6229688320018</v>
      </c>
      <c r="I146" s="531"/>
      <c r="J146" s="14"/>
      <c r="K146" s="15"/>
      <c r="L146" s="33"/>
      <c r="M146" s="508" t="s">
        <v>7</v>
      </c>
      <c r="N146" s="509"/>
      <c r="O146" s="510">
        <f>SUM(P137:P144)</f>
        <v>4760.6229688320018</v>
      </c>
      <c r="P146" s="511"/>
      <c r="Q146" s="14"/>
      <c r="R146" s="31"/>
    </row>
    <row r="147" spans="1:72" ht="7.5" customHeight="1" thickBot="1">
      <c r="A147" s="14" t="s">
        <v>57</v>
      </c>
      <c r="B147" s="105"/>
      <c r="C147" s="196"/>
      <c r="D147" s="197"/>
      <c r="E147" s="197"/>
      <c r="F147" s="197"/>
      <c r="G147" s="197"/>
      <c r="H147" s="197"/>
      <c r="I147" s="197"/>
      <c r="J147" s="197"/>
      <c r="K147" s="198"/>
      <c r="L147" s="199"/>
      <c r="M147" s="199"/>
      <c r="N147" s="199"/>
      <c r="O147" s="197"/>
      <c r="P147" s="200"/>
      <c r="Q147" s="14"/>
      <c r="R147" s="44"/>
    </row>
    <row r="148" spans="1:72" ht="17" thickBot="1">
      <c r="A148" s="14" t="s">
        <v>57</v>
      </c>
      <c r="B148" s="116"/>
      <c r="C148" s="167" t="s">
        <v>9</v>
      </c>
      <c r="D148" s="168"/>
      <c r="E148" s="553" t="s">
        <v>7</v>
      </c>
      <c r="F148" s="554"/>
      <c r="G148" s="555"/>
      <c r="H148" s="530">
        <f>H16+H26+H34+H41+H48+H68+H93+H111+H118+H128+H135++H146+H104</f>
        <v>83706.033660973088</v>
      </c>
      <c r="I148" s="531"/>
      <c r="J148" s="14"/>
      <c r="K148" s="35"/>
      <c r="L148" s="34"/>
      <c r="M148" s="87"/>
      <c r="N148" s="87"/>
      <c r="O148" s="87"/>
      <c r="P148" s="88"/>
      <c r="Q148" s="14"/>
      <c r="R148" s="44"/>
    </row>
    <row r="149" spans="1:72" ht="17.25" customHeight="1">
      <c r="A149" s="14"/>
      <c r="B149" s="478" t="str">
        <f>'Description Sheet'!B148</f>
        <v>Please Note: The above figures are estimates only based on our experience, measures taken and current rates.  An 8% escalation has been allowed for per anum .  This pricing includes 15% VAT.  Some rates have furthermore been adjusted to try and accommodate P&amp;G's.  An allowance for THC to undertake an annual inspection in order to update the maintenance plan and budget should be allowed for.</v>
      </c>
      <c r="C149" s="479"/>
      <c r="D149" s="479"/>
      <c r="E149" s="479"/>
      <c r="F149" s="479"/>
      <c r="G149" s="479"/>
      <c r="H149" s="479"/>
      <c r="I149" s="480"/>
      <c r="J149" s="14"/>
      <c r="K149" s="40"/>
      <c r="L149" s="14"/>
      <c r="M149" s="89"/>
      <c r="N149" s="89"/>
      <c r="O149" s="89"/>
      <c r="P149" s="89"/>
      <c r="Q149" s="14"/>
      <c r="R149" s="89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</row>
    <row r="150" spans="1:72">
      <c r="A150" s="14"/>
      <c r="B150" s="534"/>
      <c r="C150" s="535"/>
      <c r="D150" s="535"/>
      <c r="E150" s="535"/>
      <c r="F150" s="535"/>
      <c r="G150" s="535"/>
      <c r="H150" s="535"/>
      <c r="I150" s="536"/>
      <c r="J150" s="14"/>
      <c r="K150" s="40"/>
      <c r="L150" s="14"/>
      <c r="M150" s="89"/>
      <c r="N150" s="89"/>
      <c r="O150" s="89"/>
      <c r="P150" s="89"/>
      <c r="Q150" s="14"/>
      <c r="R150" s="89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</row>
    <row r="151" spans="1:72" ht="25.5" customHeight="1">
      <c r="A151" s="14"/>
      <c r="B151" s="534"/>
      <c r="C151" s="535"/>
      <c r="D151" s="535"/>
      <c r="E151" s="535"/>
      <c r="F151" s="535"/>
      <c r="G151" s="535"/>
      <c r="H151" s="535"/>
      <c r="I151" s="536"/>
      <c r="J151" s="14"/>
      <c r="K151" s="31"/>
      <c r="L151" s="14"/>
      <c r="M151" s="44"/>
      <c r="N151" s="44"/>
      <c r="O151" s="44"/>
      <c r="P151" s="44"/>
      <c r="Q151" s="14"/>
      <c r="R151" s="44"/>
    </row>
    <row r="152" spans="1:72">
      <c r="A152" s="44"/>
      <c r="B152" s="172"/>
      <c r="C152" s="117"/>
      <c r="D152" s="117"/>
      <c r="E152" s="139"/>
      <c r="F152" s="117"/>
      <c r="G152" s="117"/>
      <c r="H152" s="117"/>
      <c r="I152" s="117"/>
      <c r="J152" s="44"/>
      <c r="K152" s="31"/>
      <c r="L152" s="44"/>
      <c r="M152" s="44"/>
      <c r="N152" s="44"/>
      <c r="O152" s="44"/>
      <c r="P152" s="44"/>
      <c r="Q152" s="44"/>
      <c r="R152" s="44"/>
    </row>
  </sheetData>
  <sheetProtection algorithmName="SHA-512" hashValue="A/uhCXHX3BkLsAggZ4QCPQJUQcOlJt0gOthZFzQVfh0lwpmNIyMjKzp2DoGMJYU9KNA9YVsDaBL4BBlhw2mPgw==" saltValue="aL3AasqhK24ZwjeKvqmp9w==" spinCount="100000" sheet="1" objects="1" scenarios="1"/>
  <mergeCells count="60">
    <mergeCell ref="F26:G26"/>
    <mergeCell ref="H26:I26"/>
    <mergeCell ref="B2:F3"/>
    <mergeCell ref="B4:I4"/>
    <mergeCell ref="E5:I5"/>
    <mergeCell ref="F16:G16"/>
    <mergeCell ref="H16:I16"/>
    <mergeCell ref="M26:N26"/>
    <mergeCell ref="O26:P26"/>
    <mergeCell ref="M2:P3"/>
    <mergeCell ref="M7:P7"/>
    <mergeCell ref="M16:N16"/>
    <mergeCell ref="O16:P16"/>
    <mergeCell ref="F104:G104"/>
    <mergeCell ref="H104:I104"/>
    <mergeCell ref="M104:N104"/>
    <mergeCell ref="O104:P104"/>
    <mergeCell ref="F93:G93"/>
    <mergeCell ref="H93:I93"/>
    <mergeCell ref="M93:N93"/>
    <mergeCell ref="O93:P93"/>
    <mergeCell ref="F34:G34"/>
    <mergeCell ref="H34:I34"/>
    <mergeCell ref="M34:N34"/>
    <mergeCell ref="O34:P34"/>
    <mergeCell ref="F41:G41"/>
    <mergeCell ref="H41:I41"/>
    <mergeCell ref="M41:N41"/>
    <mergeCell ref="O41:P41"/>
    <mergeCell ref="F48:G48"/>
    <mergeCell ref="H48:I48"/>
    <mergeCell ref="M48:N48"/>
    <mergeCell ref="O48:P48"/>
    <mergeCell ref="F68:G68"/>
    <mergeCell ref="H68:I68"/>
    <mergeCell ref="M68:N68"/>
    <mergeCell ref="O68:P68"/>
    <mergeCell ref="F111:G111"/>
    <mergeCell ref="H111:I111"/>
    <mergeCell ref="M111:N111"/>
    <mergeCell ref="O111:P111"/>
    <mergeCell ref="F118:G118"/>
    <mergeCell ref="H118:I118"/>
    <mergeCell ref="M118:N118"/>
    <mergeCell ref="O118:P118"/>
    <mergeCell ref="M146:N146"/>
    <mergeCell ref="O146:P146"/>
    <mergeCell ref="F128:G128"/>
    <mergeCell ref="H128:I128"/>
    <mergeCell ref="M128:N128"/>
    <mergeCell ref="O128:P128"/>
    <mergeCell ref="F135:G135"/>
    <mergeCell ref="H135:I135"/>
    <mergeCell ref="M135:N135"/>
    <mergeCell ref="O135:P135"/>
    <mergeCell ref="E148:G148"/>
    <mergeCell ref="H148:I148"/>
    <mergeCell ref="B149:I151"/>
    <mergeCell ref="F146:G146"/>
    <mergeCell ref="H146:I146"/>
  </mergeCells>
  <conditionalFormatting sqref="E18:E24 E9:E15">
    <cfRule type="expression" priority="1">
      <formula>$H$9:$H$10&gt;x</formula>
    </cfRule>
    <cfRule type="expression" priority="2">
      <formula>$H$9&lt;x</formula>
    </cfRule>
  </conditionalFormatting>
  <pageMargins left="0.70866141732283472" right="0.70866141732283472" top="0.74803149606299213" bottom="0.74803149606299213" header="0.31496062992125984" footer="0.31496062992125984"/>
  <pageSetup scale="69" orientation="portrait" horizontalDpi="429496729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pageSetUpPr fitToPage="1"/>
  </sheetPr>
  <dimension ref="A1:BT152"/>
  <sheetViews>
    <sheetView view="pageBreakPreview" zoomScale="70" zoomScaleNormal="70" zoomScaleSheetLayoutView="70" workbookViewId="0">
      <pane xSplit="16" ySplit="6" topLeftCell="Q7" activePane="bottomRight" state="frozen"/>
      <selection pane="topRight"/>
      <selection pane="bottomLeft"/>
      <selection pane="bottomRight" activeCell="E1" sqref="E1:E1048576"/>
    </sheetView>
  </sheetViews>
  <sheetFormatPr baseColWidth="10" defaultColWidth="8.83203125" defaultRowHeight="16"/>
  <cols>
    <col min="1" max="1" width="2.33203125" customWidth="1"/>
    <col min="2" max="2" width="6.5" style="173" hidden="1" customWidth="1"/>
    <col min="3" max="3" width="62.5" style="169" customWidth="1"/>
    <col min="4" max="4" width="1.5" style="169" customWidth="1"/>
    <col min="5" max="5" width="12.83203125" style="170" hidden="1" customWidth="1"/>
    <col min="6" max="6" width="6.5" style="169" customWidth="1"/>
    <col min="7" max="7" width="11.33203125" style="169" customWidth="1"/>
    <col min="8" max="8" width="17.5" style="169" bestFit="1" customWidth="1"/>
    <col min="9" max="9" width="17.5" style="169" customWidth="1"/>
    <col min="10" max="10" width="2.33203125" customWidth="1"/>
    <col min="11" max="11" width="11" style="4" hidden="1" customWidth="1"/>
    <col min="12" max="12" width="20.1640625" hidden="1" customWidth="1"/>
    <col min="13" max="13" width="48.33203125" hidden="1" customWidth="1"/>
    <col min="14" max="14" width="13" hidden="1" customWidth="1"/>
    <col min="15" max="15" width="13.33203125" hidden="1" customWidth="1"/>
    <col min="16" max="16" width="15.33203125" hidden="1" customWidth="1"/>
    <col min="17" max="17" width="10" hidden="1" customWidth="1"/>
    <col min="18" max="18" width="9.1640625" customWidth="1"/>
    <col min="19" max="19" width="13.5" bestFit="1" customWidth="1"/>
  </cols>
  <sheetData>
    <row r="1" spans="1:18" ht="17" thickBot="1">
      <c r="A1" s="30"/>
      <c r="B1" s="171"/>
      <c r="C1" s="117"/>
      <c r="D1" s="118"/>
      <c r="E1" s="139"/>
      <c r="F1" s="117"/>
      <c r="G1" s="117"/>
      <c r="H1" s="117"/>
      <c r="I1" s="117"/>
      <c r="J1" s="30"/>
      <c r="K1" s="41"/>
      <c r="L1" s="30"/>
      <c r="M1" s="30"/>
      <c r="N1" s="44"/>
      <c r="O1" s="44"/>
      <c r="P1" s="44"/>
      <c r="Q1" s="30"/>
      <c r="R1" s="44"/>
    </row>
    <row r="2" spans="1:18" ht="15" customHeight="1">
      <c r="A2" s="34"/>
      <c r="B2" s="543" t="str">
        <f>'Maintenance Schedule'!D1</f>
        <v>KNIGHTSBRIDGE - DESK REVIEW MAINTENANCE SCHEDULE (2021)</v>
      </c>
      <c r="C2" s="544"/>
      <c r="D2" s="544"/>
      <c r="E2" s="544"/>
      <c r="F2" s="545"/>
      <c r="G2" s="140"/>
      <c r="H2" s="140"/>
      <c r="I2" s="140"/>
      <c r="J2" s="14"/>
      <c r="K2" s="15"/>
      <c r="L2" s="33"/>
      <c r="M2" s="537" t="s">
        <v>22</v>
      </c>
      <c r="N2" s="538"/>
      <c r="O2" s="538"/>
      <c r="P2" s="539"/>
      <c r="Q2" s="34"/>
      <c r="R2" s="44"/>
    </row>
    <row r="3" spans="1:18" ht="37.5" customHeight="1" thickBot="1">
      <c r="A3" s="38"/>
      <c r="B3" s="546"/>
      <c r="C3" s="547"/>
      <c r="D3" s="547"/>
      <c r="E3" s="547"/>
      <c r="F3" s="548"/>
      <c r="G3" s="141"/>
      <c r="H3" s="141"/>
      <c r="I3" s="141"/>
      <c r="J3" s="14"/>
      <c r="K3" s="15"/>
      <c r="L3" s="33"/>
      <c r="M3" s="540"/>
      <c r="N3" s="541"/>
      <c r="O3" s="541"/>
      <c r="P3" s="542"/>
      <c r="Q3" s="14"/>
      <c r="R3" s="44"/>
    </row>
    <row r="4" spans="1:18" ht="32.25" customHeight="1" thickBot="1">
      <c r="A4" s="14"/>
      <c r="B4" s="460" t="s">
        <v>1</v>
      </c>
      <c r="C4" s="461"/>
      <c r="D4" s="461"/>
      <c r="E4" s="461"/>
      <c r="F4" s="461"/>
      <c r="G4" s="461"/>
      <c r="H4" s="461"/>
      <c r="I4" s="549"/>
      <c r="J4" s="14"/>
      <c r="K4" s="40"/>
      <c r="L4" s="33"/>
      <c r="M4" s="51" t="s">
        <v>26</v>
      </c>
      <c r="N4" s="51"/>
      <c r="O4" s="51"/>
      <c r="P4" s="52"/>
      <c r="Q4" s="14"/>
      <c r="R4" s="44"/>
    </row>
    <row r="5" spans="1:18" ht="19" thickBot="1">
      <c r="A5" s="14"/>
      <c r="B5" s="105"/>
      <c r="C5" s="106" t="str">
        <f>'Maintenance Schedule'!E4</f>
        <v>WORK DUE IN FINANCIAL YEAR</v>
      </c>
      <c r="D5" s="107"/>
      <c r="E5" s="550" t="str">
        <f>'Maintenance Schedule'!T4</f>
        <v>2028/2029</v>
      </c>
      <c r="F5" s="551"/>
      <c r="G5" s="551"/>
      <c r="H5" s="551"/>
      <c r="I5" s="552"/>
      <c r="J5" s="14"/>
      <c r="K5" s="40"/>
      <c r="L5" s="33"/>
      <c r="M5" s="53"/>
      <c r="N5" s="53"/>
      <c r="O5" s="53"/>
      <c r="P5" s="54"/>
      <c r="Q5" s="14"/>
      <c r="R5" s="44"/>
    </row>
    <row r="6" spans="1:18" ht="18" thickBot="1">
      <c r="A6" s="14"/>
      <c r="B6" s="108" t="s">
        <v>19</v>
      </c>
      <c r="C6" s="142" t="s">
        <v>0</v>
      </c>
      <c r="D6" s="107"/>
      <c r="E6" s="143" t="s">
        <v>23</v>
      </c>
      <c r="F6" s="144" t="s">
        <v>2</v>
      </c>
      <c r="G6" s="145" t="s">
        <v>3</v>
      </c>
      <c r="H6" s="144" t="s">
        <v>4</v>
      </c>
      <c r="I6" s="144" t="s">
        <v>5</v>
      </c>
      <c r="J6" s="32"/>
      <c r="K6" s="40"/>
      <c r="L6" s="33"/>
      <c r="M6" s="59" t="s">
        <v>2</v>
      </c>
      <c r="N6" s="59" t="s">
        <v>3</v>
      </c>
      <c r="O6" s="59" t="s">
        <v>4</v>
      </c>
      <c r="P6" s="59" t="s">
        <v>5</v>
      </c>
      <c r="Q6" s="14"/>
      <c r="R6" s="44"/>
    </row>
    <row r="7" spans="1:18" ht="8.25" hidden="1" customHeight="1" thickBot="1">
      <c r="A7" s="14"/>
      <c r="B7" s="109"/>
      <c r="C7" s="146"/>
      <c r="D7" s="147"/>
      <c r="E7" s="148"/>
      <c r="F7" s="148"/>
      <c r="G7" s="148"/>
      <c r="H7" s="148"/>
      <c r="I7" s="149"/>
      <c r="J7" s="60"/>
      <c r="K7" s="84"/>
      <c r="L7" s="60"/>
      <c r="M7" s="505"/>
      <c r="N7" s="506"/>
      <c r="O7" s="506"/>
      <c r="P7" s="507"/>
      <c r="Q7" s="14"/>
      <c r="R7" s="44"/>
    </row>
    <row r="8" spans="1:18" ht="17" thickBot="1">
      <c r="A8" s="14"/>
      <c r="B8" s="108">
        <f>'Description Sheet'!B7</f>
        <v>1</v>
      </c>
      <c r="C8" s="150" t="str">
        <f>'Description Sheet'!C7</f>
        <v>Electrical Areas</v>
      </c>
      <c r="D8" s="107"/>
      <c r="E8" s="110"/>
      <c r="F8" s="110"/>
      <c r="G8" s="110"/>
      <c r="H8" s="110"/>
      <c r="I8" s="151"/>
      <c r="J8" s="32"/>
      <c r="K8" s="40"/>
      <c r="L8" s="33"/>
      <c r="M8" s="24"/>
      <c r="N8" s="25"/>
      <c r="O8" s="25"/>
      <c r="P8" s="63"/>
      <c r="Q8" s="14"/>
      <c r="R8" s="44"/>
    </row>
    <row r="9" spans="1:18">
      <c r="A9" s="14"/>
      <c r="B9" s="109">
        <f>'Description Sheet'!B8</f>
        <v>1.1000000000000001</v>
      </c>
      <c r="C9" s="152" t="str">
        <f>'Description Sheet'!C8</f>
        <v>General Electrics and Lighting (Replacement/Repairs)</v>
      </c>
      <c r="D9" s="107"/>
      <c r="E9" s="153" t="str">
        <f>IF('Maintenance Schedule'!T8="x","x","")</f>
        <v>x</v>
      </c>
      <c r="F9" s="153" t="str">
        <f>IF(E9="x","No","")</f>
        <v>No</v>
      </c>
      <c r="G9" s="154">
        <f>IF(E9="x",1,0)</f>
        <v>1</v>
      </c>
      <c r="H9" s="155">
        <f>IF(E9="x",P9,0)</f>
        <v>7712.2092095078424</v>
      </c>
      <c r="I9" s="156">
        <f>IF(E9="x",G9*H9,0)</f>
        <v>7712.2092095078424</v>
      </c>
      <c r="J9" s="14"/>
      <c r="K9" s="85"/>
      <c r="L9" s="32"/>
      <c r="M9" s="66" t="str">
        <f>'Description Sheet'!K8</f>
        <v>No</v>
      </c>
      <c r="N9" s="67">
        <f>'Description Sheet'!L8</f>
        <v>1</v>
      </c>
      <c r="O9" s="68">
        <f>'Year (2027-2028)'!O9*(('Description Sheet'!M4)+1)</f>
        <v>7712.2092095078424</v>
      </c>
      <c r="P9" s="69">
        <f>N9*O9</f>
        <v>7712.2092095078424</v>
      </c>
      <c r="Q9" s="14"/>
      <c r="R9" s="44"/>
    </row>
    <row r="10" spans="1:18" hidden="1">
      <c r="A10" s="14"/>
      <c r="B10" s="109">
        <f>'Description Sheet'!B9</f>
        <v>1.2</v>
      </c>
      <c r="C10" s="152" t="str">
        <f>'Description Sheet'!C9</f>
        <v>Generators (Maintenance Savings)</v>
      </c>
      <c r="D10" s="107"/>
      <c r="E10" s="153" t="str">
        <f>IF('Maintenance Schedule'!T9="x","x","")</f>
        <v/>
      </c>
      <c r="F10" s="153" t="str">
        <f t="shared" ref="F10:F14" si="0">IF(E10="x","No","")</f>
        <v/>
      </c>
      <c r="G10" s="154">
        <f t="shared" ref="G10:G14" si="1">IF(E10="x",1,0)</f>
        <v>0</v>
      </c>
      <c r="H10" s="155">
        <f>IF(E10="x",P10,0)</f>
        <v>0</v>
      </c>
      <c r="I10" s="156">
        <f>IF(E10="x",G10*H10,0)</f>
        <v>0</v>
      </c>
      <c r="J10" s="14"/>
      <c r="K10" s="85"/>
      <c r="L10" s="32"/>
      <c r="M10" s="66" t="str">
        <f>'Description Sheet'!K9</f>
        <v>No</v>
      </c>
      <c r="N10" s="67">
        <f>'Description Sheet'!L9</f>
        <v>0</v>
      </c>
      <c r="O10" s="68">
        <f>'Year (2027-2028)'!O10*(('Description Sheet'!M4)+1)</f>
        <v>8065.2570088764251</v>
      </c>
      <c r="P10" s="69">
        <f>N10*O10</f>
        <v>0</v>
      </c>
      <c r="Q10" s="14"/>
      <c r="R10" s="44"/>
    </row>
    <row r="11" spans="1:18">
      <c r="A11" s="14"/>
      <c r="B11" s="109">
        <f>'Description Sheet'!B10</f>
        <v>1.3</v>
      </c>
      <c r="C11" s="152" t="str">
        <f>'Description Sheet'!C10</f>
        <v>Main Gate &amp; Motor (Replacement Savings)</v>
      </c>
      <c r="D11" s="107"/>
      <c r="E11" s="153" t="str">
        <f>IF('Maintenance Schedule'!T10="x","x","")</f>
        <v>x</v>
      </c>
      <c r="F11" s="153" t="str">
        <f t="shared" si="0"/>
        <v>No</v>
      </c>
      <c r="G11" s="154">
        <f t="shared" si="1"/>
        <v>1</v>
      </c>
      <c r="H11" s="155">
        <f>IF(E11="x",P11,0)</f>
        <v>5040.3571744805713</v>
      </c>
      <c r="I11" s="156">
        <f>IF(E11="x",G11*H11,0)</f>
        <v>5040.3571744805713</v>
      </c>
      <c r="J11" s="14"/>
      <c r="K11" s="85"/>
      <c r="L11" s="32"/>
      <c r="M11" s="66" t="str">
        <f>'Description Sheet'!K10</f>
        <v>No</v>
      </c>
      <c r="N11" s="67">
        <f>'Description Sheet'!L10</f>
        <v>1</v>
      </c>
      <c r="O11" s="68">
        <f>'Year (2027-2028)'!O11*(('Description Sheet'!M4)+1)</f>
        <v>5040.3571744805713</v>
      </c>
      <c r="P11" s="69">
        <f>N11*O11</f>
        <v>5040.3571744805713</v>
      </c>
      <c r="Q11" s="14"/>
      <c r="R11" s="44"/>
    </row>
    <row r="12" spans="1:18" hidden="1">
      <c r="A12" s="14"/>
      <c r="B12" s="109">
        <f>'Description Sheet'!B11</f>
        <v>1.4</v>
      </c>
      <c r="C12" s="152" t="str">
        <f>'Description Sheet'!C11</f>
        <v>Tranformers (Service Interval 3 Years)</v>
      </c>
      <c r="D12" s="107"/>
      <c r="E12" s="153" t="str">
        <f>IF('Maintenance Schedule'!T11="x","x","")</f>
        <v/>
      </c>
      <c r="F12" s="153" t="str">
        <f t="shared" si="0"/>
        <v/>
      </c>
      <c r="G12" s="154">
        <f t="shared" si="1"/>
        <v>0</v>
      </c>
      <c r="H12" s="155">
        <f t="shared" ref="H12:H14" si="2">IF(E12="x",P12,0)</f>
        <v>0</v>
      </c>
      <c r="I12" s="156">
        <f t="shared" ref="I12:I14" si="3">IF(E12="x",G12*H12,0)</f>
        <v>0</v>
      </c>
      <c r="J12" s="14"/>
      <c r="K12" s="85"/>
      <c r="L12" s="32"/>
      <c r="M12" s="66" t="str">
        <f>'Description Sheet'!K11</f>
        <v>No</v>
      </c>
      <c r="N12" s="67">
        <f>'Description Sheet'!L11</f>
        <v>0</v>
      </c>
      <c r="O12" s="68">
        <f>'Year (2027-2028)'!O12*(('Description Sheet'!M4)+1)</f>
        <v>48494.37150938531</v>
      </c>
      <c r="P12" s="69">
        <f t="shared" ref="P12:P14" si="4">N12*O12</f>
        <v>0</v>
      </c>
      <c r="Q12" s="14"/>
      <c r="R12" s="44"/>
    </row>
    <row r="13" spans="1:18" hidden="1">
      <c r="A13" s="14"/>
      <c r="B13" s="109">
        <f>'Description Sheet'!B12</f>
        <v>1.5</v>
      </c>
      <c r="C13" s="152" t="str">
        <f>'Description Sheet'!C12</f>
        <v>blank</v>
      </c>
      <c r="D13" s="107"/>
      <c r="E13" s="153" t="str">
        <f>IF('Maintenance Schedule'!T12="x","x","")</f>
        <v/>
      </c>
      <c r="F13" s="153" t="str">
        <f t="shared" si="0"/>
        <v/>
      </c>
      <c r="G13" s="154">
        <f t="shared" si="1"/>
        <v>0</v>
      </c>
      <c r="H13" s="155">
        <f t="shared" si="2"/>
        <v>0</v>
      </c>
      <c r="I13" s="156">
        <f t="shared" si="3"/>
        <v>0</v>
      </c>
      <c r="J13" s="14"/>
      <c r="K13" s="85"/>
      <c r="L13" s="32"/>
      <c r="M13" s="66" t="str">
        <f>'Description Sheet'!K12</f>
        <v>No</v>
      </c>
      <c r="N13" s="67">
        <f>'Description Sheet'!L12</f>
        <v>0</v>
      </c>
      <c r="O13" s="68">
        <f>'Year (2027-2028)'!O13*(('Description Sheet'!M4)+1)</f>
        <v>0</v>
      </c>
      <c r="P13" s="69">
        <f t="shared" si="4"/>
        <v>0</v>
      </c>
      <c r="Q13" s="14"/>
      <c r="R13" s="44"/>
    </row>
    <row r="14" spans="1:18" hidden="1">
      <c r="A14" s="14"/>
      <c r="B14" s="109">
        <f>'Description Sheet'!B13</f>
        <v>1.6</v>
      </c>
      <c r="C14" s="152" t="str">
        <f>'Description Sheet'!C13</f>
        <v>blank</v>
      </c>
      <c r="D14" s="107"/>
      <c r="E14" s="153" t="str">
        <f>IF('Maintenance Schedule'!T13="x","x","")</f>
        <v/>
      </c>
      <c r="F14" s="153" t="str">
        <f t="shared" si="0"/>
        <v/>
      </c>
      <c r="G14" s="154">
        <f t="shared" si="1"/>
        <v>0</v>
      </c>
      <c r="H14" s="155">
        <f t="shared" si="2"/>
        <v>0</v>
      </c>
      <c r="I14" s="156">
        <f t="shared" si="3"/>
        <v>0</v>
      </c>
      <c r="J14" s="14"/>
      <c r="K14" s="85"/>
      <c r="L14" s="32"/>
      <c r="M14" s="66" t="str">
        <f>'Description Sheet'!K13</f>
        <v>No</v>
      </c>
      <c r="N14" s="67">
        <f>'Description Sheet'!L13</f>
        <v>0</v>
      </c>
      <c r="O14" s="68">
        <f>'Year (2027-2028)'!O14*(('Description Sheet'!M4)+1)</f>
        <v>0</v>
      </c>
      <c r="P14" s="69">
        <f t="shared" si="4"/>
        <v>0</v>
      </c>
      <c r="Q14" s="14"/>
      <c r="R14" s="44"/>
    </row>
    <row r="15" spans="1:18" ht="17" thickBot="1">
      <c r="A15" s="14"/>
      <c r="B15" s="109"/>
      <c r="C15" s="152"/>
      <c r="D15" s="107"/>
      <c r="E15" s="153"/>
      <c r="F15" s="153"/>
      <c r="G15" s="154"/>
      <c r="H15" s="155"/>
      <c r="I15" s="157"/>
      <c r="J15" s="14"/>
      <c r="K15" s="85"/>
      <c r="L15" s="32"/>
      <c r="M15" s="70"/>
      <c r="N15" s="67"/>
      <c r="O15" s="68"/>
      <c r="P15" s="73"/>
      <c r="Q15" s="14"/>
      <c r="R15" s="44"/>
    </row>
    <row r="16" spans="1:18" s="4" customFormat="1" ht="15.75" customHeight="1" thickBot="1">
      <c r="A16" s="14"/>
      <c r="B16" s="109"/>
      <c r="C16" s="158"/>
      <c r="D16" s="107"/>
      <c r="E16" s="159"/>
      <c r="F16" s="528" t="s">
        <v>7</v>
      </c>
      <c r="G16" s="529"/>
      <c r="H16" s="530">
        <f>SUM(I9:I14)</f>
        <v>12752.566383988415</v>
      </c>
      <c r="I16" s="531"/>
      <c r="J16" s="14"/>
      <c r="K16" s="15"/>
      <c r="L16" s="33"/>
      <c r="M16" s="508" t="s">
        <v>7</v>
      </c>
      <c r="N16" s="509"/>
      <c r="O16" s="510">
        <f>SUM(P9:P14)</f>
        <v>12752.566383988415</v>
      </c>
      <c r="P16" s="511"/>
      <c r="Q16" s="14"/>
      <c r="R16" s="31"/>
    </row>
    <row r="17" spans="1:18" ht="17" thickBot="1">
      <c r="A17" s="14"/>
      <c r="B17" s="109">
        <f>'Description Sheet'!B16</f>
        <v>2</v>
      </c>
      <c r="C17" s="113" t="str">
        <f>'Description Sheet'!C16</f>
        <v>External Plumbing Areas</v>
      </c>
      <c r="D17" s="107"/>
      <c r="E17" s="110"/>
      <c r="F17" s="110"/>
      <c r="G17" s="110"/>
      <c r="H17" s="110"/>
      <c r="I17" s="151"/>
      <c r="J17" s="32"/>
      <c r="K17" s="40"/>
      <c r="L17" s="33"/>
      <c r="M17" s="24"/>
      <c r="N17" s="25"/>
      <c r="O17" s="25"/>
      <c r="P17" s="63"/>
      <c r="Q17" s="14"/>
      <c r="R17" s="44"/>
    </row>
    <row r="18" spans="1:18">
      <c r="A18" s="14"/>
      <c r="B18" s="109">
        <f>'Description Sheet'!B17</f>
        <v>2.1</v>
      </c>
      <c r="C18" s="152" t="str">
        <f>'Description Sheet'!C17</f>
        <v>General Plumbing Repairs/Upgrade (Stacks, Valves etc.)</v>
      </c>
      <c r="D18" s="107"/>
      <c r="E18" s="153" t="str">
        <f>IF('Maintenance Schedule'!T20="x","x","")</f>
        <v>x</v>
      </c>
      <c r="F18" s="153" t="str">
        <f>IF(E18="x","No","")</f>
        <v>No</v>
      </c>
      <c r="G18" s="154">
        <f>IF(E18="x",1,0)</f>
        <v>1</v>
      </c>
      <c r="H18" s="155">
        <f t="shared" ref="H18:H24" si="5">IF(E18="x",P18,0)</f>
        <v>42845.606719488016</v>
      </c>
      <c r="I18" s="156">
        <f>IF(E18="x",G18*H18,0)</f>
        <v>42845.606719488016</v>
      </c>
      <c r="J18" s="14"/>
      <c r="K18" s="15"/>
      <c r="L18" s="32"/>
      <c r="M18" s="70" t="str">
        <f>'Description Sheet'!K17</f>
        <v>No</v>
      </c>
      <c r="N18" s="67">
        <f>'Description Sheet'!L17</f>
        <v>1</v>
      </c>
      <c r="O18" s="68">
        <f>'Year (2027-2028)'!O18*(('Description Sheet'!M4)+1)</f>
        <v>42845.606719488016</v>
      </c>
      <c r="P18" s="68">
        <f>N18*O18</f>
        <v>42845.606719488016</v>
      </c>
      <c r="Q18" s="14"/>
      <c r="R18" s="44"/>
    </row>
    <row r="19" spans="1:18" hidden="1">
      <c r="A19" s="14"/>
      <c r="B19" s="109">
        <f>'Description Sheet'!B18</f>
        <v>2.2000000000000002</v>
      </c>
      <c r="C19" s="152" t="str">
        <f>'Description Sheet'!C18</f>
        <v>Rectify Reticalation Connections at Fire Hydrants</v>
      </c>
      <c r="D19" s="107"/>
      <c r="E19" s="153" t="str">
        <f>IF('Maintenance Schedule'!T21="x","x","")</f>
        <v/>
      </c>
      <c r="F19" s="153" t="str">
        <f t="shared" ref="F19:F24" si="6">IF(E19="x","No","")</f>
        <v/>
      </c>
      <c r="G19" s="154">
        <f t="shared" ref="G19:G24" si="7">IF(E19="x",1,0)</f>
        <v>0</v>
      </c>
      <c r="H19" s="155">
        <f t="shared" si="5"/>
        <v>0</v>
      </c>
      <c r="I19" s="156">
        <f>IF(E19="x",G19*H19,0)</f>
        <v>0</v>
      </c>
      <c r="J19" s="14"/>
      <c r="K19" s="15"/>
      <c r="L19" s="32"/>
      <c r="M19" s="70" t="str">
        <f>'Description Sheet'!K18</f>
        <v>No</v>
      </c>
      <c r="N19" s="67">
        <f>'Description Sheet'!L18</f>
        <v>0</v>
      </c>
      <c r="O19" s="68">
        <f>'Year (2027-2028)'!O19*(('Description Sheet'!M4)+1)</f>
        <v>92546.510514094116</v>
      </c>
      <c r="P19" s="68">
        <f>N19*O19</f>
        <v>0</v>
      </c>
      <c r="Q19" s="14"/>
      <c r="R19" s="44"/>
    </row>
    <row r="20" spans="1:18" hidden="1">
      <c r="A20" s="14"/>
      <c r="B20" s="109">
        <f>'Description Sheet'!B19</f>
        <v>2.2999999999999998</v>
      </c>
      <c r="C20" s="152" t="str">
        <f>'Description Sheet'!C19</f>
        <v>Repairs to Storm Water Gullies</v>
      </c>
      <c r="D20" s="107"/>
      <c r="E20" s="153" t="str">
        <f>IF('Maintenance Schedule'!T22="x","x","")</f>
        <v/>
      </c>
      <c r="F20" s="153" t="str">
        <f t="shared" si="6"/>
        <v/>
      </c>
      <c r="G20" s="154">
        <f t="shared" si="7"/>
        <v>0</v>
      </c>
      <c r="H20" s="155">
        <f t="shared" si="5"/>
        <v>0</v>
      </c>
      <c r="I20" s="156">
        <f>IF(E20="x",G20*H20,0)</f>
        <v>0</v>
      </c>
      <c r="J20" s="14"/>
      <c r="K20" s="15"/>
      <c r="L20" s="32"/>
      <c r="M20" s="70" t="str">
        <f>'Description Sheet'!K19</f>
        <v>No</v>
      </c>
      <c r="N20" s="67">
        <f>'Description Sheet'!L19</f>
        <v>0</v>
      </c>
      <c r="O20" s="68">
        <f>'Year (2027-2028)'!O20*(('Description Sheet'!M4)+1)</f>
        <v>8329.1859462684697</v>
      </c>
      <c r="P20" s="68">
        <f>N20*O20</f>
        <v>0</v>
      </c>
      <c r="Q20" s="14"/>
      <c r="R20" s="44"/>
    </row>
    <row r="21" spans="1:18" hidden="1">
      <c r="A21" s="14"/>
      <c r="B21" s="109">
        <f>'Description Sheet'!B20</f>
        <v>2.4</v>
      </c>
      <c r="C21" s="152" t="str">
        <f>'Description Sheet'!C20</f>
        <v>Servicing of Full-Bore Piping</v>
      </c>
      <c r="D21" s="107"/>
      <c r="E21" s="153" t="str">
        <f>IF('Maintenance Schedule'!T23="x","x","")</f>
        <v/>
      </c>
      <c r="F21" s="153" t="str">
        <f t="shared" si="6"/>
        <v/>
      </c>
      <c r="G21" s="154">
        <f t="shared" si="7"/>
        <v>0</v>
      </c>
      <c r="H21" s="155">
        <f t="shared" si="5"/>
        <v>0</v>
      </c>
      <c r="I21" s="156">
        <f>IF(E21="x",G21*H21,0)</f>
        <v>0</v>
      </c>
      <c r="J21" s="14"/>
      <c r="K21" s="15"/>
      <c r="L21" s="32"/>
      <c r="M21" s="70" t="str">
        <f>'Description Sheet'!K20</f>
        <v>No</v>
      </c>
      <c r="N21" s="67">
        <f>'Description Sheet'!L20</f>
        <v>1</v>
      </c>
      <c r="O21" s="68">
        <f>'Year (2027-2028)'!O21*(('Description Sheet'!M4)+1)</f>
        <v>8065.2570088764251</v>
      </c>
      <c r="P21" s="68">
        <f>O21*N21</f>
        <v>8065.2570088764251</v>
      </c>
      <c r="Q21" s="14"/>
      <c r="R21" s="44"/>
    </row>
    <row r="22" spans="1:18" hidden="1">
      <c r="A22" s="14"/>
      <c r="B22" s="109">
        <f>'Description Sheet'!B21</f>
        <v>2.5</v>
      </c>
      <c r="C22" s="152" t="str">
        <f>'Description Sheet'!C21</f>
        <v>Replacing of Cast Iron Stack Pipes with PVC</v>
      </c>
      <c r="D22" s="107"/>
      <c r="E22" s="153" t="str">
        <f>IF('Maintenance Schedule'!T24="x","x","")</f>
        <v/>
      </c>
      <c r="F22" s="153" t="str">
        <f t="shared" si="6"/>
        <v/>
      </c>
      <c r="G22" s="154">
        <f t="shared" si="7"/>
        <v>0</v>
      </c>
      <c r="H22" s="155">
        <f t="shared" si="5"/>
        <v>0</v>
      </c>
      <c r="I22" s="156">
        <f t="shared" ref="I22:I24" si="8">IF(E22="x",G22*H22,0)</f>
        <v>0</v>
      </c>
      <c r="J22" s="14"/>
      <c r="K22" s="15"/>
      <c r="L22" s="33"/>
      <c r="M22" s="70" t="str">
        <f>'Description Sheet'!K21</f>
        <v>lm</v>
      </c>
      <c r="N22" s="67">
        <f>'Description Sheet'!L21</f>
        <v>1</v>
      </c>
      <c r="O22" s="68">
        <f>'Year (2027-2028)'!O22*(('Description Sheet'!M4)+1)</f>
        <v>191571.27676417481</v>
      </c>
      <c r="P22" s="68">
        <f t="shared" ref="P22:P24" si="9">O22*N22</f>
        <v>191571.27676417481</v>
      </c>
      <c r="Q22" s="14"/>
      <c r="R22" s="44"/>
    </row>
    <row r="23" spans="1:18" hidden="1">
      <c r="A23" s="14"/>
      <c r="B23" s="109">
        <f>'Description Sheet'!B22</f>
        <v>2.6</v>
      </c>
      <c r="C23" s="152" t="str">
        <f>'Description Sheet'!C22</f>
        <v>Water Tanks and Pumps (Maintenance/Repairs Savings)</v>
      </c>
      <c r="D23" s="107"/>
      <c r="E23" s="153" t="str">
        <f>IF('Maintenance Schedule'!T25="x","x","")</f>
        <v/>
      </c>
      <c r="F23" s="153" t="str">
        <f t="shared" si="6"/>
        <v/>
      </c>
      <c r="G23" s="154">
        <f t="shared" si="7"/>
        <v>0</v>
      </c>
      <c r="H23" s="155">
        <f t="shared" si="5"/>
        <v>0</v>
      </c>
      <c r="I23" s="156">
        <f t="shared" si="8"/>
        <v>0</v>
      </c>
      <c r="J23" s="14"/>
      <c r="K23" s="15"/>
      <c r="L23" s="33"/>
      <c r="M23" s="70" t="str">
        <f>'Description Sheet'!K22</f>
        <v>No</v>
      </c>
      <c r="N23" s="67">
        <f>'Description Sheet'!L22</f>
        <v>0</v>
      </c>
      <c r="O23" s="68">
        <f>'Year (2027-2028)'!O23*(('Description Sheet'!M4)+1)</f>
        <v>18509.302102818827</v>
      </c>
      <c r="P23" s="68">
        <f t="shared" si="9"/>
        <v>0</v>
      </c>
      <c r="Q23" s="14"/>
      <c r="R23" s="44"/>
    </row>
    <row r="24" spans="1:18" hidden="1">
      <c r="A24" s="14"/>
      <c r="B24" s="109">
        <f>'Description Sheet'!B23</f>
        <v>2.7</v>
      </c>
      <c r="C24" s="152" t="str">
        <f>'Description Sheet'!C23</f>
        <v>Asbestos Water Tanks (Replace)</v>
      </c>
      <c r="D24" s="107"/>
      <c r="E24" s="153" t="str">
        <f>IF('Maintenance Schedule'!T26="x","x","")</f>
        <v/>
      </c>
      <c r="F24" s="153" t="str">
        <f t="shared" si="6"/>
        <v/>
      </c>
      <c r="G24" s="154">
        <f t="shared" si="7"/>
        <v>0</v>
      </c>
      <c r="H24" s="155">
        <f t="shared" si="5"/>
        <v>0</v>
      </c>
      <c r="I24" s="156">
        <f t="shared" si="8"/>
        <v>0</v>
      </c>
      <c r="J24" s="14"/>
      <c r="K24" s="15"/>
      <c r="L24" s="33"/>
      <c r="M24" s="70" t="str">
        <f>'Description Sheet'!K23</f>
        <v>No</v>
      </c>
      <c r="N24" s="67">
        <f>'Description Sheet'!L23</f>
        <v>0</v>
      </c>
      <c r="O24" s="68">
        <f>'Year (2027-2028)'!O24*(('Description Sheet'!M4)+1)</f>
        <v>53176.539411690974</v>
      </c>
      <c r="P24" s="68">
        <f t="shared" si="9"/>
        <v>0</v>
      </c>
      <c r="Q24" s="14"/>
      <c r="R24" s="44"/>
    </row>
    <row r="25" spans="1:18" ht="17" thickBot="1">
      <c r="A25" s="14"/>
      <c r="B25" s="109"/>
      <c r="C25" s="152"/>
      <c r="D25" s="107"/>
      <c r="E25" s="160"/>
      <c r="F25" s="161"/>
      <c r="G25" s="161"/>
      <c r="H25" s="155"/>
      <c r="I25" s="155"/>
      <c r="J25" s="14"/>
      <c r="K25" s="15"/>
      <c r="L25" s="33"/>
      <c r="M25" s="76"/>
      <c r="N25" s="76"/>
      <c r="O25" s="77"/>
      <c r="P25" s="77"/>
      <c r="Q25" s="14"/>
      <c r="R25" s="44"/>
    </row>
    <row r="26" spans="1:18" s="4" customFormat="1" ht="15.75" customHeight="1" thickBot="1">
      <c r="A26" s="14"/>
      <c r="B26" s="109"/>
      <c r="C26" s="152"/>
      <c r="D26" s="107"/>
      <c r="E26" s="159"/>
      <c r="F26" s="532" t="s">
        <v>7</v>
      </c>
      <c r="G26" s="533"/>
      <c r="H26" s="530">
        <f>SUM(I18:I24)</f>
        <v>42845.606719488016</v>
      </c>
      <c r="I26" s="531"/>
      <c r="J26" s="14"/>
      <c r="K26" s="15"/>
      <c r="L26" s="33"/>
      <c r="M26" s="508" t="s">
        <v>7</v>
      </c>
      <c r="N26" s="509"/>
      <c r="O26" s="510">
        <f>SUM(P18:P24)</f>
        <v>242482.14049253924</v>
      </c>
      <c r="P26" s="511"/>
      <c r="Q26" s="14"/>
      <c r="R26" s="31"/>
    </row>
    <row r="27" spans="1:18" ht="17" hidden="1" thickBot="1">
      <c r="A27" s="14"/>
      <c r="B27" s="109">
        <f>'Description Sheet'!B26</f>
        <v>3</v>
      </c>
      <c r="C27" s="113" t="str">
        <f>'Description Sheet'!C26</f>
        <v>Heating and Cooling Systems</v>
      </c>
      <c r="D27" s="107"/>
      <c r="E27" s="110"/>
      <c r="F27" s="110"/>
      <c r="G27" s="110"/>
      <c r="H27" s="110"/>
      <c r="I27" s="151"/>
      <c r="J27" s="32"/>
      <c r="K27" s="40"/>
      <c r="L27" s="33"/>
      <c r="M27" s="24"/>
      <c r="N27" s="25"/>
      <c r="O27" s="25"/>
      <c r="P27" s="63"/>
      <c r="Q27" s="14"/>
      <c r="R27" s="44"/>
    </row>
    <row r="28" spans="1:18" hidden="1">
      <c r="A28" s="14"/>
      <c r="B28" s="109">
        <f>'Description Sheet'!B27</f>
        <v>3.1</v>
      </c>
      <c r="C28" s="152" t="str">
        <f>'Description Sheet'!C27</f>
        <v>Ventilation Shafts (Maintenance &amp; Upgrade Savings)</v>
      </c>
      <c r="D28" s="107"/>
      <c r="E28" s="153" t="str">
        <f>IF('Maintenance Schedule'!T33="x","x","")</f>
        <v/>
      </c>
      <c r="F28" s="153" t="str">
        <f>IF(E28="x","No","")</f>
        <v/>
      </c>
      <c r="G28" s="154">
        <f>IF(E28="x",1,0)</f>
        <v>0</v>
      </c>
      <c r="H28" s="155">
        <f t="shared" ref="H28:H32" si="10">IF(E28="x",P28,0)</f>
        <v>0</v>
      </c>
      <c r="I28" s="156">
        <f>IF(E28="x",G28*H28,0)</f>
        <v>0</v>
      </c>
      <c r="J28" s="14"/>
      <c r="K28" s="15"/>
      <c r="L28" s="32"/>
      <c r="M28" s="70" t="str">
        <f>'Description Sheet'!K27</f>
        <v>No</v>
      </c>
      <c r="N28" s="67">
        <f>'Description Sheet'!L27</f>
        <v>0</v>
      </c>
      <c r="O28" s="68">
        <f>'Year (2027-2028)'!O28*(('Description Sheet'!M4)+1)</f>
        <v>10082.428173229921</v>
      </c>
      <c r="P28" s="68">
        <f>N28*O28</f>
        <v>0</v>
      </c>
      <c r="Q28" s="14"/>
      <c r="R28" s="44"/>
    </row>
    <row r="29" spans="1:18" hidden="1">
      <c r="A29" s="14"/>
      <c r="B29" s="109">
        <f>'Description Sheet'!B28</f>
        <v>3.2</v>
      </c>
      <c r="C29" s="152" t="str">
        <f>'Description Sheet'!C28</f>
        <v>Air Conditioning Units (Maintenance &amp; Upgrade Savings)</v>
      </c>
      <c r="D29" s="107"/>
      <c r="E29" s="153" t="str">
        <f>IF('Maintenance Schedule'!T34="x","x","")</f>
        <v/>
      </c>
      <c r="F29" s="153" t="str">
        <f>IF(E29="x","No","")</f>
        <v/>
      </c>
      <c r="G29" s="154">
        <f>IF(E29="x",1,0)</f>
        <v>0</v>
      </c>
      <c r="H29" s="155">
        <f t="shared" si="10"/>
        <v>0</v>
      </c>
      <c r="I29" s="156">
        <f>IF(E29="x",G29*H29,0)</f>
        <v>0</v>
      </c>
      <c r="J29" s="14"/>
      <c r="K29" s="15"/>
      <c r="L29" s="32"/>
      <c r="M29" s="70" t="str">
        <f>'Description Sheet'!K28</f>
        <v>No</v>
      </c>
      <c r="N29" s="67">
        <f>'Description Sheet'!L28</f>
        <v>0</v>
      </c>
      <c r="O29" s="73">
        <f>'Year (2027-2028)'!O29*(('Description Sheet'!M4)+1)</f>
        <v>20164.856346459841</v>
      </c>
      <c r="P29" s="68">
        <f>N29*O29</f>
        <v>0</v>
      </c>
      <c r="Q29" s="14"/>
      <c r="R29" s="44"/>
    </row>
    <row r="30" spans="1:18" hidden="1">
      <c r="A30" s="14"/>
      <c r="B30" s="109">
        <f>'Description Sheet'!B29</f>
        <v>3.3</v>
      </c>
      <c r="C30" s="152" t="str">
        <f>'Description Sheet'!C29</f>
        <v>Solar Panels (Maintenance &amp; Upgrade Savings)</v>
      </c>
      <c r="D30" s="107"/>
      <c r="E30" s="153" t="str">
        <f>IF('Maintenance Schedule'!T35="x","x","")</f>
        <v/>
      </c>
      <c r="F30" s="153" t="str">
        <f t="shared" ref="F30:F32" si="11">IF(E30="x","No","")</f>
        <v/>
      </c>
      <c r="G30" s="154">
        <f t="shared" ref="G30:G32" si="12">IF(E30="x",1,0)</f>
        <v>0</v>
      </c>
      <c r="H30" s="155">
        <f t="shared" si="10"/>
        <v>0</v>
      </c>
      <c r="I30" s="156">
        <f t="shared" ref="I30:I32" si="13">IF(E30="x",G30*H30,0)</f>
        <v>0</v>
      </c>
      <c r="J30" s="14"/>
      <c r="K30" s="15"/>
      <c r="L30" s="32"/>
      <c r="M30" s="70" t="str">
        <f>'Description Sheet'!K29</f>
        <v>No</v>
      </c>
      <c r="N30" s="67">
        <f>'Description Sheet'!L29</f>
        <v>0</v>
      </c>
      <c r="O30" s="73">
        <f>'Year (2027-2028)'!O30*(('Description Sheet'!M4)+1)</f>
        <v>11139.857747066886</v>
      </c>
      <c r="P30" s="68">
        <f t="shared" ref="P30:P32" si="14">N30*O30</f>
        <v>0</v>
      </c>
      <c r="Q30" s="14"/>
      <c r="R30" s="44"/>
    </row>
    <row r="31" spans="1:18" hidden="1">
      <c r="A31" s="14"/>
      <c r="B31" s="109">
        <f>'Description Sheet'!B30</f>
        <v>3.4</v>
      </c>
      <c r="C31" s="152" t="str">
        <f>'Description Sheet'!C30</f>
        <v>blank</v>
      </c>
      <c r="D31" s="107"/>
      <c r="E31" s="153" t="str">
        <f>IF('Maintenance Schedule'!T36="x","x","")</f>
        <v/>
      </c>
      <c r="F31" s="153" t="str">
        <f t="shared" si="11"/>
        <v/>
      </c>
      <c r="G31" s="154">
        <f t="shared" si="12"/>
        <v>0</v>
      </c>
      <c r="H31" s="155">
        <f t="shared" si="10"/>
        <v>0</v>
      </c>
      <c r="I31" s="156">
        <f t="shared" si="13"/>
        <v>0</v>
      </c>
      <c r="J31" s="14"/>
      <c r="K31" s="15"/>
      <c r="L31" s="32"/>
      <c r="M31" s="70" t="str">
        <f>'Description Sheet'!K30</f>
        <v>No</v>
      </c>
      <c r="N31" s="67">
        <f>'Description Sheet'!L30</f>
        <v>0</v>
      </c>
      <c r="O31" s="73">
        <f>'Year (2027-2028)'!O31*(('Description Sheet'!M4)+1)</f>
        <v>0</v>
      </c>
      <c r="P31" s="68">
        <f t="shared" si="14"/>
        <v>0</v>
      </c>
      <c r="Q31" s="14"/>
      <c r="R31" s="44"/>
    </row>
    <row r="32" spans="1:18" hidden="1">
      <c r="A32" s="14"/>
      <c r="B32" s="109">
        <f>'Description Sheet'!B31</f>
        <v>3.5</v>
      </c>
      <c r="C32" s="152" t="str">
        <f>'Description Sheet'!C31</f>
        <v>blank</v>
      </c>
      <c r="D32" s="107"/>
      <c r="E32" s="153" t="str">
        <f>IF('Maintenance Schedule'!T37="x","x","")</f>
        <v/>
      </c>
      <c r="F32" s="153" t="str">
        <f t="shared" si="11"/>
        <v/>
      </c>
      <c r="G32" s="154">
        <f t="shared" si="12"/>
        <v>0</v>
      </c>
      <c r="H32" s="155">
        <f t="shared" si="10"/>
        <v>0</v>
      </c>
      <c r="I32" s="156">
        <f t="shared" si="13"/>
        <v>0</v>
      </c>
      <c r="J32" s="14"/>
      <c r="K32" s="15"/>
      <c r="L32" s="32"/>
      <c r="M32" s="70" t="str">
        <f>'Description Sheet'!K31</f>
        <v>No</v>
      </c>
      <c r="N32" s="67">
        <f>'Description Sheet'!L31</f>
        <v>0</v>
      </c>
      <c r="O32" s="73">
        <f>'Year (2027-2028)'!O32*(('Description Sheet'!M4)+1)</f>
        <v>0</v>
      </c>
      <c r="P32" s="68">
        <f t="shared" si="14"/>
        <v>0</v>
      </c>
      <c r="Q32" s="14"/>
      <c r="R32" s="44"/>
    </row>
    <row r="33" spans="1:18" ht="17" hidden="1" thickBot="1">
      <c r="A33" s="14"/>
      <c r="B33" s="109"/>
      <c r="C33" s="152"/>
      <c r="D33" s="107"/>
      <c r="E33" s="162"/>
      <c r="F33" s="154"/>
      <c r="G33" s="154"/>
      <c r="H33" s="155"/>
      <c r="I33" s="155"/>
      <c r="J33" s="14"/>
      <c r="K33" s="15"/>
      <c r="L33" s="32"/>
      <c r="M33" s="67"/>
      <c r="N33" s="67"/>
      <c r="O33" s="73"/>
      <c r="P33" s="68"/>
      <c r="Q33" s="14"/>
      <c r="R33" s="44"/>
    </row>
    <row r="34" spans="1:18" s="4" customFormat="1" ht="15.75" hidden="1" customHeight="1" thickBot="1">
      <c r="A34" s="14"/>
      <c r="B34" s="109"/>
      <c r="C34" s="152"/>
      <c r="D34" s="107"/>
      <c r="E34" s="159"/>
      <c r="F34" s="528" t="s">
        <v>7</v>
      </c>
      <c r="G34" s="529"/>
      <c r="H34" s="530">
        <f>SUM(I28:I32)</f>
        <v>0</v>
      </c>
      <c r="I34" s="531"/>
      <c r="J34" s="14"/>
      <c r="K34" s="15"/>
      <c r="L34" s="33"/>
      <c r="M34" s="508" t="s">
        <v>7</v>
      </c>
      <c r="N34" s="509"/>
      <c r="O34" s="510">
        <f>SUM(P28:P33)</f>
        <v>0</v>
      </c>
      <c r="P34" s="511"/>
      <c r="Q34" s="14"/>
      <c r="R34" s="31"/>
    </row>
    <row r="35" spans="1:18" ht="17" hidden="1" thickBot="1">
      <c r="A35" s="14"/>
      <c r="B35" s="109">
        <f>'Description Sheet'!B34</f>
        <v>4</v>
      </c>
      <c r="C35" s="113" t="str">
        <f>'Description Sheet'!C34</f>
        <v>Lifts</v>
      </c>
      <c r="D35" s="107"/>
      <c r="E35" s="110"/>
      <c r="F35" s="110"/>
      <c r="G35" s="110"/>
      <c r="H35" s="110"/>
      <c r="I35" s="151"/>
      <c r="J35" s="32"/>
      <c r="K35" s="40"/>
      <c r="L35" s="33"/>
      <c r="M35" s="24"/>
      <c r="N35" s="25"/>
      <c r="O35" s="25"/>
      <c r="P35" s="63"/>
      <c r="Q35" s="14"/>
      <c r="R35" s="44"/>
    </row>
    <row r="36" spans="1:18" hidden="1">
      <c r="A36" s="14"/>
      <c r="B36" s="109">
        <f>'Description Sheet'!B35</f>
        <v>4.0999999999999996</v>
      </c>
      <c r="C36" s="152" t="str">
        <f>'Description Sheet'!C35</f>
        <v>Lift Upgrade Savings</v>
      </c>
      <c r="D36" s="107"/>
      <c r="E36" s="153" t="str">
        <f>IF('Maintenance Schedule'!T44="x","x","")</f>
        <v/>
      </c>
      <c r="F36" s="153" t="str">
        <f>IF(E36="x","No","")</f>
        <v/>
      </c>
      <c r="G36" s="154">
        <f>IF(E36="x",1,0)</f>
        <v>0</v>
      </c>
      <c r="H36" s="155">
        <f t="shared" ref="H36:H39" si="15">IF(E36="x",P36,0)</f>
        <v>0</v>
      </c>
      <c r="I36" s="156">
        <f>IF(E36="x",G36*H36,0)</f>
        <v>0</v>
      </c>
      <c r="J36" s="14"/>
      <c r="K36" s="15"/>
      <c r="L36" s="32"/>
      <c r="M36" s="70" t="str">
        <f>'Description Sheet'!K35</f>
        <v>No</v>
      </c>
      <c r="N36" s="67">
        <f>'Description Sheet'!L35</f>
        <v>1</v>
      </c>
      <c r="O36" s="73">
        <f>'Year (2027-2028)'!O36*(('Description Sheet'!M4)+1)</f>
        <v>151239.85024698637</v>
      </c>
      <c r="P36" s="68">
        <f>N36*O36</f>
        <v>151239.85024698637</v>
      </c>
      <c r="Q36" s="14"/>
      <c r="R36" s="44"/>
    </row>
    <row r="37" spans="1:18" hidden="1">
      <c r="A37" s="14"/>
      <c r="B37" s="109">
        <f>'Description Sheet'!B36</f>
        <v>4.2</v>
      </c>
      <c r="C37" s="152" t="str">
        <f>'Description Sheet'!C36</f>
        <v>Lift Replacement (Only in 12-15 years)</v>
      </c>
      <c r="D37" s="107"/>
      <c r="E37" s="153" t="str">
        <f>IF('Maintenance Schedule'!T45="x","x","")</f>
        <v/>
      </c>
      <c r="F37" s="153" t="str">
        <f t="shared" ref="F37:F39" si="16">IF(E37="x","No","")</f>
        <v/>
      </c>
      <c r="G37" s="154">
        <f t="shared" ref="G37:G39" si="17">IF(E37="x",1,0)</f>
        <v>0</v>
      </c>
      <c r="H37" s="155">
        <f t="shared" si="15"/>
        <v>0</v>
      </c>
      <c r="I37" s="156">
        <f t="shared" ref="I37:I39" si="18">IF(E37="x",G37*H37,0)</f>
        <v>0</v>
      </c>
      <c r="J37" s="14"/>
      <c r="K37" s="15"/>
      <c r="L37" s="32"/>
      <c r="M37" s="70" t="str">
        <f>'Description Sheet'!K36</f>
        <v>No</v>
      </c>
      <c r="N37" s="67">
        <f>'Description Sheet'!L36</f>
        <v>0</v>
      </c>
      <c r="O37" s="73">
        <f>'Year (2027-2028)'!O37*(('Description Sheet'!M4)+1)</f>
        <v>1400746.2790074153</v>
      </c>
      <c r="P37" s="68">
        <f t="shared" ref="P37:P39" si="19">N37*O37</f>
        <v>0</v>
      </c>
      <c r="Q37" s="14"/>
      <c r="R37" s="44"/>
    </row>
    <row r="38" spans="1:18" hidden="1">
      <c r="A38" s="14"/>
      <c r="B38" s="109">
        <f>'Description Sheet'!B37</f>
        <v>4.3</v>
      </c>
      <c r="C38" s="152" t="str">
        <f>'Description Sheet'!C37</f>
        <v>blank</v>
      </c>
      <c r="D38" s="107"/>
      <c r="E38" s="153" t="str">
        <f>IF('Maintenance Schedule'!T46="x","x","")</f>
        <v/>
      </c>
      <c r="F38" s="153" t="str">
        <f t="shared" si="16"/>
        <v/>
      </c>
      <c r="G38" s="154">
        <f t="shared" si="17"/>
        <v>0</v>
      </c>
      <c r="H38" s="155">
        <f t="shared" si="15"/>
        <v>0</v>
      </c>
      <c r="I38" s="156">
        <f t="shared" si="18"/>
        <v>0</v>
      </c>
      <c r="J38" s="14"/>
      <c r="K38" s="15"/>
      <c r="L38" s="32"/>
      <c r="M38" s="70" t="str">
        <f>'Description Sheet'!K37</f>
        <v>No</v>
      </c>
      <c r="N38" s="67">
        <f>'Description Sheet'!L37</f>
        <v>0</v>
      </c>
      <c r="O38" s="73">
        <f>'Year (2027-2028)'!O38*(('Description Sheet'!M4)+1)</f>
        <v>0</v>
      </c>
      <c r="P38" s="68">
        <f t="shared" si="19"/>
        <v>0</v>
      </c>
      <c r="Q38" s="14"/>
      <c r="R38" s="44"/>
    </row>
    <row r="39" spans="1:18" hidden="1">
      <c r="A39" s="14"/>
      <c r="B39" s="109">
        <f>'Description Sheet'!B38</f>
        <v>4.4000000000000004</v>
      </c>
      <c r="C39" s="152" t="str">
        <f>'Description Sheet'!C38</f>
        <v>blank</v>
      </c>
      <c r="D39" s="107"/>
      <c r="E39" s="153" t="str">
        <f>IF('Maintenance Schedule'!T47="x","x","")</f>
        <v/>
      </c>
      <c r="F39" s="153" t="str">
        <f t="shared" si="16"/>
        <v/>
      </c>
      <c r="G39" s="154">
        <f t="shared" si="17"/>
        <v>0</v>
      </c>
      <c r="H39" s="155">
        <f t="shared" si="15"/>
        <v>0</v>
      </c>
      <c r="I39" s="156">
        <f t="shared" si="18"/>
        <v>0</v>
      </c>
      <c r="J39" s="14"/>
      <c r="K39" s="15"/>
      <c r="L39" s="32"/>
      <c r="M39" s="70" t="str">
        <f>'Description Sheet'!K38</f>
        <v>No</v>
      </c>
      <c r="N39" s="67">
        <f>'Description Sheet'!L38</f>
        <v>0</v>
      </c>
      <c r="O39" s="73">
        <f>'Year (2027-2028)'!O39*(('Description Sheet'!M4)+1)</f>
        <v>0</v>
      </c>
      <c r="P39" s="68">
        <f t="shared" si="19"/>
        <v>0</v>
      </c>
      <c r="Q39" s="14"/>
      <c r="R39" s="44"/>
    </row>
    <row r="40" spans="1:18" ht="17" hidden="1" thickBot="1">
      <c r="A40" s="14"/>
      <c r="B40" s="109"/>
      <c r="C40" s="152"/>
      <c r="D40" s="107"/>
      <c r="E40" s="162"/>
      <c r="F40" s="154"/>
      <c r="G40" s="154"/>
      <c r="H40" s="155"/>
      <c r="I40" s="155"/>
      <c r="J40" s="14"/>
      <c r="K40" s="15"/>
      <c r="L40" s="32"/>
      <c r="M40" s="67"/>
      <c r="N40" s="67"/>
      <c r="O40" s="73"/>
      <c r="P40" s="68"/>
      <c r="Q40" s="14"/>
      <c r="R40" s="44"/>
    </row>
    <row r="41" spans="1:18" s="4" customFormat="1" ht="15.75" hidden="1" customHeight="1" thickBot="1">
      <c r="A41" s="14"/>
      <c r="B41" s="109"/>
      <c r="C41" s="152"/>
      <c r="D41" s="107"/>
      <c r="E41" s="159"/>
      <c r="F41" s="528" t="s">
        <v>7</v>
      </c>
      <c r="G41" s="529"/>
      <c r="H41" s="530">
        <f>SUM(I36:I40)</f>
        <v>0</v>
      </c>
      <c r="I41" s="531"/>
      <c r="J41" s="14"/>
      <c r="K41" s="15"/>
      <c r="L41" s="33"/>
      <c r="M41" s="508" t="s">
        <v>7</v>
      </c>
      <c r="N41" s="509"/>
      <c r="O41" s="510">
        <f>SUM(P36:P40)</f>
        <v>151239.85024698637</v>
      </c>
      <c r="P41" s="511"/>
      <c r="Q41" s="14"/>
      <c r="R41" s="31"/>
    </row>
    <row r="42" spans="1:18" ht="17" thickBot="1">
      <c r="A42" s="14"/>
      <c r="B42" s="109">
        <f>'Description Sheet'!B41</f>
        <v>5</v>
      </c>
      <c r="C42" s="150" t="str">
        <f>'Description Sheet'!C41</f>
        <v>Carpeting and Furnishing</v>
      </c>
      <c r="D42" s="107"/>
      <c r="E42" s="110"/>
      <c r="F42" s="110"/>
      <c r="G42" s="110"/>
      <c r="H42" s="110"/>
      <c r="I42" s="151"/>
      <c r="J42" s="32"/>
      <c r="K42" s="40"/>
      <c r="L42" s="33"/>
      <c r="M42" s="24"/>
      <c r="N42" s="25"/>
      <c r="O42" s="25"/>
      <c r="P42" s="63"/>
      <c r="Q42" s="14"/>
      <c r="R42" s="44"/>
    </row>
    <row r="43" spans="1:18">
      <c r="A43" s="14"/>
      <c r="B43" s="109">
        <f>'Description Sheet'!B42</f>
        <v>5.0999999999999996</v>
      </c>
      <c r="C43" s="152" t="str">
        <f>'Description Sheet'!C42</f>
        <v>Common Area Equipment/Furnishings (Replacement/Maintenance)</v>
      </c>
      <c r="D43" s="107"/>
      <c r="E43" s="153" t="str">
        <f>IF('Maintenance Schedule'!T54="x","x","")</f>
        <v>x</v>
      </c>
      <c r="F43" s="153" t="str">
        <f>IF(E43="x","No","")</f>
        <v>No</v>
      </c>
      <c r="G43" s="154">
        <f>IF(E43="x",1,0)</f>
        <v>1</v>
      </c>
      <c r="H43" s="155">
        <f t="shared" ref="H43:H46" si="20">IF(E43="x",P43,0)</f>
        <v>5998.3849407283224</v>
      </c>
      <c r="I43" s="156">
        <f>IF(E43="x",G43*H43,0)</f>
        <v>5998.3849407283224</v>
      </c>
      <c r="J43" s="14"/>
      <c r="K43" s="15"/>
      <c r="L43" s="32"/>
      <c r="M43" s="70" t="str">
        <f>'Description Sheet'!K42</f>
        <v>No</v>
      </c>
      <c r="N43" s="67">
        <f>'Description Sheet'!L42</f>
        <v>1</v>
      </c>
      <c r="O43" s="73">
        <f>'Year (2027-2028)'!O43*(('Description Sheet'!M4)+1)</f>
        <v>5998.3849407283224</v>
      </c>
      <c r="P43" s="68">
        <f>N43*O43</f>
        <v>5998.3849407283224</v>
      </c>
      <c r="Q43" s="14"/>
      <c r="R43" s="44"/>
    </row>
    <row r="44" spans="1:18" hidden="1">
      <c r="A44" s="14"/>
      <c r="B44" s="109">
        <f>'Description Sheet'!B43</f>
        <v>5.2</v>
      </c>
      <c r="C44" s="152" t="str">
        <f>'Description Sheet'!C43</f>
        <v>blank</v>
      </c>
      <c r="D44" s="107"/>
      <c r="E44" s="153" t="str">
        <f>IF('Maintenance Schedule'!T55="x","x","")</f>
        <v/>
      </c>
      <c r="F44" s="153" t="str">
        <f t="shared" ref="F44:F46" si="21">IF(E44="x","No","")</f>
        <v/>
      </c>
      <c r="G44" s="154">
        <f t="shared" ref="G44:G46" si="22">IF(E44="x",1,0)</f>
        <v>0</v>
      </c>
      <c r="H44" s="155">
        <f t="shared" si="20"/>
        <v>0</v>
      </c>
      <c r="I44" s="156">
        <f t="shared" ref="I44:I46" si="23">IF(E44="x",G44*H44,0)</f>
        <v>0</v>
      </c>
      <c r="J44" s="14"/>
      <c r="K44" s="15"/>
      <c r="L44" s="32"/>
      <c r="M44" s="70" t="str">
        <f>'Description Sheet'!K43</f>
        <v>No</v>
      </c>
      <c r="N44" s="67">
        <f>'Description Sheet'!L43</f>
        <v>0</v>
      </c>
      <c r="O44" s="73">
        <f>'Year (2027-2028)'!O44*(('Description Sheet'!M4)+1)</f>
        <v>0</v>
      </c>
      <c r="P44" s="68">
        <f t="shared" ref="P44:P46" si="24">N44*O44</f>
        <v>0</v>
      </c>
      <c r="Q44" s="14"/>
      <c r="R44" s="44"/>
    </row>
    <row r="45" spans="1:18" hidden="1">
      <c r="A45" s="14"/>
      <c r="B45" s="109">
        <f>'Description Sheet'!B44</f>
        <v>5.3</v>
      </c>
      <c r="C45" s="152" t="str">
        <f>'Description Sheet'!C44</f>
        <v>blank</v>
      </c>
      <c r="D45" s="107"/>
      <c r="E45" s="153" t="str">
        <f>IF('Maintenance Schedule'!T56="x","x","")</f>
        <v/>
      </c>
      <c r="F45" s="153" t="str">
        <f t="shared" si="21"/>
        <v/>
      </c>
      <c r="G45" s="154">
        <f t="shared" si="22"/>
        <v>0</v>
      </c>
      <c r="H45" s="155">
        <f t="shared" si="20"/>
        <v>0</v>
      </c>
      <c r="I45" s="156">
        <f t="shared" si="23"/>
        <v>0</v>
      </c>
      <c r="J45" s="14"/>
      <c r="K45" s="15"/>
      <c r="L45" s="32"/>
      <c r="M45" s="70" t="str">
        <f>'Description Sheet'!K44</f>
        <v>No</v>
      </c>
      <c r="N45" s="67">
        <f>'Description Sheet'!L44</f>
        <v>0</v>
      </c>
      <c r="O45" s="73">
        <f>'Year (2027-2028)'!O45*(('Description Sheet'!M4)+1)</f>
        <v>0</v>
      </c>
      <c r="P45" s="68">
        <f t="shared" si="24"/>
        <v>0</v>
      </c>
      <c r="Q45" s="14"/>
      <c r="R45" s="44"/>
    </row>
    <row r="46" spans="1:18" hidden="1">
      <c r="A46" s="14"/>
      <c r="B46" s="109">
        <f>'Description Sheet'!B45</f>
        <v>5.4</v>
      </c>
      <c r="C46" s="152" t="str">
        <f>'Description Sheet'!C45</f>
        <v>blank</v>
      </c>
      <c r="D46" s="107"/>
      <c r="E46" s="153" t="str">
        <f>IF('Maintenance Schedule'!T57="x","x","")</f>
        <v/>
      </c>
      <c r="F46" s="153" t="str">
        <f t="shared" si="21"/>
        <v/>
      </c>
      <c r="G46" s="154">
        <f t="shared" si="22"/>
        <v>0</v>
      </c>
      <c r="H46" s="155">
        <f t="shared" si="20"/>
        <v>0</v>
      </c>
      <c r="I46" s="156">
        <f t="shared" si="23"/>
        <v>0</v>
      </c>
      <c r="J46" s="14"/>
      <c r="K46" s="15"/>
      <c r="L46" s="32"/>
      <c r="M46" s="70" t="str">
        <f>'Description Sheet'!K45</f>
        <v>No</v>
      </c>
      <c r="N46" s="67">
        <f>'Description Sheet'!L45</f>
        <v>0</v>
      </c>
      <c r="O46" s="73">
        <f>'Year (2027-2028)'!O46*(('Description Sheet'!M4)+1)</f>
        <v>0</v>
      </c>
      <c r="P46" s="68">
        <f t="shared" si="24"/>
        <v>0</v>
      </c>
      <c r="Q46" s="14"/>
      <c r="R46" s="44"/>
    </row>
    <row r="47" spans="1:18" ht="17" thickBot="1">
      <c r="A47" s="14"/>
      <c r="B47" s="109"/>
      <c r="C47" s="152"/>
      <c r="D47" s="107"/>
      <c r="E47" s="162"/>
      <c r="F47" s="154"/>
      <c r="G47" s="154"/>
      <c r="H47" s="155"/>
      <c r="I47" s="155"/>
      <c r="J47" s="14"/>
      <c r="K47" s="15"/>
      <c r="L47" s="32"/>
      <c r="M47" s="67"/>
      <c r="N47" s="67"/>
      <c r="O47" s="73"/>
      <c r="P47" s="68"/>
      <c r="Q47" s="14"/>
      <c r="R47" s="44"/>
    </row>
    <row r="48" spans="1:18" s="4" customFormat="1" ht="15.75" customHeight="1" thickBot="1">
      <c r="A48" s="14"/>
      <c r="B48" s="109"/>
      <c r="C48" s="115"/>
      <c r="D48" s="107"/>
      <c r="E48" s="159"/>
      <c r="F48" s="528" t="s">
        <v>7</v>
      </c>
      <c r="G48" s="529"/>
      <c r="H48" s="530">
        <f>SUM(I43:I47)</f>
        <v>5998.3849407283224</v>
      </c>
      <c r="I48" s="531"/>
      <c r="J48" s="14"/>
      <c r="K48" s="15"/>
      <c r="L48" s="33"/>
      <c r="M48" s="508" t="s">
        <v>7</v>
      </c>
      <c r="N48" s="509"/>
      <c r="O48" s="510">
        <f>SUM(P43:P47)</f>
        <v>5998.3849407283224</v>
      </c>
      <c r="P48" s="511"/>
      <c r="Q48" s="14"/>
      <c r="R48" s="31"/>
    </row>
    <row r="49" spans="1:18" ht="17" thickBot="1">
      <c r="A49" s="14"/>
      <c r="B49" s="109">
        <f>'Description Sheet'!B48</f>
        <v>6</v>
      </c>
      <c r="C49" s="113" t="str">
        <f>'Description Sheet'!C48</f>
        <v>Roof  Areas</v>
      </c>
      <c r="D49" s="107"/>
      <c r="E49" s="110"/>
      <c r="F49" s="110"/>
      <c r="G49" s="110"/>
      <c r="H49" s="110"/>
      <c r="I49" s="151"/>
      <c r="J49" s="32"/>
      <c r="K49" s="40"/>
      <c r="L49" s="33"/>
      <c r="M49" s="24"/>
      <c r="N49" s="25"/>
      <c r="O49" s="25"/>
      <c r="P49" s="63"/>
      <c r="Q49" s="14"/>
      <c r="R49" s="44"/>
    </row>
    <row r="50" spans="1:18" hidden="1">
      <c r="A50" s="14"/>
      <c r="B50" s="109">
        <f>'Description Sheet'!B49</f>
        <v>6.1</v>
      </c>
      <c r="C50" s="152" t="str">
        <f>'Description Sheet'!C49</f>
        <v xml:space="preserve">Flashings/Counter Flashings </v>
      </c>
      <c r="D50" s="107"/>
      <c r="E50" s="153" t="str">
        <f>IF('Maintenance Schedule'!T64="x","x","")</f>
        <v/>
      </c>
      <c r="F50" s="153" t="str">
        <f>IF(E50="x","No","")</f>
        <v/>
      </c>
      <c r="G50" s="154">
        <f>IF(E50="x",1,0)</f>
        <v>0</v>
      </c>
      <c r="H50" s="155">
        <f t="shared" ref="H50:H66" si="25">IF(E50="x",P50,0)</f>
        <v>0</v>
      </c>
      <c r="I50" s="156">
        <f t="shared" ref="I50:I66" si="26">IF(E50="x",G50*H50,0)</f>
        <v>0</v>
      </c>
      <c r="J50" s="14"/>
      <c r="K50" s="15"/>
      <c r="L50" s="32"/>
      <c r="M50" s="67" t="str">
        <f>'Description Sheet'!K49</f>
        <v>No</v>
      </c>
      <c r="N50" s="67">
        <f>'Description Sheet'!L49</f>
        <v>0</v>
      </c>
      <c r="O50" s="73">
        <f>'Year (2027-2028)'!O50*(('Description Sheet'!M4)+1)</f>
        <v>16658.371892536939</v>
      </c>
      <c r="P50" s="69">
        <f t="shared" ref="P50:P66" si="27">N50*O50</f>
        <v>0</v>
      </c>
      <c r="Q50" s="14"/>
      <c r="R50" s="44"/>
    </row>
    <row r="51" spans="1:18" hidden="1">
      <c r="A51" s="14"/>
      <c r="B51" s="109">
        <f>'Description Sheet'!B50</f>
        <v>6.2</v>
      </c>
      <c r="C51" s="152" t="str">
        <f>'Description Sheet'!C50</f>
        <v>General Roof Repairs</v>
      </c>
      <c r="D51" s="107"/>
      <c r="E51" s="153" t="str">
        <f>IF('Maintenance Schedule'!T65="x","x","")</f>
        <v/>
      </c>
      <c r="F51" s="153" t="str">
        <f t="shared" ref="F51:F62" si="28">IF(E51="x","No","")</f>
        <v/>
      </c>
      <c r="G51" s="154">
        <f t="shared" ref="G51:G66" si="29">IF(E51="x",1,0)</f>
        <v>0</v>
      </c>
      <c r="H51" s="155">
        <f t="shared" si="25"/>
        <v>0</v>
      </c>
      <c r="I51" s="156">
        <f t="shared" si="26"/>
        <v>0</v>
      </c>
      <c r="J51" s="14"/>
      <c r="K51" s="15"/>
      <c r="L51" s="32"/>
      <c r="M51" s="67" t="str">
        <f>'Description Sheet'!K50</f>
        <v>No</v>
      </c>
      <c r="N51" s="67">
        <f>'Description Sheet'!L50</f>
        <v>0</v>
      </c>
      <c r="O51" s="73">
        <f>'Year (2027-2028)'!O51*(('Description Sheet'!M4)+1)</f>
        <v>18.509302102818829</v>
      </c>
      <c r="P51" s="69">
        <f t="shared" si="27"/>
        <v>0</v>
      </c>
      <c r="Q51" s="14"/>
      <c r="R51" s="44"/>
    </row>
    <row r="52" spans="1:18">
      <c r="A52" s="14"/>
      <c r="B52" s="109">
        <f>'Description Sheet'!B51</f>
        <v>6.3</v>
      </c>
      <c r="C52" s="152" t="str">
        <f>'Description Sheet'!C51</f>
        <v>Cleaning &amp; Maintenance &amp; Repairs of Gutters and Downpipes</v>
      </c>
      <c r="D52" s="107"/>
      <c r="E52" s="153" t="str">
        <f>IF('Maintenance Schedule'!T66="x","x","")</f>
        <v>x</v>
      </c>
      <c r="F52" s="153" t="str">
        <f t="shared" si="28"/>
        <v>No</v>
      </c>
      <c r="G52" s="154">
        <f t="shared" si="29"/>
        <v>1</v>
      </c>
      <c r="H52" s="155">
        <f t="shared" si="25"/>
        <v>5467.0994174066709</v>
      </c>
      <c r="I52" s="156">
        <f t="shared" si="26"/>
        <v>5467.0994174066709</v>
      </c>
      <c r="J52" s="14"/>
      <c r="K52" s="15"/>
      <c r="L52" s="32"/>
      <c r="M52" s="67" t="str">
        <f>'Description Sheet'!K51</f>
        <v>lm</v>
      </c>
      <c r="N52" s="67">
        <f>'Description Sheet'!L51</f>
        <v>110</v>
      </c>
      <c r="O52" s="73">
        <f>'Year (2027-2028)'!O52*(('Description Sheet'!M4)+1)</f>
        <v>49.700903794606099</v>
      </c>
      <c r="P52" s="69">
        <f t="shared" si="27"/>
        <v>5467.0994174066709</v>
      </c>
      <c r="Q52" s="14"/>
      <c r="R52" s="44"/>
    </row>
    <row r="53" spans="1:18" hidden="1">
      <c r="A53" s="14"/>
      <c r="B53" s="109">
        <f>'Description Sheet'!B52</f>
        <v>6.4</v>
      </c>
      <c r="C53" s="152" t="str">
        <f>'Description Sheet'!C52</f>
        <v xml:space="preserve">Painting &amp; Repair of Metal Roof Areas </v>
      </c>
      <c r="D53" s="107"/>
      <c r="E53" s="153" t="str">
        <f>IF('Maintenance Schedule'!T67="x","x","")</f>
        <v/>
      </c>
      <c r="F53" s="153" t="str">
        <f>IF(E53="x","item","")</f>
        <v/>
      </c>
      <c r="G53" s="154">
        <f t="shared" si="29"/>
        <v>0</v>
      </c>
      <c r="H53" s="155">
        <f t="shared" si="25"/>
        <v>0</v>
      </c>
      <c r="I53" s="156">
        <f t="shared" si="26"/>
        <v>0</v>
      </c>
      <c r="J53" s="14"/>
      <c r="K53" s="15"/>
      <c r="L53" s="32"/>
      <c r="M53" s="67" t="str">
        <f>'Description Sheet'!K52</f>
        <v>m2</v>
      </c>
      <c r="N53" s="67">
        <f>'Description Sheet'!L52</f>
        <v>0</v>
      </c>
      <c r="O53" s="73">
        <f>'Year (2027-2028)'!O53*(('Description Sheet'!M4)+1)</f>
        <v>286.20865288618</v>
      </c>
      <c r="P53" s="69">
        <f t="shared" si="27"/>
        <v>0</v>
      </c>
      <c r="Q53" s="14"/>
      <c r="R53" s="44"/>
    </row>
    <row r="54" spans="1:18" hidden="1">
      <c r="A54" s="14"/>
      <c r="B54" s="109">
        <f>'Description Sheet'!B53</f>
        <v>6.5</v>
      </c>
      <c r="C54" s="152" t="str">
        <f>'Description Sheet'!C53</f>
        <v xml:space="preserve">Painting &amp; Repair of Tile Roof Areas </v>
      </c>
      <c r="D54" s="107"/>
      <c r="E54" s="153" t="str">
        <f>IF('Maintenance Schedule'!T68="x","x","")</f>
        <v/>
      </c>
      <c r="F54" s="153" t="str">
        <f>IF(E54="x","item","")</f>
        <v/>
      </c>
      <c r="G54" s="154">
        <f t="shared" si="29"/>
        <v>0</v>
      </c>
      <c r="H54" s="155">
        <f t="shared" si="25"/>
        <v>0</v>
      </c>
      <c r="I54" s="156">
        <f t="shared" si="26"/>
        <v>0</v>
      </c>
      <c r="J54" s="14"/>
      <c r="K54" s="15"/>
      <c r="L54" s="32"/>
      <c r="M54" s="67" t="str">
        <f>'Description Sheet'!K53</f>
        <v>m2</v>
      </c>
      <c r="N54" s="67">
        <f>'Description Sheet'!L53</f>
        <v>0</v>
      </c>
      <c r="O54" s="73">
        <f>'Year (2027-2028)'!O54*(('Description Sheet'!M4)+1)</f>
        <v>155.95800845893638</v>
      </c>
      <c r="P54" s="69">
        <f t="shared" si="27"/>
        <v>0</v>
      </c>
      <c r="Q54" s="14"/>
      <c r="R54" s="44"/>
    </row>
    <row r="55" spans="1:18" hidden="1">
      <c r="A55" s="14"/>
      <c r="B55" s="109">
        <f>'Description Sheet'!B54</f>
        <v>6.6</v>
      </c>
      <c r="C55" s="152" t="str">
        <f>'Description Sheet'!C54</f>
        <v xml:space="preserve">Painting &amp; Repairs of Asbestos Roof Areas </v>
      </c>
      <c r="D55" s="107"/>
      <c r="E55" s="153" t="str">
        <f>IF('Maintenance Schedule'!T69="x","x","")</f>
        <v/>
      </c>
      <c r="F55" s="153" t="str">
        <f t="shared" si="28"/>
        <v/>
      </c>
      <c r="G55" s="154">
        <f t="shared" si="29"/>
        <v>0</v>
      </c>
      <c r="H55" s="155">
        <f t="shared" si="25"/>
        <v>0</v>
      </c>
      <c r="I55" s="156">
        <f t="shared" si="26"/>
        <v>0</v>
      </c>
      <c r="J55" s="14"/>
      <c r="K55" s="15"/>
      <c r="L55" s="32"/>
      <c r="M55" s="67" t="str">
        <f>'Description Sheet'!K54</f>
        <v>m2</v>
      </c>
      <c r="N55" s="67">
        <f>'Description Sheet'!L54</f>
        <v>0</v>
      </c>
      <c r="O55" s="73">
        <f>'Year (2027-2028)'!O55*(('Description Sheet'!M4)+1)</f>
        <v>323.91278679932941</v>
      </c>
      <c r="P55" s="69">
        <f t="shared" si="27"/>
        <v>0</v>
      </c>
      <c r="Q55" s="14"/>
      <c r="R55" s="44"/>
    </row>
    <row r="56" spans="1:18" hidden="1">
      <c r="A56" s="14"/>
      <c r="B56" s="109">
        <f>'Description Sheet'!B55</f>
        <v>6.7</v>
      </c>
      <c r="C56" s="152" t="str">
        <f>'Description Sheet'!C55</f>
        <v xml:space="preserve">Painting &amp; Repairs of Fibre Cement Roof Areas </v>
      </c>
      <c r="D56" s="107"/>
      <c r="E56" s="153" t="str">
        <f>IF('Maintenance Schedule'!T70="x","x","")</f>
        <v/>
      </c>
      <c r="F56" s="153" t="str">
        <f>IF(E56="x","item","")</f>
        <v/>
      </c>
      <c r="G56" s="154">
        <f t="shared" si="29"/>
        <v>0</v>
      </c>
      <c r="H56" s="155">
        <f t="shared" si="25"/>
        <v>0</v>
      </c>
      <c r="I56" s="156">
        <f t="shared" si="26"/>
        <v>0</v>
      </c>
      <c r="J56" s="14"/>
      <c r="K56" s="15"/>
      <c r="L56" s="32"/>
      <c r="M56" s="67" t="str">
        <f>'Description Sheet'!K55</f>
        <v>m2</v>
      </c>
      <c r="N56" s="67">
        <f>'Description Sheet'!L55</f>
        <v>0</v>
      </c>
      <c r="O56" s="73">
        <f>'Year (2027-2028)'!O56*(('Description Sheet'!M4)+1)</f>
        <v>305.06071984275474</v>
      </c>
      <c r="P56" s="69">
        <f t="shared" si="27"/>
        <v>0</v>
      </c>
      <c r="Q56" s="14"/>
      <c r="R56" s="44"/>
    </row>
    <row r="57" spans="1:18" hidden="1">
      <c r="A57" s="14"/>
      <c r="B57" s="109">
        <f>'Description Sheet'!B56</f>
        <v>6.8</v>
      </c>
      <c r="C57" s="152" t="str">
        <f>'Description Sheet'!C56</f>
        <v>Servicing of Roof Screws</v>
      </c>
      <c r="D57" s="107"/>
      <c r="E57" s="153" t="str">
        <f>IF('Maintenance Schedule'!T71="x","x","")</f>
        <v/>
      </c>
      <c r="F57" s="153" t="str">
        <f t="shared" ref="F57:F59" si="30">IF(E57="x","item","")</f>
        <v/>
      </c>
      <c r="G57" s="154">
        <f t="shared" si="29"/>
        <v>0</v>
      </c>
      <c r="H57" s="155">
        <f t="shared" si="25"/>
        <v>0</v>
      </c>
      <c r="I57" s="156">
        <f t="shared" si="26"/>
        <v>0</v>
      </c>
      <c r="J57" s="14"/>
      <c r="K57" s="15"/>
      <c r="L57" s="32"/>
      <c r="M57" s="67" t="str">
        <f>'Description Sheet'!K56</f>
        <v>No</v>
      </c>
      <c r="N57" s="67">
        <f>'Description Sheet'!L56</f>
        <v>0</v>
      </c>
      <c r="O57" s="73">
        <f>'Year (2027-2028)'!O57*(('Description Sheet'!M4)+1)</f>
        <v>11105.581261691294</v>
      </c>
      <c r="P57" s="69">
        <f t="shared" si="27"/>
        <v>0</v>
      </c>
      <c r="Q57" s="14"/>
      <c r="R57" s="44"/>
    </row>
    <row r="58" spans="1:18" hidden="1">
      <c r="A58" s="14"/>
      <c r="B58" s="109">
        <f>'Description Sheet'!B57</f>
        <v>6.9</v>
      </c>
      <c r="C58" s="152" t="str">
        <f>'Description Sheet'!C57</f>
        <v xml:space="preserve">Servicing and Re-lignment of Gutters </v>
      </c>
      <c r="D58" s="107"/>
      <c r="E58" s="153" t="str">
        <f>IF('Maintenance Schedule'!T72="x","x","")</f>
        <v/>
      </c>
      <c r="F58" s="153" t="str">
        <f t="shared" si="30"/>
        <v/>
      </c>
      <c r="G58" s="154">
        <f t="shared" si="29"/>
        <v>0</v>
      </c>
      <c r="H58" s="155">
        <f t="shared" si="25"/>
        <v>0</v>
      </c>
      <c r="I58" s="156">
        <f t="shared" si="26"/>
        <v>0</v>
      </c>
      <c r="J58" s="14"/>
      <c r="K58" s="15"/>
      <c r="L58" s="32"/>
      <c r="M58" s="67" t="str">
        <f>'Description Sheet'!K57</f>
        <v>item</v>
      </c>
      <c r="N58" s="67">
        <f>'Description Sheet'!L57</f>
        <v>0</v>
      </c>
      <c r="O58" s="73">
        <f>'Year (2027-2028)'!O58*(('Description Sheet'!M4)+1)</f>
        <v>6478.2557359865878</v>
      </c>
      <c r="P58" s="69">
        <f t="shared" si="27"/>
        <v>0</v>
      </c>
      <c r="Q58" s="14"/>
      <c r="R58" s="44"/>
    </row>
    <row r="59" spans="1:18" hidden="1">
      <c r="A59" s="14"/>
      <c r="B59" s="112">
        <f>'Description Sheet'!B58</f>
        <v>6.1</v>
      </c>
      <c r="C59" s="152" t="str">
        <f>'Description Sheet'!C58</f>
        <v>Replacement of Damaged Metal Roof Sheeting</v>
      </c>
      <c r="D59" s="107"/>
      <c r="E59" s="153" t="str">
        <f>IF('Maintenance Schedule'!T73="x","x","")</f>
        <v/>
      </c>
      <c r="F59" s="153" t="str">
        <f t="shared" si="30"/>
        <v/>
      </c>
      <c r="G59" s="154">
        <f t="shared" si="29"/>
        <v>0</v>
      </c>
      <c r="H59" s="155">
        <f t="shared" si="25"/>
        <v>0</v>
      </c>
      <c r="I59" s="156">
        <f t="shared" si="26"/>
        <v>0</v>
      </c>
      <c r="J59" s="14"/>
      <c r="K59" s="15"/>
      <c r="L59" s="32"/>
      <c r="M59" s="67" t="str">
        <f>'Description Sheet'!K58</f>
        <v>m2</v>
      </c>
      <c r="N59" s="67">
        <f>'Description Sheet'!L58</f>
        <v>0</v>
      </c>
      <c r="O59" s="73">
        <f>'Year (2027-2028)'!O59*(('Description Sheet'!M4)+1)</f>
        <v>832.91859462684704</v>
      </c>
      <c r="P59" s="69">
        <f t="shared" si="27"/>
        <v>0</v>
      </c>
      <c r="Q59" s="14"/>
      <c r="R59" s="44"/>
    </row>
    <row r="60" spans="1:18" hidden="1">
      <c r="A60" s="14"/>
      <c r="B60" s="112">
        <f>'Description Sheet'!B59</f>
        <v>6.11</v>
      </c>
      <c r="C60" s="152" t="str">
        <f>'Description Sheet'!C59</f>
        <v>Replacement of Polycarbonate Roof Sheeting</v>
      </c>
      <c r="D60" s="107"/>
      <c r="E60" s="153" t="str">
        <f>IF('Maintenance Schedule'!T74="x","x","")</f>
        <v/>
      </c>
      <c r="F60" s="153" t="str">
        <f t="shared" si="28"/>
        <v/>
      </c>
      <c r="G60" s="154">
        <f t="shared" si="29"/>
        <v>0</v>
      </c>
      <c r="H60" s="155">
        <f t="shared" si="25"/>
        <v>0</v>
      </c>
      <c r="I60" s="156">
        <f t="shared" si="26"/>
        <v>0</v>
      </c>
      <c r="J60" s="14"/>
      <c r="K60" s="15"/>
      <c r="L60" s="32"/>
      <c r="M60" s="67" t="str">
        <f>'Description Sheet'!K59</f>
        <v>m2</v>
      </c>
      <c r="N60" s="67">
        <f>'Description Sheet'!L59</f>
        <v>0</v>
      </c>
      <c r="O60" s="73">
        <f>'Year (2027-2028)'!O60*(('Description Sheet'!M4)+1)</f>
        <v>925.4651051409412</v>
      </c>
      <c r="P60" s="69">
        <f t="shared" si="27"/>
        <v>0</v>
      </c>
      <c r="Q60" s="14"/>
      <c r="R60" s="44"/>
    </row>
    <row r="61" spans="1:18" hidden="1">
      <c r="A61" s="14"/>
      <c r="B61" s="112">
        <f>'Description Sheet'!B60</f>
        <v>6.12</v>
      </c>
      <c r="C61" s="152" t="str">
        <f>'Description Sheet'!C60</f>
        <v>Replacement of Tile Roofs</v>
      </c>
      <c r="D61" s="107"/>
      <c r="E61" s="153" t="str">
        <f>IF('Maintenance Schedule'!T75="x","x","")</f>
        <v/>
      </c>
      <c r="F61" s="153" t="str">
        <f t="shared" si="28"/>
        <v/>
      </c>
      <c r="G61" s="154">
        <f t="shared" si="29"/>
        <v>0</v>
      </c>
      <c r="H61" s="155">
        <f t="shared" si="25"/>
        <v>0</v>
      </c>
      <c r="I61" s="156">
        <f t="shared" si="26"/>
        <v>0</v>
      </c>
      <c r="J61" s="14"/>
      <c r="K61" s="15"/>
      <c r="L61" s="32"/>
      <c r="M61" s="67" t="str">
        <f>'Description Sheet'!K60</f>
        <v>m2</v>
      </c>
      <c r="N61" s="67">
        <f>'Description Sheet'!L60</f>
        <v>0</v>
      </c>
      <c r="O61" s="73">
        <f>'Year (2027-2028)'!O61*(('Description Sheet'!M4)+1)</f>
        <v>1257.9470132841682</v>
      </c>
      <c r="P61" s="69">
        <f t="shared" si="27"/>
        <v>0</v>
      </c>
      <c r="Q61" s="14"/>
      <c r="R61" s="44"/>
    </row>
    <row r="62" spans="1:18" hidden="1">
      <c r="A62" s="14"/>
      <c r="B62" s="112">
        <f>'Description Sheet'!B61</f>
        <v>6.13</v>
      </c>
      <c r="C62" s="152" t="str">
        <f>'Description Sheet'!C61</f>
        <v>Replacement of Tile Roof and Structure</v>
      </c>
      <c r="D62" s="107"/>
      <c r="E62" s="153" t="str">
        <f>IF('Maintenance Schedule'!T76="x","x","")</f>
        <v/>
      </c>
      <c r="F62" s="153" t="str">
        <f t="shared" si="28"/>
        <v/>
      </c>
      <c r="G62" s="154">
        <f t="shared" si="29"/>
        <v>0</v>
      </c>
      <c r="H62" s="155">
        <f t="shared" si="25"/>
        <v>0</v>
      </c>
      <c r="I62" s="156">
        <f t="shared" si="26"/>
        <v>0</v>
      </c>
      <c r="J62" s="14"/>
      <c r="K62" s="15"/>
      <c r="L62" s="32"/>
      <c r="M62" s="67" t="str">
        <f>'Description Sheet'!K61</f>
        <v>m2</v>
      </c>
      <c r="N62" s="67">
        <f>'Description Sheet'!L61</f>
        <v>0</v>
      </c>
      <c r="O62" s="73">
        <f>'Year (2027-2028)'!O62*(('Description Sheet'!M4)+1)</f>
        <v>1556.1524360518044</v>
      </c>
      <c r="P62" s="69">
        <f t="shared" si="27"/>
        <v>0</v>
      </c>
      <c r="Q62" s="14"/>
      <c r="R62" s="44"/>
    </row>
    <row r="63" spans="1:18" hidden="1">
      <c r="A63" s="14"/>
      <c r="B63" s="112">
        <f>'Description Sheet'!B62</f>
        <v>6.14</v>
      </c>
      <c r="C63" s="152" t="str">
        <f>'Description Sheet'!C62</f>
        <v>Replacement of Fibre Cement Roof</v>
      </c>
      <c r="D63" s="107"/>
      <c r="E63" s="153" t="str">
        <f>IF('Maintenance Schedule'!T77="x","x","")</f>
        <v/>
      </c>
      <c r="F63" s="153" t="str">
        <f t="shared" ref="F63:F66" si="31">IF(E63="x","item","")</f>
        <v/>
      </c>
      <c r="G63" s="154">
        <f t="shared" si="29"/>
        <v>0</v>
      </c>
      <c r="H63" s="155">
        <f t="shared" si="25"/>
        <v>0</v>
      </c>
      <c r="I63" s="156">
        <f t="shared" si="26"/>
        <v>0</v>
      </c>
      <c r="J63" s="14"/>
      <c r="K63" s="15"/>
      <c r="L63" s="32"/>
      <c r="M63" s="67" t="str">
        <f>'Description Sheet'!K62</f>
        <v>m2</v>
      </c>
      <c r="N63" s="67">
        <f>'Description Sheet'!L62</f>
        <v>0</v>
      </c>
      <c r="O63" s="73">
        <f>'Year (2027-2028)'!O63*(('Description Sheet'!M4)+1)</f>
        <v>1203.1046366832236</v>
      </c>
      <c r="P63" s="69">
        <f t="shared" si="27"/>
        <v>0</v>
      </c>
      <c r="Q63" s="14"/>
      <c r="R63" s="44"/>
    </row>
    <row r="64" spans="1:18" hidden="1">
      <c r="A64" s="14"/>
      <c r="B64" s="112">
        <f>'Description Sheet'!B63</f>
        <v>6.15</v>
      </c>
      <c r="C64" s="152" t="str">
        <f>'Description Sheet'!C63</f>
        <v>blank</v>
      </c>
      <c r="D64" s="107"/>
      <c r="E64" s="153" t="str">
        <f>IF('Maintenance Schedule'!T78="x","x","")</f>
        <v/>
      </c>
      <c r="F64" s="153" t="str">
        <f t="shared" si="31"/>
        <v/>
      </c>
      <c r="G64" s="154">
        <f t="shared" si="29"/>
        <v>0</v>
      </c>
      <c r="H64" s="155">
        <f t="shared" si="25"/>
        <v>0</v>
      </c>
      <c r="I64" s="156">
        <f t="shared" si="26"/>
        <v>0</v>
      </c>
      <c r="J64" s="14"/>
      <c r="K64" s="15"/>
      <c r="L64" s="32"/>
      <c r="M64" s="67" t="str">
        <f>'Description Sheet'!K63</f>
        <v>item</v>
      </c>
      <c r="N64" s="67">
        <f>'Description Sheet'!L63</f>
        <v>0</v>
      </c>
      <c r="O64" s="73">
        <f>'Year (2027-2028)'!O64*(('Description Sheet'!M4)+1)</f>
        <v>0</v>
      </c>
      <c r="P64" s="69">
        <f t="shared" si="27"/>
        <v>0</v>
      </c>
      <c r="Q64" s="14"/>
      <c r="R64" s="44"/>
    </row>
    <row r="65" spans="1:19" hidden="1">
      <c r="A65" s="14"/>
      <c r="B65" s="112">
        <f>'Description Sheet'!B64</f>
        <v>6.17</v>
      </c>
      <c r="C65" s="152" t="str">
        <f>'Description Sheet'!C64</f>
        <v>blank</v>
      </c>
      <c r="D65" s="107"/>
      <c r="E65" s="153" t="str">
        <f>IF('Maintenance Schedule'!T79="x","x","")</f>
        <v/>
      </c>
      <c r="F65" s="153" t="str">
        <f t="shared" si="31"/>
        <v/>
      </c>
      <c r="G65" s="154">
        <f t="shared" si="29"/>
        <v>0</v>
      </c>
      <c r="H65" s="155">
        <f t="shared" si="25"/>
        <v>0</v>
      </c>
      <c r="I65" s="156">
        <f t="shared" si="26"/>
        <v>0</v>
      </c>
      <c r="J65" s="14"/>
      <c r="K65" s="15"/>
      <c r="L65" s="32"/>
      <c r="M65" s="67" t="str">
        <f>'Description Sheet'!K64</f>
        <v>item</v>
      </c>
      <c r="N65" s="67">
        <f>'Description Sheet'!L64</f>
        <v>0</v>
      </c>
      <c r="O65" s="73">
        <f>'Year (2027-2028)'!O65*(('Description Sheet'!M4)+1)</f>
        <v>0</v>
      </c>
      <c r="P65" s="69">
        <f t="shared" si="27"/>
        <v>0</v>
      </c>
      <c r="Q65" s="14"/>
      <c r="R65" s="44"/>
    </row>
    <row r="66" spans="1:19" hidden="1">
      <c r="A66" s="14"/>
      <c r="B66" s="112">
        <f>'Description Sheet'!B65</f>
        <v>6.18</v>
      </c>
      <c r="C66" s="152" t="str">
        <f>'Description Sheet'!C65</f>
        <v>blank</v>
      </c>
      <c r="D66" s="107"/>
      <c r="E66" s="153" t="str">
        <f>IF('Maintenance Schedule'!T80="x","x","")</f>
        <v/>
      </c>
      <c r="F66" s="153" t="str">
        <f t="shared" si="31"/>
        <v/>
      </c>
      <c r="G66" s="154">
        <f t="shared" si="29"/>
        <v>0</v>
      </c>
      <c r="H66" s="155">
        <f t="shared" si="25"/>
        <v>0</v>
      </c>
      <c r="I66" s="156">
        <f t="shared" si="26"/>
        <v>0</v>
      </c>
      <c r="J66" s="14"/>
      <c r="K66" s="15"/>
      <c r="L66" s="32"/>
      <c r="M66" s="67" t="str">
        <f>'Description Sheet'!K65</f>
        <v>item</v>
      </c>
      <c r="N66" s="67">
        <f>'Description Sheet'!L65</f>
        <v>0</v>
      </c>
      <c r="O66" s="73">
        <f>'Year (2027-2028)'!O66*(('Description Sheet'!M4)+1)</f>
        <v>0</v>
      </c>
      <c r="P66" s="69">
        <f t="shared" si="27"/>
        <v>0</v>
      </c>
      <c r="Q66" s="14"/>
      <c r="R66" s="44"/>
    </row>
    <row r="67" spans="1:19" ht="17" thickBot="1">
      <c r="A67" s="14"/>
      <c r="B67" s="109"/>
      <c r="C67" s="152"/>
      <c r="D67" s="107"/>
      <c r="E67" s="153"/>
      <c r="F67" s="153"/>
      <c r="G67" s="154"/>
      <c r="H67" s="155"/>
      <c r="I67" s="155"/>
      <c r="J67" s="14"/>
      <c r="K67" s="15"/>
      <c r="L67" s="32"/>
      <c r="M67" s="70"/>
      <c r="N67" s="67"/>
      <c r="O67" s="73"/>
      <c r="P67" s="79"/>
      <c r="Q67" s="14"/>
      <c r="R67" s="44"/>
    </row>
    <row r="68" spans="1:19" s="4" customFormat="1" ht="15.75" customHeight="1" thickBot="1">
      <c r="A68" s="14"/>
      <c r="B68" s="109"/>
      <c r="C68" s="115"/>
      <c r="D68" s="107"/>
      <c r="E68" s="159"/>
      <c r="F68" s="528" t="s">
        <v>7</v>
      </c>
      <c r="G68" s="529"/>
      <c r="H68" s="530">
        <f>SUM(I50:I67)</f>
        <v>5467.0994174066709</v>
      </c>
      <c r="I68" s="531"/>
      <c r="J68" s="14"/>
      <c r="K68" s="15"/>
      <c r="L68" s="33"/>
      <c r="M68" s="508" t="s">
        <v>7</v>
      </c>
      <c r="N68" s="509"/>
      <c r="O68" s="510">
        <f>SUM(P50:P67)</f>
        <v>5467.0994174066709</v>
      </c>
      <c r="P68" s="511"/>
      <c r="Q68" s="14"/>
      <c r="R68" s="31"/>
    </row>
    <row r="69" spans="1:19" ht="17" hidden="1" thickBot="1">
      <c r="A69" s="14"/>
      <c r="B69" s="109">
        <f>'Description Sheet'!B68</f>
        <v>7</v>
      </c>
      <c r="C69" s="113" t="str">
        <f>'Description Sheet'!C68</f>
        <v>Painting and Repairs</v>
      </c>
      <c r="D69" s="107"/>
      <c r="E69" s="110"/>
      <c r="F69" s="110"/>
      <c r="G69" s="110"/>
      <c r="H69" s="110"/>
      <c r="I69" s="151"/>
      <c r="J69" s="32"/>
      <c r="K69" s="40"/>
      <c r="L69" s="33"/>
      <c r="M69" s="24"/>
      <c r="N69" s="25"/>
      <c r="O69" s="25"/>
      <c r="P69" s="63"/>
      <c r="Q69" s="14"/>
      <c r="R69" s="44"/>
    </row>
    <row r="70" spans="1:19" hidden="1">
      <c r="A70" s="14"/>
      <c r="B70" s="109">
        <f>'Description Sheet'!B69</f>
        <v>7.1</v>
      </c>
      <c r="C70" s="152" t="str">
        <f>'Description Sheet'!C69</f>
        <v>External  Painting and Remedial Repairs</v>
      </c>
      <c r="D70" s="107"/>
      <c r="E70" s="153" t="str">
        <f>IF('Maintenance Schedule'!T87="x","x","")</f>
        <v/>
      </c>
      <c r="F70" s="153" t="str">
        <f t="shared" ref="F70:F91" si="32">IF(E70="x","No","")</f>
        <v/>
      </c>
      <c r="G70" s="154">
        <f>IF(E70="x",1,0)</f>
        <v>0</v>
      </c>
      <c r="H70" s="155">
        <f t="shared" ref="H70:H91" si="33">IF(E70="x",P70,0)</f>
        <v>0</v>
      </c>
      <c r="I70" s="156">
        <f>IF(E70="x",G70*H70,0)</f>
        <v>0</v>
      </c>
      <c r="J70" s="14"/>
      <c r="K70" s="15"/>
      <c r="L70" s="32"/>
      <c r="M70" s="67" t="str">
        <f>'Description Sheet'!K69</f>
        <v>m2</v>
      </c>
      <c r="N70" s="67">
        <f>'Description Sheet'!L69</f>
        <v>1</v>
      </c>
      <c r="O70" s="73">
        <f>'Year (2027-2028)'!O70*(('Description Sheet'!M4)+1)</f>
        <v>3159004.5268387292</v>
      </c>
      <c r="P70" s="68">
        <f t="shared" ref="P70:P78" si="34">N70*O70</f>
        <v>3159004.5268387292</v>
      </c>
      <c r="Q70" s="14"/>
      <c r="R70" s="44"/>
    </row>
    <row r="71" spans="1:19" hidden="1">
      <c r="A71" s="14"/>
      <c r="B71" s="109">
        <f>'Description Sheet'!B70</f>
        <v>7.2</v>
      </c>
      <c r="C71" s="152" t="str">
        <f>'Description Sheet'!C70</f>
        <v>Internal Repairs to Apartments 505, 405, 305</v>
      </c>
      <c r="D71" s="107"/>
      <c r="E71" s="153" t="str">
        <f>IF('Maintenance Schedule'!T88="x","x","")</f>
        <v/>
      </c>
      <c r="F71" s="153" t="str">
        <f t="shared" si="32"/>
        <v/>
      </c>
      <c r="G71" s="154">
        <f t="shared" ref="G71:G91" si="35">IF(E71="x",1,0)</f>
        <v>0</v>
      </c>
      <c r="H71" s="155">
        <f t="shared" si="33"/>
        <v>0</v>
      </c>
      <c r="I71" s="156">
        <f t="shared" ref="I71:I91" si="36">IF(E71="x",G71*H71,0)</f>
        <v>0</v>
      </c>
      <c r="J71" s="14"/>
      <c r="K71" s="15"/>
      <c r="L71" s="32"/>
      <c r="M71" s="67" t="str">
        <f>'Description Sheet'!K70</f>
        <v>m2</v>
      </c>
      <c r="N71" s="67">
        <f>'Description Sheet'!L70</f>
        <v>1</v>
      </c>
      <c r="O71" s="73">
        <f>'Year (2027-2028)'!O71*(('Description Sheet'!M4)+1)</f>
        <v>266071.21772802057</v>
      </c>
      <c r="P71" s="68">
        <f t="shared" si="34"/>
        <v>266071.21772802057</v>
      </c>
      <c r="Q71" s="14"/>
      <c r="R71" s="44"/>
    </row>
    <row r="72" spans="1:19" hidden="1">
      <c r="A72" s="14"/>
      <c r="B72" s="109">
        <f>'Description Sheet'!B71</f>
        <v>7.3</v>
      </c>
      <c r="C72" s="152" t="str">
        <f>'Description Sheet'!C71</f>
        <v>Exposed Tops</v>
      </c>
      <c r="D72" s="107"/>
      <c r="E72" s="153" t="str">
        <f>IF('Maintenance Schedule'!T89="x","x","")</f>
        <v/>
      </c>
      <c r="F72" s="153" t="str">
        <f t="shared" si="32"/>
        <v/>
      </c>
      <c r="G72" s="154">
        <f t="shared" si="35"/>
        <v>0</v>
      </c>
      <c r="H72" s="155">
        <f t="shared" si="33"/>
        <v>0</v>
      </c>
      <c r="I72" s="156">
        <f t="shared" si="36"/>
        <v>0</v>
      </c>
      <c r="J72" s="14"/>
      <c r="K72" s="15"/>
      <c r="L72" s="32"/>
      <c r="M72" s="67" t="str">
        <f>'Description Sheet'!K71</f>
        <v>m2</v>
      </c>
      <c r="N72" s="67">
        <f>'Description Sheet'!L71</f>
        <v>0</v>
      </c>
      <c r="O72" s="73">
        <f>'Year (2027-2028)'!O72*(('Description Sheet'!M4)+1)</f>
        <v>212.5142093286606</v>
      </c>
      <c r="P72" s="68">
        <f t="shared" si="34"/>
        <v>0</v>
      </c>
      <c r="Q72" s="14"/>
      <c r="R72" s="44"/>
    </row>
    <row r="73" spans="1:19" hidden="1">
      <c r="A73" s="14"/>
      <c r="B73" s="109">
        <f>'Description Sheet'!B72</f>
        <v>7.4</v>
      </c>
      <c r="C73" s="152" t="str">
        <f>'Description Sheet'!C72</f>
        <v>Wall to Frame Sealant (Exposed)</v>
      </c>
      <c r="D73" s="107"/>
      <c r="E73" s="153" t="str">
        <f>IF('Maintenance Schedule'!T90="x","x","")</f>
        <v/>
      </c>
      <c r="F73" s="153" t="str">
        <f>IF(E73="x","All","")</f>
        <v/>
      </c>
      <c r="G73" s="154">
        <f t="shared" si="35"/>
        <v>0</v>
      </c>
      <c r="H73" s="155">
        <f t="shared" si="33"/>
        <v>0</v>
      </c>
      <c r="I73" s="156">
        <f t="shared" si="36"/>
        <v>0</v>
      </c>
      <c r="J73" s="14"/>
      <c r="K73" s="15"/>
      <c r="L73" s="32"/>
      <c r="M73" s="67" t="str">
        <f>'Description Sheet'!K72</f>
        <v>lm</v>
      </c>
      <c r="N73" s="67">
        <f>'Description Sheet'!L72</f>
        <v>0</v>
      </c>
      <c r="O73" s="73">
        <f>'Year (2027-2028)'!O73*(('Description Sheet'!M4)+1)</f>
        <v>119.96769881456645</v>
      </c>
      <c r="P73" s="68">
        <f t="shared" si="34"/>
        <v>0</v>
      </c>
      <c r="Q73" s="14"/>
      <c r="R73" s="44"/>
    </row>
    <row r="74" spans="1:19" hidden="1">
      <c r="A74" s="14"/>
      <c r="B74" s="109">
        <f>'Description Sheet'!B73</f>
        <v>7.5</v>
      </c>
      <c r="C74" s="152" t="str">
        <f>'Description Sheet'!C73</f>
        <v>Glass to Frame Sealant (Skylights)</v>
      </c>
      <c r="D74" s="107"/>
      <c r="E74" s="153" t="str">
        <f>IF('Maintenance Schedule'!T91="x","x","")</f>
        <v/>
      </c>
      <c r="F74" s="153" t="str">
        <f>IF(E74="x","All","")</f>
        <v/>
      </c>
      <c r="G74" s="154">
        <f t="shared" si="35"/>
        <v>0</v>
      </c>
      <c r="H74" s="155">
        <f t="shared" si="33"/>
        <v>0</v>
      </c>
      <c r="I74" s="156">
        <f t="shared" si="36"/>
        <v>0</v>
      </c>
      <c r="J74" s="14"/>
      <c r="K74" s="15"/>
      <c r="L74" s="32"/>
      <c r="M74" s="67" t="str">
        <f>'Description Sheet'!K73</f>
        <v>All</v>
      </c>
      <c r="N74" s="67">
        <f>'Description Sheet'!L73</f>
        <v>0</v>
      </c>
      <c r="O74" s="73">
        <f>'Year (2027-2028)'!O74*(('Description Sheet'!M4)+1)</f>
        <v>27763.953154228238</v>
      </c>
      <c r="P74" s="68">
        <f>N74*O74</f>
        <v>0</v>
      </c>
      <c r="Q74" s="14"/>
      <c r="R74" s="44"/>
    </row>
    <row r="75" spans="1:19" hidden="1">
      <c r="A75" s="14"/>
      <c r="B75" s="109">
        <f>'Description Sheet'!B74</f>
        <v>7.6</v>
      </c>
      <c r="C75" s="152" t="str">
        <f>'Description Sheet'!C74</f>
        <v>Metal Windows and Putty Repairs</v>
      </c>
      <c r="D75" s="107"/>
      <c r="E75" s="153" t="str">
        <f>IF('Maintenance Schedule'!T92="x","x","")</f>
        <v/>
      </c>
      <c r="F75" s="153" t="str">
        <f t="shared" si="32"/>
        <v/>
      </c>
      <c r="G75" s="154">
        <f t="shared" si="35"/>
        <v>0</v>
      </c>
      <c r="H75" s="155">
        <f t="shared" si="33"/>
        <v>0</v>
      </c>
      <c r="I75" s="156">
        <f t="shared" si="36"/>
        <v>0</v>
      </c>
      <c r="J75" s="14"/>
      <c r="K75" s="15"/>
      <c r="L75" s="32"/>
      <c r="M75" s="67" t="str">
        <f>'Description Sheet'!K74</f>
        <v>m2</v>
      </c>
      <c r="N75" s="67">
        <f>'Description Sheet'!L74</f>
        <v>1</v>
      </c>
      <c r="O75" s="73">
        <f>'Year (2027-2028)'!O75*(('Description Sheet'!M4)+1)</f>
        <v>17138.242687795209</v>
      </c>
      <c r="P75" s="68">
        <f t="shared" si="34"/>
        <v>17138.242687795209</v>
      </c>
      <c r="Q75" s="14"/>
      <c r="R75" s="44"/>
      <c r="S75" s="2"/>
    </row>
    <row r="76" spans="1:19" hidden="1">
      <c r="A76" s="14"/>
      <c r="B76" s="109">
        <f>'Description Sheet'!B75</f>
        <v>7.7</v>
      </c>
      <c r="C76" s="152" t="str">
        <f>'Description Sheet'!C75</f>
        <v xml:space="preserve">External Woodwork </v>
      </c>
      <c r="D76" s="107"/>
      <c r="E76" s="153" t="str">
        <f>IF('Maintenance Schedule'!T93="x","x","")</f>
        <v/>
      </c>
      <c r="F76" s="153" t="str">
        <f t="shared" si="32"/>
        <v/>
      </c>
      <c r="G76" s="154">
        <f t="shared" si="35"/>
        <v>0</v>
      </c>
      <c r="H76" s="155">
        <f t="shared" si="33"/>
        <v>0</v>
      </c>
      <c r="I76" s="156">
        <f t="shared" si="36"/>
        <v>0</v>
      </c>
      <c r="J76" s="14"/>
      <c r="K76" s="15"/>
      <c r="L76" s="32"/>
      <c r="M76" s="67" t="str">
        <f>'Description Sheet'!K75</f>
        <v>m2</v>
      </c>
      <c r="N76" s="67">
        <f>'Description Sheet'!L75</f>
        <v>160</v>
      </c>
      <c r="O76" s="73">
        <f>'Year (2027-2028)'!O76*(('Description Sheet'!M4)+1)</f>
        <v>351.33397509980176</v>
      </c>
      <c r="P76" s="68">
        <f t="shared" si="34"/>
        <v>56213.436015968284</v>
      </c>
      <c r="Q76" s="14"/>
      <c r="R76" s="44"/>
    </row>
    <row r="77" spans="1:19" hidden="1">
      <c r="A77" s="14"/>
      <c r="B77" s="109">
        <f>'Description Sheet'!B76</f>
        <v>7.8</v>
      </c>
      <c r="C77" s="152" t="str">
        <f>'Description Sheet'!C76</f>
        <v xml:space="preserve">External Steelwork </v>
      </c>
      <c r="D77" s="107"/>
      <c r="E77" s="153" t="str">
        <f>IF('Maintenance Schedule'!T94="x","x","")</f>
        <v/>
      </c>
      <c r="F77" s="153" t="str">
        <f t="shared" si="32"/>
        <v/>
      </c>
      <c r="G77" s="154">
        <f t="shared" si="35"/>
        <v>0</v>
      </c>
      <c r="H77" s="155">
        <f t="shared" si="33"/>
        <v>0</v>
      </c>
      <c r="I77" s="156">
        <f t="shared" si="36"/>
        <v>0</v>
      </c>
      <c r="J77" s="14"/>
      <c r="K77" s="15"/>
      <c r="L77" s="32"/>
      <c r="M77" s="67" t="str">
        <f>'Description Sheet'!K76</f>
        <v>m2</v>
      </c>
      <c r="N77" s="67">
        <f>'Description Sheet'!L76</f>
        <v>40</v>
      </c>
      <c r="O77" s="73">
        <f>'Year (2027-2028)'!O77*(('Description Sheet'!M4)+1)</f>
        <v>392.46575755051026</v>
      </c>
      <c r="P77" s="68">
        <f t="shared" si="34"/>
        <v>15698.63030202041</v>
      </c>
      <c r="Q77" s="14"/>
      <c r="R77" s="44"/>
    </row>
    <row r="78" spans="1:19" hidden="1">
      <c r="A78" s="14"/>
      <c r="B78" s="109">
        <f>'Description Sheet'!B77</f>
        <v>7.9</v>
      </c>
      <c r="C78" s="152" t="str">
        <f>'Description Sheet'!C77</f>
        <v xml:space="preserve">Pointing &amp; Brickwork Repairs </v>
      </c>
      <c r="D78" s="107"/>
      <c r="E78" s="153" t="str">
        <f>IF('Maintenance Schedule'!T95="x","x","")</f>
        <v/>
      </c>
      <c r="F78" s="153" t="str">
        <f t="shared" si="32"/>
        <v/>
      </c>
      <c r="G78" s="154">
        <f t="shared" si="35"/>
        <v>0</v>
      </c>
      <c r="H78" s="155">
        <f t="shared" si="33"/>
        <v>0</v>
      </c>
      <c r="I78" s="156">
        <f t="shared" si="36"/>
        <v>0</v>
      </c>
      <c r="J78" s="14"/>
      <c r="K78" s="15"/>
      <c r="L78" s="32"/>
      <c r="M78" s="67" t="str">
        <f>'Description Sheet'!K77</f>
        <v>m2</v>
      </c>
      <c r="N78" s="67">
        <f>'Description Sheet'!L77</f>
        <v>0</v>
      </c>
      <c r="O78" s="73">
        <f>'Year (2027-2028)'!O78*(('Description Sheet'!M4)+1)</f>
        <v>83291.859462684719</v>
      </c>
      <c r="P78" s="68">
        <f t="shared" si="34"/>
        <v>0</v>
      </c>
      <c r="Q78" s="14"/>
      <c r="R78" s="44"/>
    </row>
    <row r="79" spans="1:19" hidden="1">
      <c r="A79" s="14"/>
      <c r="B79" s="112">
        <f>'Description Sheet'!B78</f>
        <v>7.1</v>
      </c>
      <c r="C79" s="152" t="str">
        <f>'Description Sheet'!C78</f>
        <v>Brickwork Repairs</v>
      </c>
      <c r="D79" s="107"/>
      <c r="E79" s="153" t="str">
        <f>IF('Maintenance Schedule'!T96="x","x","")</f>
        <v/>
      </c>
      <c r="F79" s="153" t="str">
        <f t="shared" si="32"/>
        <v/>
      </c>
      <c r="G79" s="154">
        <f t="shared" si="35"/>
        <v>0</v>
      </c>
      <c r="H79" s="155">
        <f t="shared" si="33"/>
        <v>0</v>
      </c>
      <c r="I79" s="156">
        <f t="shared" si="36"/>
        <v>0</v>
      </c>
      <c r="J79" s="14"/>
      <c r="K79" s="15"/>
      <c r="L79" s="32"/>
      <c r="M79" s="67" t="str">
        <f>'Description Sheet'!K78</f>
        <v>m2</v>
      </c>
      <c r="N79" s="67">
        <f>'Description Sheet'!L78</f>
        <v>1</v>
      </c>
      <c r="O79" s="73">
        <f>'Year (2027-2028)'!O79*(('Description Sheet'!M4)+1)</f>
        <v>7057.5283388340667</v>
      </c>
      <c r="P79" s="68">
        <f>N79*O79</f>
        <v>7057.5283388340667</v>
      </c>
      <c r="Q79" s="14"/>
      <c r="R79" s="44"/>
    </row>
    <row r="80" spans="1:19" hidden="1">
      <c r="A80" s="14"/>
      <c r="B80" s="112">
        <f>'Description Sheet'!B79</f>
        <v>7.11</v>
      </c>
      <c r="C80" s="152" t="str">
        <f>'Description Sheet'!C79</f>
        <v>Painted Floors</v>
      </c>
      <c r="D80" s="107"/>
      <c r="E80" s="153" t="str">
        <f>IF('Maintenance Schedule'!T97="x","x","")</f>
        <v/>
      </c>
      <c r="F80" s="153" t="str">
        <f t="shared" si="32"/>
        <v/>
      </c>
      <c r="G80" s="154">
        <f t="shared" si="35"/>
        <v>0</v>
      </c>
      <c r="H80" s="155">
        <f t="shared" si="33"/>
        <v>0</v>
      </c>
      <c r="I80" s="156">
        <f t="shared" si="36"/>
        <v>0</v>
      </c>
      <c r="J80" s="14"/>
      <c r="K80" s="15"/>
      <c r="L80" s="32"/>
      <c r="M80" s="67" t="str">
        <f>'Description Sheet'!K79</f>
        <v>m2</v>
      </c>
      <c r="N80" s="67">
        <f>'Description Sheet'!L79</f>
        <v>680</v>
      </c>
      <c r="O80" s="73">
        <f>'Year (2027-2028)'!O80*(('Description Sheet'!M4)+1)</f>
        <v>260.50128885448714</v>
      </c>
      <c r="P80" s="68">
        <f>N80*O80</f>
        <v>177140.87642105125</v>
      </c>
      <c r="Q80" s="14"/>
      <c r="R80" s="44"/>
    </row>
    <row r="81" spans="1:18" hidden="1">
      <c r="A81" s="14"/>
      <c r="B81" s="112">
        <f>'Description Sheet'!B80</f>
        <v>7.12</v>
      </c>
      <c r="C81" s="152" t="str">
        <f>'Description Sheet'!C80</f>
        <v>Nutec Walls</v>
      </c>
      <c r="D81" s="107"/>
      <c r="E81" s="153" t="str">
        <f>IF('Maintenance Schedule'!T98="x","x","")</f>
        <v/>
      </c>
      <c r="F81" s="153" t="str">
        <f t="shared" si="32"/>
        <v/>
      </c>
      <c r="G81" s="154">
        <f t="shared" si="35"/>
        <v>0</v>
      </c>
      <c r="H81" s="155">
        <f t="shared" si="33"/>
        <v>0</v>
      </c>
      <c r="I81" s="156">
        <f t="shared" si="36"/>
        <v>0</v>
      </c>
      <c r="J81" s="14"/>
      <c r="K81" s="15"/>
      <c r="L81" s="32"/>
      <c r="M81" s="67" t="str">
        <f>'Description Sheet'!K80</f>
        <v>m2</v>
      </c>
      <c r="N81" s="67">
        <f>'Description Sheet'!L80</f>
        <v>390</v>
      </c>
      <c r="O81" s="73">
        <f>'Year (2027-2028)'!O81*(('Description Sheet'!M4)+1)</f>
        <v>190.23449383452683</v>
      </c>
      <c r="P81" s="68">
        <f>N81*O81</f>
        <v>74191.452595465467</v>
      </c>
      <c r="Q81" s="14"/>
      <c r="R81" s="44"/>
    </row>
    <row r="82" spans="1:18" hidden="1">
      <c r="A82" s="14"/>
      <c r="B82" s="112">
        <f>'Description Sheet'!B81</f>
        <v>7.13</v>
      </c>
      <c r="C82" s="152" t="str">
        <f>'Description Sheet'!C81</f>
        <v xml:space="preserve">Basement Parking Walls and Soffits Areas </v>
      </c>
      <c r="D82" s="107"/>
      <c r="E82" s="153" t="str">
        <f>IF('Maintenance Schedule'!T99="x","x","")</f>
        <v/>
      </c>
      <c r="F82" s="153" t="str">
        <f t="shared" si="32"/>
        <v/>
      </c>
      <c r="G82" s="154">
        <f t="shared" si="35"/>
        <v>0</v>
      </c>
      <c r="H82" s="155">
        <f t="shared" si="33"/>
        <v>0</v>
      </c>
      <c r="I82" s="156">
        <f t="shared" si="36"/>
        <v>0</v>
      </c>
      <c r="J82" s="14"/>
      <c r="K82" s="15"/>
      <c r="L82" s="32"/>
      <c r="M82" s="67" t="str">
        <f>'Description Sheet'!K81</f>
        <v>m2</v>
      </c>
      <c r="N82" s="67">
        <f>'Description Sheet'!L81</f>
        <v>0</v>
      </c>
      <c r="O82" s="73">
        <f>'Year (2027-2028)'!O82*(('Description Sheet'!M4)+1)</f>
        <v>251.93216751058952</v>
      </c>
      <c r="P82" s="68">
        <f>N82*O82</f>
        <v>0</v>
      </c>
      <c r="Q82" s="14"/>
      <c r="R82" s="44"/>
    </row>
    <row r="83" spans="1:18" hidden="1">
      <c r="A83" s="14"/>
      <c r="B83" s="112">
        <f>'Description Sheet'!B82</f>
        <v>7.14</v>
      </c>
      <c r="C83" s="152" t="str">
        <f>'Description Sheet'!C82</f>
        <v>Internal Common Walls and Soffit Areas</v>
      </c>
      <c r="D83" s="107"/>
      <c r="E83" s="153" t="str">
        <f>IF('Maintenance Schedule'!T100="x","x","")</f>
        <v/>
      </c>
      <c r="F83" s="153" t="str">
        <f t="shared" si="32"/>
        <v/>
      </c>
      <c r="G83" s="154">
        <f t="shared" si="35"/>
        <v>0</v>
      </c>
      <c r="H83" s="155">
        <f t="shared" si="33"/>
        <v>0</v>
      </c>
      <c r="I83" s="156">
        <f t="shared" si="36"/>
        <v>0</v>
      </c>
      <c r="J83" s="14"/>
      <c r="K83" s="15"/>
      <c r="L83" s="32"/>
      <c r="M83" s="67" t="str">
        <f>'Description Sheet'!K82</f>
        <v>m2</v>
      </c>
      <c r="N83" s="67">
        <f>'Description Sheet'!L82</f>
        <v>0</v>
      </c>
      <c r="O83" s="73">
        <f>'Year (2027-2028)'!O83*(('Description Sheet'!M4)+1)</f>
        <v>260.50128885448714</v>
      </c>
      <c r="P83" s="68">
        <f t="shared" ref="P83:P91" si="37">N83*O83</f>
        <v>0</v>
      </c>
      <c r="Q83" s="14"/>
      <c r="R83" s="44"/>
    </row>
    <row r="84" spans="1:18" hidden="1">
      <c r="A84" s="14"/>
      <c r="B84" s="112">
        <f>'Description Sheet'!B83</f>
        <v>7.15</v>
      </c>
      <c r="C84" s="152" t="str">
        <f>'Description Sheet'!C83</f>
        <v xml:space="preserve">Basement Parking Walls and Soffits Areas </v>
      </c>
      <c r="D84" s="107"/>
      <c r="E84" s="153" t="str">
        <f>IF('Maintenance Schedule'!T101="x","x","")</f>
        <v/>
      </c>
      <c r="F84" s="153" t="str">
        <f t="shared" si="32"/>
        <v/>
      </c>
      <c r="G84" s="154">
        <f t="shared" si="35"/>
        <v>0</v>
      </c>
      <c r="H84" s="155">
        <f t="shared" si="33"/>
        <v>0</v>
      </c>
      <c r="I84" s="156">
        <f t="shared" si="36"/>
        <v>0</v>
      </c>
      <c r="J84" s="14"/>
      <c r="K84" s="15"/>
      <c r="L84" s="32"/>
      <c r="M84" s="67" t="str">
        <f>'Description Sheet'!K83</f>
        <v>m2</v>
      </c>
      <c r="N84" s="67">
        <f>'Description Sheet'!L83</f>
        <v>0</v>
      </c>
      <c r="O84" s="73">
        <f>'Year (2027-2028)'!O84*(('Description Sheet'!M4)+1)</f>
        <v>251.93216751058952</v>
      </c>
      <c r="P84" s="68">
        <f t="shared" si="37"/>
        <v>0</v>
      </c>
      <c r="Q84" s="14"/>
      <c r="R84" s="44"/>
    </row>
    <row r="85" spans="1:18" hidden="1">
      <c r="A85" s="14"/>
      <c r="B85" s="112">
        <f>'Description Sheet'!B84</f>
        <v>7.16</v>
      </c>
      <c r="C85" s="152" t="str">
        <f>'Description Sheet'!C84</f>
        <v>Cleaning of Cladding Panels</v>
      </c>
      <c r="D85" s="107"/>
      <c r="E85" s="153" t="str">
        <f>IF('Maintenance Schedule'!T102="x","x","")</f>
        <v/>
      </c>
      <c r="F85" s="153" t="str">
        <f t="shared" si="32"/>
        <v/>
      </c>
      <c r="G85" s="154">
        <f t="shared" si="35"/>
        <v>0</v>
      </c>
      <c r="H85" s="155">
        <f t="shared" si="33"/>
        <v>0</v>
      </c>
      <c r="I85" s="156">
        <f t="shared" si="36"/>
        <v>0</v>
      </c>
      <c r="J85" s="14"/>
      <c r="K85" s="15"/>
      <c r="L85" s="32"/>
      <c r="M85" s="67" t="str">
        <f>'Description Sheet'!K84</f>
        <v>m2</v>
      </c>
      <c r="N85" s="67">
        <f>'Description Sheet'!L84</f>
        <v>0</v>
      </c>
      <c r="O85" s="73">
        <f>'Year (2027-2028)'!O85*(('Description Sheet'!M4)+1)</f>
        <v>174.81007541551111</v>
      </c>
      <c r="P85" s="68">
        <f t="shared" si="37"/>
        <v>0</v>
      </c>
      <c r="Q85" s="14"/>
      <c r="R85" s="44"/>
    </row>
    <row r="86" spans="1:18" hidden="1">
      <c r="A86" s="14"/>
      <c r="B86" s="112">
        <f>'Description Sheet'!B85</f>
        <v>7.17</v>
      </c>
      <c r="C86" s="152" t="str">
        <f>'Description Sheet'!C85</f>
        <v>Painting of Facais and Barge Boarding</v>
      </c>
      <c r="D86" s="107"/>
      <c r="E86" s="153" t="str">
        <f>IF('Maintenance Schedule'!T103="x","x","")</f>
        <v/>
      </c>
      <c r="F86" s="153" t="str">
        <f t="shared" si="32"/>
        <v/>
      </c>
      <c r="G86" s="154">
        <f t="shared" si="35"/>
        <v>0</v>
      </c>
      <c r="H86" s="155">
        <f t="shared" si="33"/>
        <v>0</v>
      </c>
      <c r="I86" s="156">
        <f t="shared" si="36"/>
        <v>0</v>
      </c>
      <c r="J86" s="14"/>
      <c r="K86" s="15"/>
      <c r="L86" s="32"/>
      <c r="M86" s="67" t="str">
        <f>'Description Sheet'!K85</f>
        <v>m2</v>
      </c>
      <c r="N86" s="67">
        <f>'Description Sheet'!L85</f>
        <v>0</v>
      </c>
      <c r="O86" s="73">
        <f>'Year (2027-2028)'!O86*(('Description Sheet'!M4)+1)</f>
        <v>231.3662762852353</v>
      </c>
      <c r="P86" s="68">
        <f t="shared" si="37"/>
        <v>0</v>
      </c>
      <c r="Q86" s="14"/>
      <c r="R86" s="44"/>
    </row>
    <row r="87" spans="1:18" hidden="1">
      <c r="A87" s="14"/>
      <c r="B87" s="112">
        <f>'Description Sheet'!B86</f>
        <v>7.18</v>
      </c>
      <c r="C87" s="152" t="str">
        <f>'Description Sheet'!C86</f>
        <v>Painting External Wooden Soffits</v>
      </c>
      <c r="D87" s="107"/>
      <c r="E87" s="153" t="str">
        <f>IF('Maintenance Schedule'!T104="x","x","")</f>
        <v/>
      </c>
      <c r="F87" s="153" t="str">
        <f t="shared" si="32"/>
        <v/>
      </c>
      <c r="G87" s="154">
        <f t="shared" si="35"/>
        <v>0</v>
      </c>
      <c r="H87" s="155">
        <f t="shared" si="33"/>
        <v>0</v>
      </c>
      <c r="I87" s="156">
        <f t="shared" si="36"/>
        <v>0</v>
      </c>
      <c r="J87" s="14"/>
      <c r="K87" s="15"/>
      <c r="L87" s="32"/>
      <c r="M87" s="67" t="str">
        <f>'Description Sheet'!K86</f>
        <v>m2</v>
      </c>
      <c r="N87" s="67">
        <f>'Description Sheet'!L86</f>
        <v>0</v>
      </c>
      <c r="O87" s="73">
        <f>'Year (2027-2028)'!O87*(('Description Sheet'!M4)+1)</f>
        <v>119.96769881456645</v>
      </c>
      <c r="P87" s="68">
        <f t="shared" si="37"/>
        <v>0</v>
      </c>
      <c r="Q87" s="14"/>
      <c r="R87" s="44"/>
    </row>
    <row r="88" spans="1:18" hidden="1">
      <c r="A88" s="14"/>
      <c r="B88" s="112">
        <f>'Description Sheet'!B87</f>
        <v>7.19</v>
      </c>
      <c r="C88" s="152" t="str">
        <f>'Description Sheet'!C87</f>
        <v>Painting of Palisade Fencing</v>
      </c>
      <c r="D88" s="107"/>
      <c r="E88" s="153" t="str">
        <f>IF('Maintenance Schedule'!T105="x","x","")</f>
        <v/>
      </c>
      <c r="F88" s="153" t="str">
        <f t="shared" si="32"/>
        <v/>
      </c>
      <c r="G88" s="154">
        <f t="shared" si="35"/>
        <v>0</v>
      </c>
      <c r="H88" s="155">
        <f t="shared" si="33"/>
        <v>0</v>
      </c>
      <c r="I88" s="156">
        <f t="shared" si="36"/>
        <v>0</v>
      </c>
      <c r="J88" s="14"/>
      <c r="K88" s="15"/>
      <c r="L88" s="32"/>
      <c r="M88" s="67" t="str">
        <f>'Description Sheet'!K87</f>
        <v>m2</v>
      </c>
      <c r="N88" s="67">
        <f>'Description Sheet'!L87</f>
        <v>0</v>
      </c>
      <c r="O88" s="73">
        <f>'Year (2027-2028)'!O88*(('Description Sheet'!M4)+1)</f>
        <v>119.96769881456645</v>
      </c>
      <c r="P88" s="68">
        <f t="shared" si="37"/>
        <v>0</v>
      </c>
      <c r="Q88" s="14"/>
      <c r="R88" s="44"/>
    </row>
    <row r="89" spans="1:18" hidden="1">
      <c r="A89" s="14"/>
      <c r="B89" s="112">
        <f>'Description Sheet'!B88</f>
        <v>7.2</v>
      </c>
      <c r="C89" s="152" t="str">
        <f>'Description Sheet'!C88</f>
        <v>blank</v>
      </c>
      <c r="D89" s="107"/>
      <c r="E89" s="153" t="str">
        <f>IF('Maintenance Schedule'!T106="x","x","")</f>
        <v/>
      </c>
      <c r="F89" s="153" t="str">
        <f t="shared" si="32"/>
        <v/>
      </c>
      <c r="G89" s="154">
        <f t="shared" si="35"/>
        <v>0</v>
      </c>
      <c r="H89" s="155">
        <f t="shared" si="33"/>
        <v>0</v>
      </c>
      <c r="I89" s="156">
        <f t="shared" si="36"/>
        <v>0</v>
      </c>
      <c r="J89" s="14"/>
      <c r="K89" s="15"/>
      <c r="L89" s="32"/>
      <c r="M89" s="67" t="str">
        <f>'Description Sheet'!K88</f>
        <v>m3</v>
      </c>
      <c r="N89" s="67">
        <f>'Description Sheet'!L88</f>
        <v>0</v>
      </c>
      <c r="O89" s="73">
        <f>'Year (2027-2028)'!O89*(('Description Sheet'!M4)+1)</f>
        <v>305.06071984275474</v>
      </c>
      <c r="P89" s="68">
        <f t="shared" si="37"/>
        <v>0</v>
      </c>
      <c r="Q89" s="14"/>
      <c r="R89" s="44"/>
    </row>
    <row r="90" spans="1:18" hidden="1">
      <c r="A90" s="14"/>
      <c r="B90" s="112">
        <f>'Description Sheet'!B89</f>
        <v>7.21</v>
      </c>
      <c r="C90" s="152" t="str">
        <f>'Description Sheet'!C89</f>
        <v>blank</v>
      </c>
      <c r="D90" s="107"/>
      <c r="E90" s="153" t="str">
        <f>IF('Maintenance Schedule'!T107="x","x","")</f>
        <v/>
      </c>
      <c r="F90" s="153" t="str">
        <f t="shared" si="32"/>
        <v/>
      </c>
      <c r="G90" s="154">
        <f t="shared" si="35"/>
        <v>0</v>
      </c>
      <c r="H90" s="155">
        <f t="shared" si="33"/>
        <v>0</v>
      </c>
      <c r="I90" s="156">
        <f t="shared" si="36"/>
        <v>0</v>
      </c>
      <c r="J90" s="14"/>
      <c r="K90" s="15"/>
      <c r="L90" s="32"/>
      <c r="M90" s="67" t="str">
        <f>'Description Sheet'!K89</f>
        <v>m3</v>
      </c>
      <c r="N90" s="67">
        <f>'Description Sheet'!L89</f>
        <v>0</v>
      </c>
      <c r="O90" s="73">
        <f>'Year (2027-2028)'!O90*(('Description Sheet'!M4)+1)</f>
        <v>17583.836997677885</v>
      </c>
      <c r="P90" s="68">
        <f t="shared" si="37"/>
        <v>0</v>
      </c>
      <c r="Q90" s="14"/>
      <c r="R90" s="44"/>
    </row>
    <row r="91" spans="1:18" hidden="1">
      <c r="A91" s="14"/>
      <c r="B91" s="112">
        <f>'Description Sheet'!B90</f>
        <v>7.22</v>
      </c>
      <c r="C91" s="152" t="str">
        <f>'Description Sheet'!C90</f>
        <v>blank</v>
      </c>
      <c r="D91" s="107"/>
      <c r="E91" s="153" t="str">
        <f>IF('Maintenance Schedule'!T108="x","x","")</f>
        <v/>
      </c>
      <c r="F91" s="153" t="str">
        <f t="shared" si="32"/>
        <v/>
      </c>
      <c r="G91" s="154">
        <f t="shared" si="35"/>
        <v>0</v>
      </c>
      <c r="H91" s="155">
        <f t="shared" si="33"/>
        <v>0</v>
      </c>
      <c r="I91" s="156">
        <f t="shared" si="36"/>
        <v>0</v>
      </c>
      <c r="J91" s="14"/>
      <c r="K91" s="15"/>
      <c r="L91" s="32"/>
      <c r="M91" s="67" t="str">
        <f>'Description Sheet'!K90</f>
        <v>m3</v>
      </c>
      <c r="N91" s="67">
        <f>'Description Sheet'!L90</f>
        <v>0</v>
      </c>
      <c r="O91" s="73">
        <f>'Year (2027-2028)'!O91*(('Description Sheet'!M4)+1)</f>
        <v>0</v>
      </c>
      <c r="P91" s="68">
        <f t="shared" si="37"/>
        <v>0</v>
      </c>
      <c r="Q91" s="14"/>
      <c r="R91" s="44"/>
    </row>
    <row r="92" spans="1:18" ht="17" hidden="1" thickBot="1">
      <c r="A92" s="14"/>
      <c r="B92" s="109"/>
      <c r="C92" s="152"/>
      <c r="D92" s="107"/>
      <c r="E92" s="153"/>
      <c r="F92" s="153" t="str">
        <f>IF(E92="x",M92,"")</f>
        <v/>
      </c>
      <c r="G92" s="154"/>
      <c r="H92" s="155"/>
      <c r="I92" s="156"/>
      <c r="J92" s="14"/>
      <c r="K92" s="15"/>
      <c r="L92" s="32"/>
      <c r="M92" s="70"/>
      <c r="N92" s="67"/>
      <c r="O92" s="73"/>
      <c r="P92" s="68"/>
      <c r="Q92" s="14"/>
      <c r="R92" s="44"/>
    </row>
    <row r="93" spans="1:18" s="4" customFormat="1" ht="15.75" hidden="1" customHeight="1" thickBot="1">
      <c r="A93" s="14"/>
      <c r="B93" s="109"/>
      <c r="C93" s="115"/>
      <c r="D93" s="107"/>
      <c r="E93" s="163"/>
      <c r="F93" s="528" t="s">
        <v>7</v>
      </c>
      <c r="G93" s="529"/>
      <c r="H93" s="530">
        <f>SUM(I70:I92)</f>
        <v>0</v>
      </c>
      <c r="I93" s="531"/>
      <c r="J93" s="14"/>
      <c r="K93" s="15"/>
      <c r="L93" s="33"/>
      <c r="M93" s="508" t="s">
        <v>7</v>
      </c>
      <c r="N93" s="509"/>
      <c r="O93" s="510">
        <f>SUM(P70:P92)</f>
        <v>3772515.9109278843</v>
      </c>
      <c r="P93" s="511"/>
      <c r="Q93" s="14"/>
      <c r="R93" s="31"/>
    </row>
    <row r="94" spans="1:18" ht="18" hidden="1" thickBot="1">
      <c r="A94" s="14"/>
      <c r="B94" s="179" t="s">
        <v>41</v>
      </c>
      <c r="C94" s="113" t="str">
        <f>'Description Sheet'!C93</f>
        <v xml:space="preserve">Waterproofing </v>
      </c>
      <c r="D94" s="107"/>
      <c r="E94" s="110"/>
      <c r="F94" s="110"/>
      <c r="G94" s="110"/>
      <c r="H94" s="110"/>
      <c r="I94" s="151"/>
      <c r="J94" s="32"/>
      <c r="K94" s="40"/>
      <c r="L94" s="33"/>
      <c r="M94" s="24"/>
      <c r="N94" s="25"/>
      <c r="O94" s="25"/>
      <c r="P94" s="63"/>
      <c r="Q94" s="14"/>
      <c r="R94" s="44"/>
    </row>
    <row r="95" spans="1:18" hidden="1">
      <c r="A95" s="14"/>
      <c r="B95" s="112">
        <f>'Description Sheet'!B94</f>
        <v>7.23</v>
      </c>
      <c r="C95" s="152" t="str">
        <f>'Description Sheet'!C94</f>
        <v>Waterproofing of Walkways</v>
      </c>
      <c r="D95" s="107"/>
      <c r="E95" s="153" t="str">
        <f>IF('Maintenance Schedule'!T115="x","x","")</f>
        <v/>
      </c>
      <c r="F95" s="153" t="str">
        <f t="shared" ref="F95:F102" si="38">IF(E95="x","No","")</f>
        <v/>
      </c>
      <c r="G95" s="154">
        <f>IF(E95="x",1,0)</f>
        <v>0</v>
      </c>
      <c r="H95" s="155">
        <f t="shared" ref="H95" si="39">IF(E95="x",P95,0)</f>
        <v>0</v>
      </c>
      <c r="I95" s="156">
        <f>IF(E95="x",G95*H95,0)</f>
        <v>0</v>
      </c>
      <c r="J95" s="14"/>
      <c r="K95" s="15"/>
      <c r="L95" s="32"/>
      <c r="M95" s="86" t="str">
        <f>'Description Sheet'!K94</f>
        <v>m2</v>
      </c>
      <c r="N95" s="67">
        <f>'Description Sheet'!L94</f>
        <v>1</v>
      </c>
      <c r="O95" s="73">
        <f>'Year (2027-2028)'!O95*(('Description Sheet'!M4)+1)</f>
        <v>277459.06584677985</v>
      </c>
      <c r="P95" s="69">
        <f>N95*O95</f>
        <v>277459.06584677985</v>
      </c>
      <c r="Q95" s="14"/>
      <c r="R95" s="44"/>
    </row>
    <row r="96" spans="1:18" hidden="1">
      <c r="A96" s="14"/>
      <c r="B96" s="112">
        <f>'Description Sheet'!B95</f>
        <v>7.24</v>
      </c>
      <c r="C96" s="152" t="str">
        <f>'Description Sheet'!C95</f>
        <v>Roof Repairs (Phase 2)</v>
      </c>
      <c r="D96" s="107"/>
      <c r="E96" s="153" t="str">
        <f>IF('Maintenance Schedule'!T116="x","x","")</f>
        <v/>
      </c>
      <c r="F96" s="153" t="str">
        <f t="shared" si="38"/>
        <v/>
      </c>
      <c r="G96" s="154">
        <f t="shared" ref="G96:G102" si="40">IF(E96="x",1,0)</f>
        <v>0</v>
      </c>
      <c r="H96" s="155">
        <f>IF(E96="x",P96,0)</f>
        <v>0</v>
      </c>
      <c r="I96" s="156">
        <f>IF(E96="x",G96*H96,0)</f>
        <v>0</v>
      </c>
      <c r="J96" s="14"/>
      <c r="K96" s="15"/>
      <c r="L96" s="32"/>
      <c r="M96" s="86" t="str">
        <f>'Description Sheet'!K95</f>
        <v>m2</v>
      </c>
      <c r="N96" s="67">
        <f>'Description Sheet'!L95</f>
        <v>1</v>
      </c>
      <c r="O96" s="73">
        <f>'Year (2027-2028)'!O96*(('Description Sheet'!M4)+1)</f>
        <v>856912.13438976032</v>
      </c>
      <c r="P96" s="69">
        <f>N96*O96</f>
        <v>856912.13438976032</v>
      </c>
      <c r="Q96" s="14"/>
      <c r="R96" s="44"/>
    </row>
    <row r="97" spans="1:18" hidden="1">
      <c r="A97" s="14"/>
      <c r="B97" s="112">
        <f>'Description Sheet'!B96</f>
        <v>7.25</v>
      </c>
      <c r="C97" s="152" t="str">
        <f>'Description Sheet'!C96</f>
        <v xml:space="preserve">Flat Roof Service </v>
      </c>
      <c r="D97" s="107"/>
      <c r="E97" s="153" t="str">
        <f>IF('Maintenance Schedule'!T117="x","x","")</f>
        <v/>
      </c>
      <c r="F97" s="153" t="str">
        <f t="shared" si="38"/>
        <v/>
      </c>
      <c r="G97" s="154">
        <f t="shared" si="40"/>
        <v>0</v>
      </c>
      <c r="H97" s="155">
        <f>IF(E97="x",P97,0)</f>
        <v>0</v>
      </c>
      <c r="I97" s="156">
        <f>IF(E97="x",G97*H97,0)</f>
        <v>0</v>
      </c>
      <c r="J97" s="14"/>
      <c r="K97" s="15"/>
      <c r="L97" s="32"/>
      <c r="M97" s="86" t="str">
        <f>'Description Sheet'!K96</f>
        <v>m2</v>
      </c>
      <c r="N97" s="67">
        <f>'Description Sheet'!L96</f>
        <v>895</v>
      </c>
      <c r="O97" s="73">
        <f>'Year (2027-2028)'!O97*(('Description Sheet'!M4)+1)</f>
        <v>111.39857747066881</v>
      </c>
      <c r="P97" s="69">
        <f>N97*O97</f>
        <v>99701.726836248592</v>
      </c>
      <c r="Q97" s="14"/>
      <c r="R97" s="44"/>
    </row>
    <row r="98" spans="1:18" hidden="1">
      <c r="A98" s="14"/>
      <c r="B98" s="112">
        <f>'Description Sheet'!B97</f>
        <v>7.26</v>
      </c>
      <c r="C98" s="152" t="str">
        <f>'Description Sheet'!C97</f>
        <v>Flat Roof Replacement</v>
      </c>
      <c r="D98" s="107"/>
      <c r="E98" s="153" t="str">
        <f>IF('Maintenance Schedule'!T118="x","x","")</f>
        <v/>
      </c>
      <c r="F98" s="153" t="str">
        <f t="shared" si="38"/>
        <v/>
      </c>
      <c r="G98" s="154">
        <f t="shared" si="40"/>
        <v>0</v>
      </c>
      <c r="H98" s="155">
        <f>IF(E98="x",P98,0)</f>
        <v>0</v>
      </c>
      <c r="I98" s="156">
        <f>IF(E98="x",G98*H98,0)</f>
        <v>0</v>
      </c>
      <c r="J98" s="14"/>
      <c r="K98" s="15"/>
      <c r="L98" s="32"/>
      <c r="M98" s="86" t="str">
        <f>'Description Sheet'!K97</f>
        <v>m2</v>
      </c>
      <c r="N98" s="67">
        <f>'Description Sheet'!L97</f>
        <v>1</v>
      </c>
      <c r="O98" s="73">
        <f>'Year (2027-2028)'!O98*(('Description Sheet'!M4)+1)</f>
        <v>1109096.2340678603</v>
      </c>
      <c r="P98" s="69">
        <f>N98*O98</f>
        <v>1109096.2340678603</v>
      </c>
      <c r="Q98" s="14"/>
      <c r="R98" s="44"/>
    </row>
    <row r="99" spans="1:18" hidden="1">
      <c r="A99" s="14"/>
      <c r="B99" s="112">
        <f>'Description Sheet'!B98</f>
        <v>7.27</v>
      </c>
      <c r="C99" s="152" t="str">
        <f>'Description Sheet'!C98</f>
        <v xml:space="preserve">Walkway and Staircases (Cementitious Waterproofing) </v>
      </c>
      <c r="D99" s="107"/>
      <c r="E99" s="153" t="str">
        <f>IF('Maintenance Schedule'!T119="x","x","")</f>
        <v/>
      </c>
      <c r="F99" s="153" t="str">
        <f t="shared" si="38"/>
        <v/>
      </c>
      <c r="G99" s="154">
        <f t="shared" si="40"/>
        <v>0</v>
      </c>
      <c r="H99" s="155">
        <f>IF(E99="x",P99,0)</f>
        <v>0</v>
      </c>
      <c r="I99" s="156">
        <f>IF(E99="x",G99*H99,0)</f>
        <v>0</v>
      </c>
      <c r="J99" s="14"/>
      <c r="K99" s="15"/>
      <c r="L99" s="32"/>
      <c r="M99" s="86" t="str">
        <f>'Description Sheet'!K98</f>
        <v>m2</v>
      </c>
      <c r="N99" s="67">
        <f>'Description Sheet'!L98</f>
        <v>0</v>
      </c>
      <c r="O99" s="73">
        <f>'Year (2027-2028)'!O99*(('Description Sheet'!M4)+1)</f>
        <v>702.66795019960352</v>
      </c>
      <c r="P99" s="69">
        <f>N99*O99</f>
        <v>0</v>
      </c>
      <c r="Q99" s="14"/>
      <c r="R99" s="44"/>
    </row>
    <row r="100" spans="1:18" hidden="1">
      <c r="A100" s="14"/>
      <c r="B100" s="112">
        <f>'Description Sheet'!B99</f>
        <v>7.28</v>
      </c>
      <c r="C100" s="152" t="str">
        <f>'Description Sheet'!C99</f>
        <v>Waterproofing Servicing of Parapets</v>
      </c>
      <c r="D100" s="107"/>
      <c r="E100" s="153" t="str">
        <f>IF('Maintenance Schedule'!T120="x","x","")</f>
        <v/>
      </c>
      <c r="F100" s="153" t="str">
        <f t="shared" si="38"/>
        <v/>
      </c>
      <c r="G100" s="154">
        <f t="shared" si="40"/>
        <v>0</v>
      </c>
      <c r="H100" s="155">
        <f t="shared" ref="H100:H102" si="41">IF(E100="x",P100,0)</f>
        <v>0</v>
      </c>
      <c r="I100" s="156">
        <f t="shared" ref="I100:I102" si="42">IF(E100="x",G100*H100,0)</f>
        <v>0</v>
      </c>
      <c r="J100" s="14"/>
      <c r="K100" s="15"/>
      <c r="L100" s="32"/>
      <c r="M100" s="86" t="str">
        <f>'Description Sheet'!K99</f>
        <v>m2</v>
      </c>
      <c r="N100" s="67">
        <f>'Description Sheet'!L99</f>
        <v>0</v>
      </c>
      <c r="O100" s="73">
        <f>'Year (2027-2028)'!O100*(('Description Sheet'!M4)+1)</f>
        <v>174.81007541551111</v>
      </c>
      <c r="P100" s="69">
        <f t="shared" ref="P100:P102" si="43">N100*O100</f>
        <v>0</v>
      </c>
      <c r="Q100" s="14"/>
      <c r="R100" s="44"/>
    </row>
    <row r="101" spans="1:18" hidden="1">
      <c r="A101" s="14"/>
      <c r="B101" s="112">
        <f>'Description Sheet'!B100</f>
        <v>7.29</v>
      </c>
      <c r="C101" s="152" t="str">
        <f>'Description Sheet'!C100</f>
        <v>blank</v>
      </c>
      <c r="D101" s="107"/>
      <c r="E101" s="153" t="str">
        <f>IF('Maintenance Schedule'!T121="x","x","")</f>
        <v/>
      </c>
      <c r="F101" s="153" t="str">
        <f t="shared" si="38"/>
        <v/>
      </c>
      <c r="G101" s="154">
        <f t="shared" si="40"/>
        <v>0</v>
      </c>
      <c r="H101" s="155">
        <f t="shared" si="41"/>
        <v>0</v>
      </c>
      <c r="I101" s="156">
        <f t="shared" si="42"/>
        <v>0</v>
      </c>
      <c r="J101" s="14"/>
      <c r="K101" s="15"/>
      <c r="L101" s="32"/>
      <c r="M101" s="86" t="str">
        <f>'Description Sheet'!K100</f>
        <v>m2</v>
      </c>
      <c r="N101" s="67">
        <f>'Description Sheet'!L100</f>
        <v>0</v>
      </c>
      <c r="O101" s="73">
        <f>'Year (2027-2028)'!O101*(('Description Sheet'!M4)+1)</f>
        <v>0</v>
      </c>
      <c r="P101" s="69">
        <f t="shared" si="43"/>
        <v>0</v>
      </c>
      <c r="Q101" s="14"/>
      <c r="R101" s="44"/>
    </row>
    <row r="102" spans="1:18" hidden="1">
      <c r="A102" s="14"/>
      <c r="B102" s="112">
        <f>'Description Sheet'!B101</f>
        <v>7.3</v>
      </c>
      <c r="C102" s="152" t="str">
        <f>'Description Sheet'!C101</f>
        <v>blank</v>
      </c>
      <c r="D102" s="107"/>
      <c r="E102" s="153" t="str">
        <f>IF('Maintenance Schedule'!T122="x","x","")</f>
        <v/>
      </c>
      <c r="F102" s="153" t="str">
        <f t="shared" si="38"/>
        <v/>
      </c>
      <c r="G102" s="154">
        <f t="shared" si="40"/>
        <v>0</v>
      </c>
      <c r="H102" s="155">
        <f t="shared" si="41"/>
        <v>0</v>
      </c>
      <c r="I102" s="156">
        <f t="shared" si="42"/>
        <v>0</v>
      </c>
      <c r="J102" s="14"/>
      <c r="K102" s="15"/>
      <c r="L102" s="32"/>
      <c r="M102" s="86" t="str">
        <f>'Description Sheet'!K101</f>
        <v>m2</v>
      </c>
      <c r="N102" s="67">
        <f>'Description Sheet'!L101</f>
        <v>0</v>
      </c>
      <c r="O102" s="73">
        <f>'Year (2027-2028)'!O102*(('Description Sheet'!M4)+1)</f>
        <v>0</v>
      </c>
      <c r="P102" s="69">
        <f t="shared" si="43"/>
        <v>0</v>
      </c>
      <c r="Q102" s="14"/>
      <c r="R102" s="44"/>
    </row>
    <row r="103" spans="1:18" ht="17" hidden="1" thickBot="1">
      <c r="A103" s="14"/>
      <c r="B103" s="109"/>
      <c r="C103" s="152"/>
      <c r="D103" s="107"/>
      <c r="E103" s="153"/>
      <c r="F103" s="154"/>
      <c r="G103" s="154"/>
      <c r="H103" s="155"/>
      <c r="I103" s="156"/>
      <c r="J103" s="14"/>
      <c r="K103" s="15"/>
      <c r="L103" s="32"/>
      <c r="M103" s="70"/>
      <c r="N103" s="67"/>
      <c r="O103" s="68"/>
      <c r="P103" s="69"/>
      <c r="Q103" s="14"/>
      <c r="R103" s="44"/>
    </row>
    <row r="104" spans="1:18" s="4" customFormat="1" ht="15.75" hidden="1" customHeight="1" thickBot="1">
      <c r="A104" s="14"/>
      <c r="B104" s="109"/>
      <c r="C104" s="115"/>
      <c r="D104" s="107"/>
      <c r="E104" s="159"/>
      <c r="F104" s="528" t="s">
        <v>7</v>
      </c>
      <c r="G104" s="529"/>
      <c r="H104" s="530">
        <f>SUM(I95:I102)</f>
        <v>0</v>
      </c>
      <c r="I104" s="531"/>
      <c r="J104" s="14"/>
      <c r="K104" s="15"/>
      <c r="L104" s="33"/>
      <c r="M104" s="508" t="s">
        <v>7</v>
      </c>
      <c r="N104" s="509"/>
      <c r="O104" s="510">
        <f>SUM(P95:P103)</f>
        <v>2343169.1611406491</v>
      </c>
      <c r="P104" s="511"/>
      <c r="Q104" s="14"/>
      <c r="R104" s="31"/>
    </row>
    <row r="105" spans="1:18" ht="17" thickBot="1">
      <c r="A105" s="14"/>
      <c r="B105" s="109">
        <f>'Description Sheet'!B104</f>
        <v>8</v>
      </c>
      <c r="C105" s="113" t="str">
        <f>'Description Sheet'!C104</f>
        <v>Communication and Service Supply Systems</v>
      </c>
      <c r="D105" s="107"/>
      <c r="E105" s="110"/>
      <c r="F105" s="110"/>
      <c r="G105" s="110"/>
      <c r="H105" s="110"/>
      <c r="I105" s="151"/>
      <c r="J105" s="32"/>
      <c r="K105" s="40"/>
      <c r="L105" s="33"/>
      <c r="M105" s="24"/>
      <c r="N105" s="25"/>
      <c r="O105" s="25"/>
      <c r="P105" s="63"/>
      <c r="Q105" s="14"/>
      <c r="R105" s="44"/>
    </row>
    <row r="106" spans="1:18" ht="17" hidden="1">
      <c r="A106" s="14"/>
      <c r="B106" s="109">
        <f>'Description Sheet'!B105</f>
        <v>8.1</v>
      </c>
      <c r="C106" s="164" t="str">
        <f>'Description Sheet'!C105</f>
        <v>Communication Systems (Service &amp; Upgrade Savings)</v>
      </c>
      <c r="D106" s="107"/>
      <c r="E106" s="153" t="str">
        <f>IF('Maintenance Schedule'!T129="x","x","")</f>
        <v/>
      </c>
      <c r="F106" s="153" t="str">
        <f>IF(E106="x","No","")</f>
        <v/>
      </c>
      <c r="G106" s="154">
        <f>IF(E106="x",1,0)</f>
        <v>0</v>
      </c>
      <c r="H106" s="155">
        <f t="shared" ref="H106:H109" si="44">IF(E106="x",P106,0)</f>
        <v>0</v>
      </c>
      <c r="I106" s="156">
        <f>IF(E106="x",G106*H106,0)</f>
        <v>0</v>
      </c>
      <c r="J106" s="14"/>
      <c r="K106" s="15"/>
      <c r="L106" s="32"/>
      <c r="M106" s="67" t="str">
        <f>'Description Sheet'!K105</f>
        <v>No</v>
      </c>
      <c r="N106" s="67">
        <f>'Description Sheet'!L105</f>
        <v>0</v>
      </c>
      <c r="O106" s="73">
        <f>'Year (2027-2028)'!O106*(('Description Sheet'!M4)+1)</f>
        <v>5040.3571744805713</v>
      </c>
      <c r="P106" s="69">
        <f>N106*O106</f>
        <v>0</v>
      </c>
      <c r="Q106" s="14"/>
      <c r="R106" s="44"/>
    </row>
    <row r="107" spans="1:18" ht="17">
      <c r="A107" s="14"/>
      <c r="B107" s="109">
        <f>'Description Sheet'!B106</f>
        <v>8.1999999999999993</v>
      </c>
      <c r="C107" s="164" t="str">
        <f>'Description Sheet'!C106</f>
        <v>Intercom Systems (Replacement Maintenance/Savings)</v>
      </c>
      <c r="D107" s="107"/>
      <c r="E107" s="153" t="str">
        <f>IF('Maintenance Schedule'!T130="x","x","")</f>
        <v>x</v>
      </c>
      <c r="F107" s="153" t="str">
        <f t="shared" ref="F107:F109" si="45">IF(E107="x","No","")</f>
        <v>No</v>
      </c>
      <c r="G107" s="154">
        <f t="shared" ref="G107:G109" si="46">IF(E107="x",1,0)</f>
        <v>1</v>
      </c>
      <c r="H107" s="155">
        <f t="shared" si="44"/>
        <v>7057.5283388340667</v>
      </c>
      <c r="I107" s="156">
        <f t="shared" ref="I107:I109" si="47">IF(E107="x",G107*H107,0)</f>
        <v>7057.5283388340667</v>
      </c>
      <c r="J107" s="14"/>
      <c r="K107" s="15"/>
      <c r="L107" s="32"/>
      <c r="M107" s="67" t="str">
        <f>'Description Sheet'!K106</f>
        <v>No</v>
      </c>
      <c r="N107" s="67">
        <f>'Description Sheet'!L106</f>
        <v>1</v>
      </c>
      <c r="O107" s="73">
        <f>'Year (2027-2028)'!O107*(('Description Sheet'!M4)+1)</f>
        <v>7057.5283388340667</v>
      </c>
      <c r="P107" s="69">
        <f t="shared" ref="P107:P109" si="48">N107*O107</f>
        <v>7057.5283388340667</v>
      </c>
      <c r="Q107" s="14"/>
      <c r="R107" s="44"/>
    </row>
    <row r="108" spans="1:18" ht="17" hidden="1">
      <c r="A108" s="14"/>
      <c r="B108" s="109">
        <f>'Description Sheet'!B107</f>
        <v>8.3000000000000007</v>
      </c>
      <c r="C108" s="164" t="str">
        <f>'Description Sheet'!C107</f>
        <v xml:space="preserve">Intercom System Replacement </v>
      </c>
      <c r="D108" s="107"/>
      <c r="E108" s="153" t="str">
        <f>IF('Maintenance Schedule'!T131="x","x","")</f>
        <v/>
      </c>
      <c r="F108" s="153" t="str">
        <f t="shared" si="45"/>
        <v/>
      </c>
      <c r="G108" s="154">
        <f t="shared" si="46"/>
        <v>0</v>
      </c>
      <c r="H108" s="155">
        <f t="shared" si="44"/>
        <v>0</v>
      </c>
      <c r="I108" s="156">
        <f t="shared" si="47"/>
        <v>0</v>
      </c>
      <c r="J108" s="14"/>
      <c r="K108" s="15"/>
      <c r="L108" s="32"/>
      <c r="M108" s="67" t="str">
        <f>'Description Sheet'!K107</f>
        <v>No</v>
      </c>
      <c r="N108" s="67">
        <f>'Description Sheet'!L107</f>
        <v>1</v>
      </c>
      <c r="O108" s="73">
        <f>'Year (2027-2028)'!O108*(('Description Sheet'!M4)+1)</f>
        <v>71980.619288739865</v>
      </c>
      <c r="P108" s="69">
        <f t="shared" si="48"/>
        <v>71980.619288739865</v>
      </c>
      <c r="Q108" s="14"/>
      <c r="R108" s="44"/>
    </row>
    <row r="109" spans="1:18" ht="17" hidden="1">
      <c r="A109" s="14"/>
      <c r="B109" s="109">
        <f>'Description Sheet'!B108</f>
        <v>8.4</v>
      </c>
      <c r="C109" s="164" t="str">
        <f>'Description Sheet'!C108</f>
        <v>blank</v>
      </c>
      <c r="D109" s="107"/>
      <c r="E109" s="153" t="str">
        <f>IF('Maintenance Schedule'!T132="x","x","")</f>
        <v/>
      </c>
      <c r="F109" s="153" t="str">
        <f t="shared" si="45"/>
        <v/>
      </c>
      <c r="G109" s="154">
        <f t="shared" si="46"/>
        <v>0</v>
      </c>
      <c r="H109" s="155">
        <f t="shared" si="44"/>
        <v>0</v>
      </c>
      <c r="I109" s="156">
        <f t="shared" si="47"/>
        <v>0</v>
      </c>
      <c r="J109" s="14"/>
      <c r="K109" s="15"/>
      <c r="L109" s="32"/>
      <c r="M109" s="67" t="str">
        <f>'Description Sheet'!K108</f>
        <v>No</v>
      </c>
      <c r="N109" s="67">
        <f>'Description Sheet'!L108</f>
        <v>0</v>
      </c>
      <c r="O109" s="73">
        <f>'Year (2027-2028)'!O109*(('Description Sheet'!M4)+1)</f>
        <v>0</v>
      </c>
      <c r="P109" s="69">
        <f t="shared" si="48"/>
        <v>0</v>
      </c>
      <c r="Q109" s="14"/>
      <c r="R109" s="44"/>
    </row>
    <row r="110" spans="1:18" ht="17" thickBot="1">
      <c r="A110" s="14"/>
      <c r="B110" s="109"/>
      <c r="C110" s="164"/>
      <c r="D110" s="107"/>
      <c r="E110" s="162"/>
      <c r="F110" s="154"/>
      <c r="G110" s="154"/>
      <c r="H110" s="155"/>
      <c r="I110" s="155"/>
      <c r="J110" s="14"/>
      <c r="K110" s="15"/>
      <c r="L110" s="32"/>
      <c r="M110" s="67"/>
      <c r="N110" s="67"/>
      <c r="O110" s="73"/>
      <c r="P110" s="68"/>
      <c r="Q110" s="14"/>
      <c r="R110" s="44"/>
    </row>
    <row r="111" spans="1:18" s="4" customFormat="1" ht="15.75" customHeight="1" thickBot="1">
      <c r="A111" s="14"/>
      <c r="B111" s="109"/>
      <c r="C111" s="158"/>
      <c r="D111" s="107"/>
      <c r="E111" s="159"/>
      <c r="F111" s="528" t="s">
        <v>7</v>
      </c>
      <c r="G111" s="529"/>
      <c r="H111" s="530">
        <f>SUM(I106:I110)</f>
        <v>7057.5283388340667</v>
      </c>
      <c r="I111" s="531"/>
      <c r="J111" s="14"/>
      <c r="K111" s="15"/>
      <c r="L111" s="33"/>
      <c r="M111" s="508" t="s">
        <v>7</v>
      </c>
      <c r="N111" s="509"/>
      <c r="O111" s="510">
        <f>SUM(P106:P110)</f>
        <v>79038.147627573926</v>
      </c>
      <c r="P111" s="511"/>
      <c r="Q111" s="14"/>
      <c r="R111" s="31"/>
    </row>
    <row r="112" spans="1:18" ht="17" hidden="1" thickBot="1">
      <c r="A112" s="14"/>
      <c r="B112" s="109">
        <f>'Description Sheet'!B111</f>
        <v>9</v>
      </c>
      <c r="C112" s="113" t="str">
        <f>'Description Sheet'!C111</f>
        <v>Parking Facilities</v>
      </c>
      <c r="D112" s="107"/>
      <c r="E112" s="110"/>
      <c r="F112" s="110"/>
      <c r="G112" s="110"/>
      <c r="H112" s="110"/>
      <c r="I112" s="151"/>
      <c r="J112" s="32"/>
      <c r="K112" s="40"/>
      <c r="L112" s="33"/>
      <c r="M112" s="24"/>
      <c r="N112" s="25"/>
      <c r="O112" s="25"/>
      <c r="P112" s="63"/>
      <c r="Q112" s="14"/>
      <c r="R112" s="44"/>
    </row>
    <row r="113" spans="1:18" ht="17" hidden="1">
      <c r="A113" s="14"/>
      <c r="B113" s="109">
        <f>'Description Sheet'!B112</f>
        <v>9.1</v>
      </c>
      <c r="C113" s="164" t="str">
        <f>'Description Sheet'!C112</f>
        <v>Painting of Demarcation Lines</v>
      </c>
      <c r="D113" s="107"/>
      <c r="E113" s="153" t="str">
        <f>IF('Maintenance Schedule'!T139="x","x","")</f>
        <v/>
      </c>
      <c r="F113" s="153" t="str">
        <f>IF(E113="x","No","")</f>
        <v/>
      </c>
      <c r="G113" s="154">
        <f>IF(E113="x",1,0)</f>
        <v>0</v>
      </c>
      <c r="H113" s="155">
        <f t="shared" ref="H113:H116" si="49">IF(E113="x",P113,0)</f>
        <v>0</v>
      </c>
      <c r="I113" s="156">
        <f>IF(E113="x",G113*H113,0)</f>
        <v>0</v>
      </c>
      <c r="J113" s="14"/>
      <c r="K113" s="15"/>
      <c r="L113" s="32"/>
      <c r="M113" s="67" t="str">
        <f>'Description Sheet'!K112</f>
        <v>lm</v>
      </c>
      <c r="N113" s="67">
        <f>'Description Sheet'!L112</f>
        <v>1</v>
      </c>
      <c r="O113" s="73">
        <f>'Year (2027-2028)'!O113*(('Description Sheet'!M4)+1)</f>
        <v>11139.857747066886</v>
      </c>
      <c r="P113" s="68">
        <f>N113*O113</f>
        <v>11139.857747066886</v>
      </c>
      <c r="Q113" s="14"/>
      <c r="R113" s="44"/>
    </row>
    <row r="114" spans="1:18" ht="17" hidden="1">
      <c r="A114" s="14"/>
      <c r="B114" s="109">
        <f>'Description Sheet'!B113</f>
        <v>9.1999999999999993</v>
      </c>
      <c r="C114" s="164" t="str">
        <f>'Description Sheet'!C113</f>
        <v>Shade Port Netting (Replacement and Maintanance)</v>
      </c>
      <c r="D114" s="107"/>
      <c r="E114" s="153" t="str">
        <f>IF('Maintenance Schedule'!T140="x","x","")</f>
        <v/>
      </c>
      <c r="F114" s="153" t="str">
        <f t="shared" ref="F114:F116" si="50">IF(E114="x","No","")</f>
        <v/>
      </c>
      <c r="G114" s="154">
        <f t="shared" ref="G114:G116" si="51">IF(E114="x",1,0)</f>
        <v>0</v>
      </c>
      <c r="H114" s="155">
        <f t="shared" si="49"/>
        <v>0</v>
      </c>
      <c r="I114" s="156">
        <f t="shared" ref="I114:I116" si="52">IF(E114="x",G114*H114,0)</f>
        <v>0</v>
      </c>
      <c r="J114" s="14"/>
      <c r="K114" s="15"/>
      <c r="L114" s="32"/>
      <c r="M114" s="67" t="str">
        <f>'Description Sheet'!K113</f>
        <v>No</v>
      </c>
      <c r="N114" s="67">
        <f>'Description Sheet'!L113</f>
        <v>0</v>
      </c>
      <c r="O114" s="73">
        <f>'Year (2027-2028)'!O114*(('Description Sheet'!M4)+1)</f>
        <v>13107.328007625772</v>
      </c>
      <c r="P114" s="68">
        <f t="shared" ref="P114:P116" si="53">N114*O114</f>
        <v>0</v>
      </c>
      <c r="Q114" s="14"/>
      <c r="R114" s="44"/>
    </row>
    <row r="115" spans="1:18" ht="17" hidden="1">
      <c r="A115" s="14"/>
      <c r="B115" s="109">
        <f>'Description Sheet'!B114</f>
        <v>9.3000000000000007</v>
      </c>
      <c r="C115" s="164" t="str">
        <f>'Description Sheet'!C114</f>
        <v>Garages (Maintanance)</v>
      </c>
      <c r="D115" s="107"/>
      <c r="E115" s="153" t="str">
        <f>IF('Maintenance Schedule'!T141="x","x","")</f>
        <v/>
      </c>
      <c r="F115" s="153" t="str">
        <f t="shared" si="50"/>
        <v/>
      </c>
      <c r="G115" s="154">
        <f t="shared" si="51"/>
        <v>0</v>
      </c>
      <c r="H115" s="155">
        <f t="shared" si="49"/>
        <v>0</v>
      </c>
      <c r="I115" s="156">
        <f t="shared" si="52"/>
        <v>0</v>
      </c>
      <c r="J115" s="14"/>
      <c r="K115" s="15"/>
      <c r="L115" s="32"/>
      <c r="M115" s="67" t="str">
        <f>'Description Sheet'!K114</f>
        <v>No</v>
      </c>
      <c r="N115" s="67">
        <f>'Description Sheet'!L114</f>
        <v>0</v>
      </c>
      <c r="O115" s="73">
        <f>'Year (2027-2028)'!O115*(('Description Sheet'!M4)+1)</f>
        <v>925.4651051409412</v>
      </c>
      <c r="P115" s="68">
        <f t="shared" si="53"/>
        <v>0</v>
      </c>
      <c r="Q115" s="14"/>
      <c r="R115" s="44"/>
    </row>
    <row r="116" spans="1:18" ht="17" hidden="1">
      <c r="A116" s="14"/>
      <c r="B116" s="109">
        <f>'Description Sheet'!B115</f>
        <v>9.4</v>
      </c>
      <c r="C116" s="164" t="str">
        <f>'Description Sheet'!C115</f>
        <v>Parking Facilities</v>
      </c>
      <c r="D116" s="107"/>
      <c r="E116" s="153" t="str">
        <f>IF('Maintenance Schedule'!T142="x","x","")</f>
        <v/>
      </c>
      <c r="F116" s="153" t="str">
        <f t="shared" si="50"/>
        <v/>
      </c>
      <c r="G116" s="154">
        <f t="shared" si="51"/>
        <v>0</v>
      </c>
      <c r="H116" s="155">
        <f t="shared" si="49"/>
        <v>0</v>
      </c>
      <c r="I116" s="156">
        <f t="shared" si="52"/>
        <v>0</v>
      </c>
      <c r="J116" s="14"/>
      <c r="K116" s="15"/>
      <c r="L116" s="32"/>
      <c r="M116" s="67" t="str">
        <f>'Description Sheet'!K115</f>
        <v>No</v>
      </c>
      <c r="N116" s="67">
        <f>'Description Sheet'!L115</f>
        <v>0</v>
      </c>
      <c r="O116" s="73">
        <f>'Year (2027-2028)'!O116*(('Description Sheet'!M4)+1)</f>
        <v>8329.1859462684697</v>
      </c>
      <c r="P116" s="68">
        <f t="shared" si="53"/>
        <v>0</v>
      </c>
      <c r="Q116" s="14"/>
      <c r="R116" s="44"/>
    </row>
    <row r="117" spans="1:18" ht="17" hidden="1" thickBot="1">
      <c r="A117" s="14"/>
      <c r="B117" s="109"/>
      <c r="C117" s="164"/>
      <c r="D117" s="107"/>
      <c r="E117" s="162"/>
      <c r="F117" s="154"/>
      <c r="G117" s="154"/>
      <c r="H117" s="155"/>
      <c r="I117" s="155"/>
      <c r="J117" s="14"/>
      <c r="K117" s="15"/>
      <c r="L117" s="32"/>
      <c r="M117" s="67"/>
      <c r="N117" s="67"/>
      <c r="O117" s="73"/>
      <c r="P117" s="68"/>
      <c r="Q117" s="14"/>
      <c r="R117" s="44"/>
    </row>
    <row r="118" spans="1:18" s="4" customFormat="1" ht="15.75" hidden="1" customHeight="1" thickBot="1">
      <c r="A118" s="14"/>
      <c r="B118" s="109"/>
      <c r="C118" s="158"/>
      <c r="D118" s="107"/>
      <c r="E118" s="159"/>
      <c r="F118" s="528" t="s">
        <v>7</v>
      </c>
      <c r="G118" s="529"/>
      <c r="H118" s="530">
        <f>SUM(I113:I117)</f>
        <v>0</v>
      </c>
      <c r="I118" s="531"/>
      <c r="J118" s="14"/>
      <c r="K118" s="15"/>
      <c r="L118" s="33"/>
      <c r="M118" s="508" t="s">
        <v>7</v>
      </c>
      <c r="N118" s="509"/>
      <c r="O118" s="510">
        <f>SUM(P113:P117)</f>
        <v>11139.857747066886</v>
      </c>
      <c r="P118" s="511"/>
      <c r="Q118" s="14"/>
      <c r="R118" s="31"/>
    </row>
    <row r="119" spans="1:18" ht="17" hidden="1" thickBot="1">
      <c r="A119" s="14"/>
      <c r="B119" s="109">
        <f>'Description Sheet'!B118</f>
        <v>10</v>
      </c>
      <c r="C119" s="113" t="str">
        <f>'Description Sheet'!C118</f>
        <v>Roadways and Paved Areas</v>
      </c>
      <c r="D119" s="107"/>
      <c r="E119" s="110"/>
      <c r="F119" s="110"/>
      <c r="G119" s="110"/>
      <c r="H119" s="110"/>
      <c r="I119" s="151"/>
      <c r="J119" s="32"/>
      <c r="K119" s="40"/>
      <c r="L119" s="33"/>
      <c r="M119" s="24"/>
      <c r="N119" s="25"/>
      <c r="O119" s="25"/>
      <c r="P119" s="63"/>
      <c r="Q119" s="14"/>
      <c r="R119" s="44"/>
    </row>
    <row r="120" spans="1:18" ht="17" hidden="1">
      <c r="A120" s="14"/>
      <c r="B120" s="109">
        <f>'Description Sheet'!B119</f>
        <v>10.1</v>
      </c>
      <c r="C120" s="114" t="str">
        <f>'Description Sheet'!C119</f>
        <v>Tarmac Areas (Reinstatement)</v>
      </c>
      <c r="D120" s="107"/>
      <c r="E120" s="153" t="str">
        <f>IF('Maintenance Schedule'!T149="x","x","")</f>
        <v/>
      </c>
      <c r="F120" s="153" t="str">
        <f>IF(E120="x","No","")</f>
        <v/>
      </c>
      <c r="G120" s="154">
        <f>IF(E120="x",1,0)</f>
        <v>0</v>
      </c>
      <c r="H120" s="155">
        <f t="shared" ref="H120" si="54">IF(E120="x",P120,0)</f>
        <v>0</v>
      </c>
      <c r="I120" s="156">
        <f>IF(E120="x",G120*H120,0)</f>
        <v>0</v>
      </c>
      <c r="J120" s="14"/>
      <c r="K120" s="15"/>
      <c r="L120" s="32"/>
      <c r="M120" s="67" t="str">
        <f>'Description Sheet'!K119</f>
        <v>No</v>
      </c>
      <c r="N120" s="67">
        <f>'Description Sheet'!L119</f>
        <v>0</v>
      </c>
      <c r="O120" s="73">
        <f>'Year (2027-2028)'!O120*(('Description Sheet'!M4)+1)</f>
        <v>8329.1859462684697</v>
      </c>
      <c r="P120" s="68">
        <f>N120*O120</f>
        <v>0</v>
      </c>
      <c r="Q120" s="14"/>
      <c r="R120" s="44"/>
    </row>
    <row r="121" spans="1:18" ht="17" hidden="1">
      <c r="A121" s="14"/>
      <c r="B121" s="109">
        <f>'Description Sheet'!B120</f>
        <v>10.199999999999999</v>
      </c>
      <c r="C121" s="114" t="str">
        <f>'Description Sheet'!C120</f>
        <v>Concrete Areas (Reinstatement)</v>
      </c>
      <c r="D121" s="107"/>
      <c r="E121" s="153" t="str">
        <f>IF('Maintenance Schedule'!T150="x","x","")</f>
        <v/>
      </c>
      <c r="F121" s="153" t="str">
        <f t="shared" ref="F121:F126" si="55">IF(E121="x","No","")</f>
        <v/>
      </c>
      <c r="G121" s="154">
        <f t="shared" ref="G121:G126" si="56">IF(E121="x",1,0)</f>
        <v>0</v>
      </c>
      <c r="H121" s="155">
        <f>IF(E121="x",P121,0)</f>
        <v>0</v>
      </c>
      <c r="I121" s="156">
        <f>IF(E121="x",G121*H121,0)</f>
        <v>0</v>
      </c>
      <c r="J121" s="14"/>
      <c r="K121" s="15"/>
      <c r="L121" s="32"/>
      <c r="M121" s="67" t="str">
        <f>'Description Sheet'!K120</f>
        <v>No</v>
      </c>
      <c r="N121" s="67">
        <f>'Description Sheet'!L120</f>
        <v>1</v>
      </c>
      <c r="O121" s="73">
        <f>'Year (2027-2028)'!O121*(('Description Sheet'!M4)+1)</f>
        <v>4032.6285044382125</v>
      </c>
      <c r="P121" s="68">
        <f>N121*O121</f>
        <v>4032.6285044382125</v>
      </c>
      <c r="Q121" s="14"/>
      <c r="R121" s="44"/>
    </row>
    <row r="122" spans="1:18" ht="17" hidden="1">
      <c r="A122" s="14"/>
      <c r="B122" s="109">
        <f>'Description Sheet'!B121</f>
        <v>10.3</v>
      </c>
      <c r="C122" s="114" t="str">
        <f>'Description Sheet'!C121</f>
        <v>Paving  Areas (Reinstatement)</v>
      </c>
      <c r="D122" s="107"/>
      <c r="E122" s="153" t="str">
        <f>IF('Maintenance Schedule'!T151="x","x","")</f>
        <v/>
      </c>
      <c r="F122" s="153" t="str">
        <f t="shared" si="55"/>
        <v/>
      </c>
      <c r="G122" s="154">
        <f t="shared" si="56"/>
        <v>0</v>
      </c>
      <c r="H122" s="155">
        <f>IF(E122="x",P122,0)</f>
        <v>0</v>
      </c>
      <c r="I122" s="156">
        <f>IF(E122="x",G122*H122,0)</f>
        <v>0</v>
      </c>
      <c r="J122" s="14"/>
      <c r="K122" s="15"/>
      <c r="L122" s="32"/>
      <c r="M122" s="67" t="str">
        <f>'Description Sheet'!K121</f>
        <v>No</v>
      </c>
      <c r="N122" s="67">
        <f>'Description Sheet'!L121</f>
        <v>1</v>
      </c>
      <c r="O122" s="73">
        <f>'Year (2027-2028)'!O122*(('Description Sheet'!M4)+1)</f>
        <v>4032.6285044382125</v>
      </c>
      <c r="P122" s="68">
        <f>N122*O122</f>
        <v>4032.6285044382125</v>
      </c>
      <c r="Q122" s="14"/>
      <c r="R122" s="44"/>
    </row>
    <row r="123" spans="1:18" ht="17" hidden="1">
      <c r="A123" s="14"/>
      <c r="B123" s="109">
        <f>'Description Sheet'!B122</f>
        <v>10.4</v>
      </c>
      <c r="C123" s="114" t="str">
        <f>'Description Sheet'!C122</f>
        <v>Reinstatement of Walkways (Grouting and Tiles)</v>
      </c>
      <c r="D123" s="107"/>
      <c r="E123" s="153" t="str">
        <f>IF('Maintenance Schedule'!T152="x","x","")</f>
        <v/>
      </c>
      <c r="F123" s="153" t="str">
        <f t="shared" si="55"/>
        <v/>
      </c>
      <c r="G123" s="154">
        <f t="shared" si="56"/>
        <v>0</v>
      </c>
      <c r="H123" s="155">
        <f>IF(E123="x",P123,0)</f>
        <v>0</v>
      </c>
      <c r="I123" s="156">
        <f>IF(E123="x",G123*H123,0)</f>
        <v>0</v>
      </c>
      <c r="J123" s="14"/>
      <c r="K123" s="15"/>
      <c r="L123" s="32"/>
      <c r="M123" s="67" t="str">
        <f>'Description Sheet'!K122</f>
        <v>No</v>
      </c>
      <c r="N123" s="67">
        <f>'Description Sheet'!L122</f>
        <v>1</v>
      </c>
      <c r="O123" s="73">
        <f>'Year (2027-2028)'!O123*(('Description Sheet'!M4)+1)</f>
        <v>4032.6285044382125</v>
      </c>
      <c r="P123" s="68">
        <f>N123*O123</f>
        <v>4032.6285044382125</v>
      </c>
      <c r="Q123" s="14"/>
      <c r="R123" s="44"/>
    </row>
    <row r="124" spans="1:18" ht="17" hidden="1">
      <c r="A124" s="14"/>
      <c r="B124" s="109">
        <f>'Description Sheet'!B123</f>
        <v>10.5</v>
      </c>
      <c r="C124" s="114" t="str">
        <f>'Description Sheet'!C123</f>
        <v>Tarmac Damaged Areas (Replacement)</v>
      </c>
      <c r="D124" s="107"/>
      <c r="E124" s="153" t="str">
        <f>IF('Maintenance Schedule'!T153="x","x","")</f>
        <v/>
      </c>
      <c r="F124" s="153" t="str">
        <f t="shared" si="55"/>
        <v/>
      </c>
      <c r="G124" s="154">
        <f t="shared" si="56"/>
        <v>0</v>
      </c>
      <c r="H124" s="155">
        <f t="shared" ref="H124:H126" si="57">IF(E124="x",P124,0)</f>
        <v>0</v>
      </c>
      <c r="I124" s="156">
        <f t="shared" ref="I124:I126" si="58">IF(E124="x",G124*H124,0)</f>
        <v>0</v>
      </c>
      <c r="J124" s="14"/>
      <c r="K124" s="15"/>
      <c r="L124" s="32"/>
      <c r="M124" s="67" t="str">
        <f>'Description Sheet'!K123</f>
        <v>No</v>
      </c>
      <c r="N124" s="67">
        <f>'Description Sheet'!L123</f>
        <v>0</v>
      </c>
      <c r="O124" s="73">
        <f>'Year (2027-2028)'!O124*(('Description Sheet'!M4)+1)</f>
        <v>0</v>
      </c>
      <c r="P124" s="68">
        <f t="shared" ref="P124:P126" si="59">N124*O124</f>
        <v>0</v>
      </c>
      <c r="Q124" s="14"/>
      <c r="R124" s="44"/>
    </row>
    <row r="125" spans="1:18" ht="17" hidden="1">
      <c r="A125" s="14"/>
      <c r="B125" s="109">
        <f>'Description Sheet'!B124</f>
        <v>10.6</v>
      </c>
      <c r="C125" s="114" t="str">
        <f>'Description Sheet'!C124</f>
        <v>blank</v>
      </c>
      <c r="D125" s="107"/>
      <c r="E125" s="153" t="str">
        <f>IF('Maintenance Schedule'!T154="x","x","")</f>
        <v/>
      </c>
      <c r="F125" s="153" t="str">
        <f t="shared" si="55"/>
        <v/>
      </c>
      <c r="G125" s="154">
        <f t="shared" si="56"/>
        <v>0</v>
      </c>
      <c r="H125" s="155">
        <f t="shared" si="57"/>
        <v>0</v>
      </c>
      <c r="I125" s="156">
        <f t="shared" si="58"/>
        <v>0</v>
      </c>
      <c r="J125" s="14"/>
      <c r="K125" s="15"/>
      <c r="L125" s="32"/>
      <c r="M125" s="67" t="str">
        <f>'Description Sheet'!K124</f>
        <v>No</v>
      </c>
      <c r="N125" s="67">
        <f>'Description Sheet'!L124</f>
        <v>0</v>
      </c>
      <c r="O125" s="73">
        <f>'Year (2027-2028)'!O125*(('Description Sheet'!M4)+1)</f>
        <v>0</v>
      </c>
      <c r="P125" s="68">
        <f t="shared" si="59"/>
        <v>0</v>
      </c>
      <c r="Q125" s="14"/>
      <c r="R125" s="44"/>
    </row>
    <row r="126" spans="1:18" ht="17" hidden="1">
      <c r="A126" s="14"/>
      <c r="B126" s="109">
        <f>'Description Sheet'!B125</f>
        <v>10.7</v>
      </c>
      <c r="C126" s="114" t="str">
        <f>'Description Sheet'!C125</f>
        <v>blank</v>
      </c>
      <c r="D126" s="107"/>
      <c r="E126" s="153" t="str">
        <f>IF('Maintenance Schedule'!T155="x","x","")</f>
        <v/>
      </c>
      <c r="F126" s="153" t="str">
        <f t="shared" si="55"/>
        <v/>
      </c>
      <c r="G126" s="154">
        <f t="shared" si="56"/>
        <v>0</v>
      </c>
      <c r="H126" s="155">
        <f t="shared" si="57"/>
        <v>0</v>
      </c>
      <c r="I126" s="156">
        <f t="shared" si="58"/>
        <v>0</v>
      </c>
      <c r="J126" s="14"/>
      <c r="K126" s="15"/>
      <c r="L126" s="32"/>
      <c r="M126" s="67" t="str">
        <f>'Description Sheet'!K125</f>
        <v>No</v>
      </c>
      <c r="N126" s="67">
        <f>'Description Sheet'!L125</f>
        <v>0</v>
      </c>
      <c r="O126" s="73">
        <f>'Year (2027-2028)'!O126*(('Description Sheet'!M4)+1)</f>
        <v>0</v>
      </c>
      <c r="P126" s="68">
        <f t="shared" si="59"/>
        <v>0</v>
      </c>
      <c r="Q126" s="14"/>
      <c r="R126" s="44"/>
    </row>
    <row r="127" spans="1:18" ht="17" hidden="1" thickBot="1">
      <c r="A127" s="14"/>
      <c r="B127" s="109"/>
      <c r="C127" s="164"/>
      <c r="D127" s="107"/>
      <c r="E127" s="162"/>
      <c r="F127" s="154"/>
      <c r="G127" s="154"/>
      <c r="H127" s="155"/>
      <c r="I127" s="155"/>
      <c r="J127" s="14"/>
      <c r="K127" s="15"/>
      <c r="L127" s="32"/>
      <c r="M127" s="67"/>
      <c r="N127" s="67"/>
      <c r="O127" s="73"/>
      <c r="P127" s="68"/>
      <c r="Q127" s="14"/>
      <c r="R127" s="44"/>
    </row>
    <row r="128" spans="1:18" s="4" customFormat="1" ht="15.75" hidden="1" customHeight="1" thickBot="1">
      <c r="A128" s="14"/>
      <c r="B128" s="109"/>
      <c r="C128" s="165"/>
      <c r="D128" s="107"/>
      <c r="E128" s="159"/>
      <c r="F128" s="528" t="s">
        <v>7</v>
      </c>
      <c r="G128" s="529"/>
      <c r="H128" s="530">
        <f>SUM(I120:I127)</f>
        <v>0</v>
      </c>
      <c r="I128" s="531"/>
      <c r="J128" s="14"/>
      <c r="K128" s="15"/>
      <c r="L128" s="33"/>
      <c r="M128" s="508" t="s">
        <v>7</v>
      </c>
      <c r="N128" s="509"/>
      <c r="O128" s="510">
        <f>SUM(P120:P127)</f>
        <v>12097.885513314637</v>
      </c>
      <c r="P128" s="511"/>
      <c r="Q128" s="14"/>
      <c r="R128" s="31"/>
    </row>
    <row r="129" spans="1:23" ht="17" thickBot="1">
      <c r="A129" s="14"/>
      <c r="B129" s="109">
        <f>'Description Sheet'!B128</f>
        <v>11</v>
      </c>
      <c r="C129" s="113" t="str">
        <f>'Description Sheet'!C128</f>
        <v>Security Systems and Facilities</v>
      </c>
      <c r="D129" s="107"/>
      <c r="E129" s="110"/>
      <c r="F129" s="110"/>
      <c r="G129" s="110"/>
      <c r="H129" s="110"/>
      <c r="I129" s="151"/>
      <c r="J129" s="32"/>
      <c r="K129" s="40"/>
      <c r="L129" s="33"/>
      <c r="M129" s="24"/>
      <c r="N129" s="25"/>
      <c r="O129" s="25"/>
      <c r="P129" s="63"/>
      <c r="Q129" s="14"/>
      <c r="R129" s="44"/>
    </row>
    <row r="130" spans="1:23" ht="17">
      <c r="A130" s="14"/>
      <c r="B130" s="109">
        <f>'Description Sheet'!B129</f>
        <v>11.1</v>
      </c>
      <c r="C130" s="164" t="str">
        <f>'Description Sheet'!C129</f>
        <v>Security Equipment (Replacement/Upgrade Savings)</v>
      </c>
      <c r="D130" s="107"/>
      <c r="E130" s="153" t="str">
        <f>IF('Maintenance Schedule'!T162="x","x","")</f>
        <v>x</v>
      </c>
      <c r="F130" s="153" t="str">
        <f>IF(E130="x","No","")</f>
        <v>No</v>
      </c>
      <c r="G130" s="154">
        <f>IF(E130="x",1,0)</f>
        <v>1</v>
      </c>
      <c r="H130" s="155">
        <f t="shared" ref="H130:H133" si="60">IF(E130="x",P130,0)</f>
        <v>11139.857747066886</v>
      </c>
      <c r="I130" s="156">
        <f>IF(E130="x",G130*H130,0)</f>
        <v>11139.857747066886</v>
      </c>
      <c r="J130" s="14"/>
      <c r="K130" s="15"/>
      <c r="L130" s="32"/>
      <c r="M130" s="67" t="str">
        <f>'Description Sheet'!K129</f>
        <v>No</v>
      </c>
      <c r="N130" s="67">
        <f>'Description Sheet'!L129</f>
        <v>1</v>
      </c>
      <c r="O130" s="73">
        <f>'Year (2027-2028)'!O130*(('Description Sheet'!M4)+1)</f>
        <v>11139.857747066886</v>
      </c>
      <c r="P130" s="68">
        <f>N130*O130</f>
        <v>11139.857747066886</v>
      </c>
      <c r="Q130" s="14"/>
      <c r="R130" s="44"/>
    </row>
    <row r="131" spans="1:23" ht="17" hidden="1">
      <c r="A131" s="14"/>
      <c r="B131" s="109">
        <f>'Description Sheet'!B130</f>
        <v>11.2</v>
      </c>
      <c r="C131" s="164" t="str">
        <f>'Description Sheet'!C130</f>
        <v>CCTV Installation</v>
      </c>
      <c r="D131" s="107"/>
      <c r="E131" s="153" t="str">
        <f>IF('Maintenance Schedule'!T163="x","x","")</f>
        <v/>
      </c>
      <c r="F131" s="153" t="str">
        <f t="shared" ref="F131:F133" si="61">IF(E131="x","No","")</f>
        <v/>
      </c>
      <c r="G131" s="154">
        <f t="shared" ref="G131:G133" si="62">IF(E131="x",1,0)</f>
        <v>0</v>
      </c>
      <c r="H131" s="155">
        <f t="shared" si="60"/>
        <v>0</v>
      </c>
      <c r="I131" s="156">
        <f t="shared" ref="I131:I133" si="63">IF(E131="x",G131*H131,0)</f>
        <v>0</v>
      </c>
      <c r="J131" s="14"/>
      <c r="K131" s="15"/>
      <c r="L131" s="32"/>
      <c r="M131" s="67" t="str">
        <f>'Description Sheet'!K130</f>
        <v>No</v>
      </c>
      <c r="N131" s="67">
        <f>'Description Sheet'!L130</f>
        <v>1</v>
      </c>
      <c r="O131" s="73">
        <f>'Year (2027-2028)'!O131*(('Description Sheet'!M4)+1)</f>
        <v>71980.619288739865</v>
      </c>
      <c r="P131" s="68">
        <f t="shared" ref="P131:P133" si="64">N131*O131</f>
        <v>71980.619288739865</v>
      </c>
      <c r="Q131" s="14"/>
      <c r="R131" s="44"/>
    </row>
    <row r="132" spans="1:23" ht="17" hidden="1">
      <c r="A132" s="14"/>
      <c r="B132" s="109">
        <f>'Description Sheet'!B131</f>
        <v>11.3</v>
      </c>
      <c r="C132" s="164" t="str">
        <f>'Description Sheet'!C131</f>
        <v>blank</v>
      </c>
      <c r="D132" s="107"/>
      <c r="E132" s="153" t="str">
        <f>IF('Maintenance Schedule'!T164="x","x","")</f>
        <v/>
      </c>
      <c r="F132" s="153" t="str">
        <f t="shared" si="61"/>
        <v/>
      </c>
      <c r="G132" s="154">
        <f t="shared" si="62"/>
        <v>0</v>
      </c>
      <c r="H132" s="155">
        <f t="shared" si="60"/>
        <v>0</v>
      </c>
      <c r="I132" s="156">
        <f t="shared" si="63"/>
        <v>0</v>
      </c>
      <c r="J132" s="14"/>
      <c r="K132" s="15"/>
      <c r="L132" s="32"/>
      <c r="M132" s="67" t="str">
        <f>'Description Sheet'!K131</f>
        <v>No</v>
      </c>
      <c r="N132" s="67">
        <f>'Description Sheet'!L131</f>
        <v>0</v>
      </c>
      <c r="O132" s="73">
        <f>'Year (2027-2028)'!O132*(('Description Sheet'!M4)+1)</f>
        <v>0</v>
      </c>
      <c r="P132" s="68">
        <f t="shared" si="64"/>
        <v>0</v>
      </c>
      <c r="Q132" s="14"/>
      <c r="R132" s="44"/>
    </row>
    <row r="133" spans="1:23" ht="17" hidden="1">
      <c r="A133" s="14"/>
      <c r="B133" s="109">
        <f>'Description Sheet'!B132</f>
        <v>11.4</v>
      </c>
      <c r="C133" s="164" t="str">
        <f>'Description Sheet'!C132</f>
        <v>blank</v>
      </c>
      <c r="D133" s="107"/>
      <c r="E133" s="153" t="str">
        <f>IF('Maintenance Schedule'!T165="x","x","")</f>
        <v/>
      </c>
      <c r="F133" s="153" t="str">
        <f t="shared" si="61"/>
        <v/>
      </c>
      <c r="G133" s="154">
        <f t="shared" si="62"/>
        <v>0</v>
      </c>
      <c r="H133" s="155">
        <f t="shared" si="60"/>
        <v>0</v>
      </c>
      <c r="I133" s="156">
        <f t="shared" si="63"/>
        <v>0</v>
      </c>
      <c r="J133" s="14"/>
      <c r="K133" s="15"/>
      <c r="L133" s="32"/>
      <c r="M133" s="67" t="str">
        <f>'Description Sheet'!K132</f>
        <v>No</v>
      </c>
      <c r="N133" s="67">
        <f>'Description Sheet'!L132</f>
        <v>0</v>
      </c>
      <c r="O133" s="73">
        <f>'Year (2027-2028)'!O133*(('Description Sheet'!M4)+1)</f>
        <v>0</v>
      </c>
      <c r="P133" s="68">
        <f t="shared" si="64"/>
        <v>0</v>
      </c>
      <c r="Q133" s="14"/>
      <c r="R133" s="44"/>
    </row>
    <row r="134" spans="1:23" ht="17" thickBot="1">
      <c r="A134" s="14"/>
      <c r="B134" s="109"/>
      <c r="C134" s="164"/>
      <c r="D134" s="107"/>
      <c r="E134" s="162"/>
      <c r="F134" s="154"/>
      <c r="G134" s="154"/>
      <c r="H134" s="155"/>
      <c r="I134" s="155"/>
      <c r="J134" s="14"/>
      <c r="K134" s="15"/>
      <c r="L134" s="32"/>
      <c r="M134" s="67"/>
      <c r="N134" s="67"/>
      <c r="O134" s="73"/>
      <c r="P134" s="68"/>
      <c r="Q134" s="14"/>
      <c r="R134" s="44"/>
    </row>
    <row r="135" spans="1:23" s="4" customFormat="1" ht="15.75" customHeight="1" thickBot="1">
      <c r="A135" s="14"/>
      <c r="B135" s="109"/>
      <c r="C135" s="158"/>
      <c r="D135" s="107"/>
      <c r="E135" s="159"/>
      <c r="F135" s="528" t="s">
        <v>7</v>
      </c>
      <c r="G135" s="529"/>
      <c r="H135" s="530">
        <f>SUM(I130:I134)</f>
        <v>11139.857747066886</v>
      </c>
      <c r="I135" s="531"/>
      <c r="J135" s="14"/>
      <c r="K135" s="15"/>
      <c r="L135" s="33"/>
      <c r="M135" s="508" t="s">
        <v>7</v>
      </c>
      <c r="N135" s="509"/>
      <c r="O135" s="510">
        <f>SUM(P130:P134)</f>
        <v>83120.477035806747</v>
      </c>
      <c r="P135" s="511"/>
      <c r="Q135" s="14"/>
      <c r="R135" s="31"/>
    </row>
    <row r="136" spans="1:23" ht="17" thickBot="1">
      <c r="A136" s="14"/>
      <c r="B136" s="109">
        <f>'Description Sheet'!B135</f>
        <v>12</v>
      </c>
      <c r="C136" s="113" t="str">
        <f>'Description Sheet'!C135</f>
        <v>Community and Recreational Facilities</v>
      </c>
      <c r="D136" s="107"/>
      <c r="E136" s="110"/>
      <c r="F136" s="110"/>
      <c r="G136" s="110"/>
      <c r="H136" s="110"/>
      <c r="I136" s="151"/>
      <c r="J136" s="32"/>
      <c r="K136" s="40"/>
      <c r="L136" s="33"/>
      <c r="M136" s="24"/>
      <c r="N136" s="25"/>
      <c r="O136" s="25"/>
      <c r="P136" s="63"/>
      <c r="Q136" s="14"/>
      <c r="R136" s="44"/>
    </row>
    <row r="137" spans="1:23">
      <c r="A137" s="14"/>
      <c r="B137" s="109">
        <f>'Description Sheet'!B136</f>
        <v>12.1</v>
      </c>
      <c r="C137" s="111" t="str">
        <f>'Description Sheet'!C136</f>
        <v>Fire Equipment and Signage (Replace)</v>
      </c>
      <c r="D137" s="107"/>
      <c r="E137" s="153" t="str">
        <f>IF('Maintenance Schedule'!T172="x","x","")</f>
        <v>x</v>
      </c>
      <c r="F137" s="153" t="str">
        <f>IF(E137="x","No","")</f>
        <v>No</v>
      </c>
      <c r="G137" s="154">
        <f>IF(E137="x",1,0)</f>
        <v>1</v>
      </c>
      <c r="H137" s="155">
        <f>IF(E137="x",P137,0)</f>
        <v>5141.4728063385619</v>
      </c>
      <c r="I137" s="156">
        <f>IF(E137="x",G137*H137,0)</f>
        <v>5141.4728063385619</v>
      </c>
      <c r="J137" s="14"/>
      <c r="K137" s="15"/>
      <c r="L137" s="32"/>
      <c r="M137" s="67" t="str">
        <f>'Description Sheet'!K136</f>
        <v>No</v>
      </c>
      <c r="N137" s="67">
        <f>'Description Sheet'!L136</f>
        <v>1</v>
      </c>
      <c r="O137" s="73">
        <f>'Year (2027-2028)'!O137*(('Description Sheet'!M4)+1)</f>
        <v>5141.4728063385619</v>
      </c>
      <c r="P137" s="68">
        <f>N137*O137</f>
        <v>5141.4728063385619</v>
      </c>
      <c r="Q137" s="14"/>
      <c r="R137" s="44"/>
      <c r="W137" s="1"/>
    </row>
    <row r="138" spans="1:23" hidden="1">
      <c r="A138" s="14"/>
      <c r="B138" s="109">
        <f>'Description Sheet'!B137</f>
        <v>12.2</v>
      </c>
      <c r="C138" s="111" t="str">
        <f>'Description Sheet'!C137</f>
        <v>Communal Areas (Pool, Gym Areas, ablutions etc Upgrade/Replacment of Fixtures &amp; Equipment)</v>
      </c>
      <c r="D138" s="107"/>
      <c r="E138" s="153" t="str">
        <f>IF('Maintenance Schedule'!T173="x","x","")</f>
        <v/>
      </c>
      <c r="F138" s="153" t="str">
        <f t="shared" ref="F138:F144" si="65">IF(E138="x","No","")</f>
        <v/>
      </c>
      <c r="G138" s="154">
        <f t="shared" ref="G138:G144" si="66">IF(E138="x",1,0)</f>
        <v>0</v>
      </c>
      <c r="H138" s="155">
        <f>IF(E138="x",P138,0)</f>
        <v>0</v>
      </c>
      <c r="I138" s="156">
        <f>IF(E138="x",G138*H138,0)</f>
        <v>0</v>
      </c>
      <c r="J138" s="14"/>
      <c r="K138" s="15"/>
      <c r="L138" s="32"/>
      <c r="M138" s="67" t="str">
        <f>'Description Sheet'!K137</f>
        <v>No</v>
      </c>
      <c r="N138" s="67">
        <f>'Description Sheet'!L137</f>
        <v>0</v>
      </c>
      <c r="O138" s="73">
        <f>'Year (2027-2028)'!O138*(('Description Sheet'!M4)+1)</f>
        <v>13107.328007625772</v>
      </c>
      <c r="P138" s="68">
        <f>N138*O138</f>
        <v>0</v>
      </c>
      <c r="Q138" s="14"/>
      <c r="R138" s="44"/>
    </row>
    <row r="139" spans="1:23" hidden="1">
      <c r="A139" s="14"/>
      <c r="B139" s="109">
        <f>'Description Sheet'!B138</f>
        <v>12.3</v>
      </c>
      <c r="C139" s="111" t="str">
        <f>'Description Sheet'!C138</f>
        <v>Laundry Room (Maintain/Replace)</v>
      </c>
      <c r="D139" s="107"/>
      <c r="E139" s="153" t="str">
        <f>IF('Maintenance Schedule'!T174="x","x","")</f>
        <v/>
      </c>
      <c r="F139" s="153" t="str">
        <f t="shared" si="65"/>
        <v/>
      </c>
      <c r="G139" s="154">
        <f t="shared" si="66"/>
        <v>0</v>
      </c>
      <c r="H139" s="155">
        <f>IF(E139="x",P139,0)</f>
        <v>0</v>
      </c>
      <c r="I139" s="156">
        <f>IF(E139="x",G139*H139,0)</f>
        <v>0</v>
      </c>
      <c r="J139" s="14"/>
      <c r="K139" s="15"/>
      <c r="L139" s="32"/>
      <c r="M139" s="67" t="str">
        <f>'Description Sheet'!K138</f>
        <v>lm</v>
      </c>
      <c r="N139" s="67">
        <f>'Description Sheet'!L138</f>
        <v>0</v>
      </c>
      <c r="O139" s="73">
        <f>'Year (2027-2028)'!O139*(('Description Sheet'!M4)+1)</f>
        <v>5040.3571744805713</v>
      </c>
      <c r="P139" s="68">
        <f>N139*O139</f>
        <v>0</v>
      </c>
      <c r="Q139" s="14"/>
      <c r="R139" s="44"/>
    </row>
    <row r="140" spans="1:23" hidden="1">
      <c r="A140" s="14"/>
      <c r="B140" s="109">
        <f>'Description Sheet'!B139</f>
        <v>12.4</v>
      </c>
      <c r="C140" s="111" t="str">
        <f>'Description Sheet'!C139</f>
        <v>Bin Room</v>
      </c>
      <c r="D140" s="107"/>
      <c r="E140" s="153" t="str">
        <f>IF('Maintenance Schedule'!T175="x","x","")</f>
        <v/>
      </c>
      <c r="F140" s="153" t="str">
        <f t="shared" si="65"/>
        <v/>
      </c>
      <c r="G140" s="154">
        <f t="shared" si="66"/>
        <v>0</v>
      </c>
      <c r="H140" s="155">
        <f>IF(E140="x",P140,0)</f>
        <v>0</v>
      </c>
      <c r="I140" s="156">
        <f>IF(E140="x",G140*H140,0)</f>
        <v>0</v>
      </c>
      <c r="J140" s="14"/>
      <c r="K140" s="15"/>
      <c r="L140" s="32"/>
      <c r="M140" s="67" t="str">
        <f>'Description Sheet'!K139</f>
        <v>No</v>
      </c>
      <c r="N140" s="67">
        <f>'Description Sheet'!L139</f>
        <v>0</v>
      </c>
      <c r="O140" s="73">
        <f>'Year (2027-2028)'!O140*(('Description Sheet'!M4)+1)</f>
        <v>6478.2557359865878</v>
      </c>
      <c r="P140" s="68">
        <f>N140*O140</f>
        <v>0</v>
      </c>
      <c r="Q140" s="14"/>
      <c r="R140" s="44"/>
    </row>
    <row r="141" spans="1:23" hidden="1">
      <c r="A141" s="14"/>
      <c r="B141" s="109">
        <f>'Description Sheet'!B140</f>
        <v>12.5</v>
      </c>
      <c r="C141" s="111" t="str">
        <f>'Description Sheet'!C140</f>
        <v>Pool Area (Re-Surfacing)</v>
      </c>
      <c r="D141" s="107"/>
      <c r="E141" s="153" t="str">
        <f>IF('Maintenance Schedule'!T176="x","x","")</f>
        <v/>
      </c>
      <c r="F141" s="153" t="str">
        <f t="shared" si="65"/>
        <v/>
      </c>
      <c r="G141" s="154">
        <f t="shared" si="66"/>
        <v>0</v>
      </c>
      <c r="H141" s="155">
        <f>IF(E141="x",P141,0)</f>
        <v>0</v>
      </c>
      <c r="I141" s="156">
        <f>IF(E141="x",G141*H141,0)</f>
        <v>0</v>
      </c>
      <c r="J141" s="14"/>
      <c r="K141" s="15"/>
      <c r="L141" s="32"/>
      <c r="M141" s="67" t="str">
        <f>'Description Sheet'!K140</f>
        <v>No</v>
      </c>
      <c r="N141" s="67">
        <f>'Description Sheet'!L140</f>
        <v>0</v>
      </c>
      <c r="O141" s="73">
        <f>'Year (2027-2028)'!O141*(('Description Sheet'!M4)+1)</f>
        <v>28929.353656998312</v>
      </c>
      <c r="P141" s="68">
        <f>N141*O141</f>
        <v>0</v>
      </c>
      <c r="Q141" s="14"/>
      <c r="R141" s="44"/>
    </row>
    <row r="142" spans="1:23" hidden="1">
      <c r="A142" s="14"/>
      <c r="B142" s="109">
        <f>'Description Sheet'!B141</f>
        <v>12.6</v>
      </c>
      <c r="C142" s="111" t="str">
        <f>'Description Sheet'!C141</f>
        <v>Pool Area (Maintenance/Repairs Savings)</v>
      </c>
      <c r="D142" s="107"/>
      <c r="E142" s="153" t="str">
        <f>IF('Maintenance Schedule'!T177="x","x","")</f>
        <v/>
      </c>
      <c r="F142" s="153" t="str">
        <f t="shared" si="65"/>
        <v/>
      </c>
      <c r="G142" s="154">
        <f t="shared" si="66"/>
        <v>0</v>
      </c>
      <c r="H142" s="155">
        <f t="shared" ref="H142:H144" si="67">IF(E142="x",P142,0)</f>
        <v>0</v>
      </c>
      <c r="I142" s="156">
        <f t="shared" ref="I142:I144" si="68">IF(E142="x",G142*H142,0)</f>
        <v>0</v>
      </c>
      <c r="J142" s="14"/>
      <c r="K142" s="15"/>
      <c r="L142" s="32"/>
      <c r="M142" s="67" t="str">
        <f>'Description Sheet'!K141</f>
        <v>No</v>
      </c>
      <c r="N142" s="67">
        <f>'Description Sheet'!L141</f>
        <v>0</v>
      </c>
      <c r="O142" s="73">
        <f>'Year (2027-2028)'!O142*(('Description Sheet'!M4)+1)</f>
        <v>6306.8733091086369</v>
      </c>
      <c r="P142" s="68">
        <f t="shared" ref="P142:P144" si="69">N142*O142</f>
        <v>0</v>
      </c>
      <c r="Q142" s="14"/>
      <c r="R142" s="44"/>
    </row>
    <row r="143" spans="1:23" hidden="1">
      <c r="A143" s="14"/>
      <c r="B143" s="109">
        <f>'Description Sheet'!B142</f>
        <v>12.7</v>
      </c>
      <c r="C143" s="111" t="str">
        <f>'Description Sheet'!C142</f>
        <v>blank</v>
      </c>
      <c r="D143" s="107"/>
      <c r="E143" s="153" t="str">
        <f>IF('Maintenance Schedule'!T178="x","x","")</f>
        <v/>
      </c>
      <c r="F143" s="153" t="str">
        <f t="shared" si="65"/>
        <v/>
      </c>
      <c r="G143" s="154">
        <f t="shared" si="66"/>
        <v>0</v>
      </c>
      <c r="H143" s="155">
        <f t="shared" si="67"/>
        <v>0</v>
      </c>
      <c r="I143" s="156">
        <f t="shared" si="68"/>
        <v>0</v>
      </c>
      <c r="J143" s="14"/>
      <c r="K143" s="15"/>
      <c r="L143" s="32"/>
      <c r="M143" s="67" t="str">
        <f>'Description Sheet'!K142</f>
        <v>No</v>
      </c>
      <c r="N143" s="67">
        <f>'Description Sheet'!L142</f>
        <v>0</v>
      </c>
      <c r="O143" s="73">
        <f>'Year (2027-2028)'!O143*(('Description Sheet'!M4)+1)</f>
        <v>0</v>
      </c>
      <c r="P143" s="68">
        <f t="shared" si="69"/>
        <v>0</v>
      </c>
      <c r="Q143" s="14"/>
      <c r="R143" s="44"/>
    </row>
    <row r="144" spans="1:23" hidden="1">
      <c r="A144" s="14"/>
      <c r="B144" s="109">
        <f>'Description Sheet'!B143</f>
        <v>12.8</v>
      </c>
      <c r="C144" s="111" t="str">
        <f>'Description Sheet'!C143</f>
        <v>blank</v>
      </c>
      <c r="D144" s="107"/>
      <c r="E144" s="153" t="str">
        <f>IF('Maintenance Schedule'!T179="x","x","")</f>
        <v/>
      </c>
      <c r="F144" s="153" t="str">
        <f t="shared" si="65"/>
        <v/>
      </c>
      <c r="G144" s="154">
        <f t="shared" si="66"/>
        <v>0</v>
      </c>
      <c r="H144" s="155">
        <f t="shared" si="67"/>
        <v>0</v>
      </c>
      <c r="I144" s="156">
        <f t="shared" si="68"/>
        <v>0</v>
      </c>
      <c r="J144" s="14"/>
      <c r="K144" s="15"/>
      <c r="L144" s="32"/>
      <c r="M144" s="67" t="str">
        <f>'Description Sheet'!K143</f>
        <v>No</v>
      </c>
      <c r="N144" s="67">
        <f>'Description Sheet'!L143</f>
        <v>0</v>
      </c>
      <c r="O144" s="73">
        <f>'Year (2027-2028)'!O144*(('Description Sheet'!M4)+1)</f>
        <v>0</v>
      </c>
      <c r="P144" s="68">
        <f t="shared" si="69"/>
        <v>0</v>
      </c>
      <c r="Q144" s="14"/>
      <c r="R144" s="44"/>
    </row>
    <row r="145" spans="1:72" ht="17" thickBot="1">
      <c r="A145" s="14"/>
      <c r="B145" s="105"/>
      <c r="C145" s="111"/>
      <c r="D145" s="107"/>
      <c r="E145" s="153"/>
      <c r="F145" s="153" t="str">
        <f>IF(E145="x",M145,"")</f>
        <v/>
      </c>
      <c r="G145" s="154"/>
      <c r="H145" s="155"/>
      <c r="I145" s="166"/>
      <c r="J145" s="14"/>
      <c r="K145" s="15"/>
      <c r="L145" s="32"/>
      <c r="M145" s="67"/>
      <c r="N145" s="78"/>
      <c r="O145" s="77"/>
      <c r="P145" s="79"/>
      <c r="Q145" s="14"/>
      <c r="R145" s="44"/>
    </row>
    <row r="146" spans="1:72" s="4" customFormat="1" ht="15.75" customHeight="1" thickBot="1">
      <c r="A146" s="14"/>
      <c r="B146" s="105"/>
      <c r="C146" s="115"/>
      <c r="D146" s="107"/>
      <c r="E146" s="163"/>
      <c r="F146" s="528" t="s">
        <v>7</v>
      </c>
      <c r="G146" s="529"/>
      <c r="H146" s="530">
        <f>SUM(I137:I144)</f>
        <v>5141.4728063385619</v>
      </c>
      <c r="I146" s="531"/>
      <c r="J146" s="14"/>
      <c r="K146" s="15"/>
      <c r="L146" s="33"/>
      <c r="M146" s="508" t="s">
        <v>7</v>
      </c>
      <c r="N146" s="509"/>
      <c r="O146" s="510">
        <f>SUM(P137:P144)</f>
        <v>5141.4728063385619</v>
      </c>
      <c r="P146" s="511"/>
      <c r="Q146" s="14"/>
      <c r="R146" s="31"/>
    </row>
    <row r="147" spans="1:72" ht="7.5" customHeight="1" thickBot="1">
      <c r="A147" s="14" t="s">
        <v>57</v>
      </c>
      <c r="B147" s="105"/>
      <c r="C147" s="196"/>
      <c r="D147" s="197"/>
      <c r="E147" s="197"/>
      <c r="F147" s="197"/>
      <c r="G147" s="197"/>
      <c r="H147" s="197"/>
      <c r="I147" s="197"/>
      <c r="J147" s="197"/>
      <c r="K147" s="198"/>
      <c r="L147" s="199"/>
      <c r="M147" s="199"/>
      <c r="N147" s="199"/>
      <c r="O147" s="197"/>
      <c r="P147" s="200"/>
      <c r="Q147" s="14"/>
      <c r="R147" s="44"/>
    </row>
    <row r="148" spans="1:72" ht="17" thickBot="1">
      <c r="A148" s="14" t="s">
        <v>57</v>
      </c>
      <c r="B148" s="116"/>
      <c r="C148" s="167" t="s">
        <v>9</v>
      </c>
      <c r="D148" s="168"/>
      <c r="E148" s="553" t="s">
        <v>7</v>
      </c>
      <c r="F148" s="554"/>
      <c r="G148" s="555"/>
      <c r="H148" s="530">
        <f>H16+H26+H34+H41+H48+H68+H93+H111+H118+H128+H135++H146+H104</f>
        <v>90402.516353850922</v>
      </c>
      <c r="I148" s="531"/>
      <c r="J148" s="14"/>
      <c r="K148" s="35"/>
      <c r="L148" s="34"/>
      <c r="M148" s="87"/>
      <c r="N148" s="87"/>
      <c r="O148" s="87"/>
      <c r="P148" s="88"/>
      <c r="Q148" s="14"/>
      <c r="R148" s="44"/>
    </row>
    <row r="149" spans="1:72" ht="17.25" customHeight="1">
      <c r="A149" s="14"/>
      <c r="B149" s="478" t="str">
        <f>'Description Sheet'!B148</f>
        <v>Please Note: The above figures are estimates only based on our experience, measures taken and current rates.  An 8% escalation has been allowed for per anum .  This pricing includes 15% VAT.  Some rates have furthermore been adjusted to try and accommodate P&amp;G's.  An allowance for THC to undertake an annual inspection in order to update the maintenance plan and budget should be allowed for.</v>
      </c>
      <c r="C149" s="479"/>
      <c r="D149" s="479"/>
      <c r="E149" s="479"/>
      <c r="F149" s="479"/>
      <c r="G149" s="479"/>
      <c r="H149" s="479"/>
      <c r="I149" s="480"/>
      <c r="J149" s="14"/>
      <c r="K149" s="40"/>
      <c r="L149" s="14"/>
      <c r="M149" s="89"/>
      <c r="N149" s="89"/>
      <c r="O149" s="89"/>
      <c r="P149" s="89"/>
      <c r="Q149" s="14"/>
      <c r="R149" s="89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</row>
    <row r="150" spans="1:72">
      <c r="A150" s="14"/>
      <c r="B150" s="534"/>
      <c r="C150" s="535"/>
      <c r="D150" s="535"/>
      <c r="E150" s="535"/>
      <c r="F150" s="535"/>
      <c r="G150" s="535"/>
      <c r="H150" s="535"/>
      <c r="I150" s="536"/>
      <c r="J150" s="14"/>
      <c r="K150" s="40"/>
      <c r="L150" s="14"/>
      <c r="M150" s="89"/>
      <c r="N150" s="89"/>
      <c r="O150" s="89"/>
      <c r="P150" s="89"/>
      <c r="Q150" s="14"/>
      <c r="R150" s="89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</row>
    <row r="151" spans="1:72" ht="25.5" customHeight="1">
      <c r="A151" s="14"/>
      <c r="B151" s="534"/>
      <c r="C151" s="535"/>
      <c r="D151" s="535"/>
      <c r="E151" s="535"/>
      <c r="F151" s="535"/>
      <c r="G151" s="535"/>
      <c r="H151" s="535"/>
      <c r="I151" s="536"/>
      <c r="J151" s="14"/>
      <c r="K151" s="31"/>
      <c r="L151" s="14"/>
      <c r="M151" s="44"/>
      <c r="N151" s="44"/>
      <c r="O151" s="44"/>
      <c r="P151" s="44"/>
      <c r="Q151" s="14"/>
      <c r="R151" s="44"/>
    </row>
    <row r="152" spans="1:72">
      <c r="A152" s="44"/>
      <c r="B152" s="172"/>
      <c r="C152" s="117"/>
      <c r="D152" s="117"/>
      <c r="E152" s="139"/>
      <c r="F152" s="117"/>
      <c r="G152" s="117"/>
      <c r="H152" s="117"/>
      <c r="I152" s="117"/>
      <c r="J152" s="44"/>
      <c r="K152" s="31"/>
      <c r="L152" s="44"/>
      <c r="M152" s="44"/>
      <c r="N152" s="44"/>
      <c r="O152" s="44"/>
      <c r="P152" s="44"/>
      <c r="Q152" s="44"/>
      <c r="R152" s="44"/>
    </row>
  </sheetData>
  <sheetProtection algorithmName="SHA-512" hashValue="uC93aniG2md+5i4AHa0OJO+4qb9WoIfoZJX3ijG1NHruGsDz188KJALzRc/lhqL9+YBDqkWeXxLZkklSGGLlFQ==" saltValue="+/GgWiqxCiD9AWZAkiDvnQ==" spinCount="100000" sheet="1" objects="1" scenarios="1"/>
  <mergeCells count="60">
    <mergeCell ref="F26:G26"/>
    <mergeCell ref="H26:I26"/>
    <mergeCell ref="B2:F3"/>
    <mergeCell ref="B4:I4"/>
    <mergeCell ref="E5:I5"/>
    <mergeCell ref="F16:G16"/>
    <mergeCell ref="H16:I16"/>
    <mergeCell ref="M26:N26"/>
    <mergeCell ref="O26:P26"/>
    <mergeCell ref="M2:P3"/>
    <mergeCell ref="M7:P7"/>
    <mergeCell ref="M16:N16"/>
    <mergeCell ref="O16:P16"/>
    <mergeCell ref="F104:G104"/>
    <mergeCell ref="H104:I104"/>
    <mergeCell ref="M104:N104"/>
    <mergeCell ref="O104:P104"/>
    <mergeCell ref="F93:G93"/>
    <mergeCell ref="H93:I93"/>
    <mergeCell ref="M93:N93"/>
    <mergeCell ref="O93:P93"/>
    <mergeCell ref="F34:G34"/>
    <mergeCell ref="H34:I34"/>
    <mergeCell ref="M34:N34"/>
    <mergeCell ref="O34:P34"/>
    <mergeCell ref="F41:G41"/>
    <mergeCell ref="H41:I41"/>
    <mergeCell ref="M41:N41"/>
    <mergeCell ref="O41:P41"/>
    <mergeCell ref="F48:G48"/>
    <mergeCell ref="H48:I48"/>
    <mergeCell ref="M48:N48"/>
    <mergeCell ref="O48:P48"/>
    <mergeCell ref="F68:G68"/>
    <mergeCell ref="H68:I68"/>
    <mergeCell ref="M68:N68"/>
    <mergeCell ref="O68:P68"/>
    <mergeCell ref="F111:G111"/>
    <mergeCell ref="H111:I111"/>
    <mergeCell ref="M111:N111"/>
    <mergeCell ref="O111:P111"/>
    <mergeCell ref="F118:G118"/>
    <mergeCell ref="H118:I118"/>
    <mergeCell ref="M118:N118"/>
    <mergeCell ref="O118:P118"/>
    <mergeCell ref="M146:N146"/>
    <mergeCell ref="O146:P146"/>
    <mergeCell ref="F128:G128"/>
    <mergeCell ref="H128:I128"/>
    <mergeCell ref="M128:N128"/>
    <mergeCell ref="O128:P128"/>
    <mergeCell ref="F135:G135"/>
    <mergeCell ref="H135:I135"/>
    <mergeCell ref="M135:N135"/>
    <mergeCell ref="O135:P135"/>
    <mergeCell ref="E148:G148"/>
    <mergeCell ref="H148:I148"/>
    <mergeCell ref="B149:I151"/>
    <mergeCell ref="F146:G146"/>
    <mergeCell ref="H146:I146"/>
  </mergeCells>
  <conditionalFormatting sqref="E18:E24 E9:E15">
    <cfRule type="expression" priority="1">
      <formula>$H$9:$H$10&gt;x</formula>
    </cfRule>
    <cfRule type="expression" priority="2">
      <formula>$H$9&lt;x</formula>
    </cfRule>
  </conditionalFormatting>
  <pageMargins left="0.70866141732283472" right="0.70866141732283472" top="0.74803149606299213" bottom="0.74803149606299213" header="0.31496062992125984" footer="0.31496062992125984"/>
  <pageSetup scale="69" orientation="portrait" horizontalDpi="429496729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pageSetUpPr fitToPage="1"/>
  </sheetPr>
  <dimension ref="A1:BT152"/>
  <sheetViews>
    <sheetView view="pageBreakPreview" zoomScale="70" zoomScaleNormal="70" zoomScaleSheetLayoutView="70" workbookViewId="0">
      <pane xSplit="16" ySplit="6" topLeftCell="Q7" activePane="bottomRight" state="frozen"/>
      <selection pane="topRight"/>
      <selection pane="bottomLeft"/>
      <selection pane="bottomRight" activeCell="E1" sqref="E1:E1048576"/>
    </sheetView>
  </sheetViews>
  <sheetFormatPr baseColWidth="10" defaultColWidth="8.83203125" defaultRowHeight="16"/>
  <cols>
    <col min="1" max="1" width="2.33203125" customWidth="1"/>
    <col min="2" max="2" width="6.5" style="173" hidden="1" customWidth="1"/>
    <col min="3" max="3" width="62.5" style="169" customWidth="1"/>
    <col min="4" max="4" width="1.5" style="169" customWidth="1"/>
    <col min="5" max="5" width="12.83203125" style="170" hidden="1" customWidth="1"/>
    <col min="6" max="6" width="6.5" style="169" customWidth="1"/>
    <col min="7" max="7" width="11.33203125" style="169" customWidth="1"/>
    <col min="8" max="8" width="17.5" style="169" bestFit="1" customWidth="1"/>
    <col min="9" max="9" width="17.5" style="169" customWidth="1"/>
    <col min="10" max="10" width="2.33203125" customWidth="1"/>
    <col min="11" max="11" width="11" style="4" hidden="1" customWidth="1"/>
    <col min="12" max="12" width="20.1640625" hidden="1" customWidth="1"/>
    <col min="13" max="13" width="48.33203125" hidden="1" customWidth="1"/>
    <col min="14" max="14" width="13" hidden="1" customWidth="1"/>
    <col min="15" max="15" width="13.5" hidden="1" customWidth="1"/>
    <col min="16" max="16" width="15.33203125" hidden="1" customWidth="1"/>
    <col min="17" max="17" width="10" hidden="1" customWidth="1"/>
    <col min="18" max="18" width="9.1640625" customWidth="1"/>
    <col min="19" max="19" width="13.5" bestFit="1" customWidth="1"/>
  </cols>
  <sheetData>
    <row r="1" spans="1:18" ht="17" thickBot="1">
      <c r="A1" s="30"/>
      <c r="B1" s="171"/>
      <c r="C1" s="117"/>
      <c r="D1" s="118"/>
      <c r="E1" s="139"/>
      <c r="F1" s="117"/>
      <c r="G1" s="117"/>
      <c r="H1" s="117"/>
      <c r="I1" s="117"/>
      <c r="J1" s="30"/>
      <c r="K1" s="41"/>
      <c r="L1" s="30"/>
      <c r="M1" s="30"/>
      <c r="N1" s="44"/>
      <c r="O1" s="44"/>
      <c r="P1" s="44"/>
      <c r="Q1" s="30"/>
      <c r="R1" s="44"/>
    </row>
    <row r="2" spans="1:18" ht="15" customHeight="1">
      <c r="A2" s="34"/>
      <c r="B2" s="543" t="str">
        <f>'Maintenance Schedule'!D1</f>
        <v>KNIGHTSBRIDGE - DESK REVIEW MAINTENANCE SCHEDULE (2021)</v>
      </c>
      <c r="C2" s="544"/>
      <c r="D2" s="544"/>
      <c r="E2" s="544"/>
      <c r="F2" s="545"/>
      <c r="G2" s="140"/>
      <c r="H2" s="140"/>
      <c r="I2" s="140"/>
      <c r="J2" s="14"/>
      <c r="K2" s="15"/>
      <c r="L2" s="33"/>
      <c r="M2" s="537" t="s">
        <v>22</v>
      </c>
      <c r="N2" s="538"/>
      <c r="O2" s="538"/>
      <c r="P2" s="539"/>
      <c r="Q2" s="34"/>
      <c r="R2" s="44"/>
    </row>
    <row r="3" spans="1:18" ht="37.5" customHeight="1" thickBot="1">
      <c r="A3" s="38"/>
      <c r="B3" s="546"/>
      <c r="C3" s="547"/>
      <c r="D3" s="547"/>
      <c r="E3" s="547"/>
      <c r="F3" s="548"/>
      <c r="G3" s="141"/>
      <c r="H3" s="141"/>
      <c r="I3" s="141"/>
      <c r="J3" s="14"/>
      <c r="K3" s="15"/>
      <c r="L3" s="33"/>
      <c r="M3" s="540"/>
      <c r="N3" s="541"/>
      <c r="O3" s="541"/>
      <c r="P3" s="542"/>
      <c r="Q3" s="14"/>
      <c r="R3" s="44"/>
    </row>
    <row r="4" spans="1:18" ht="32.25" customHeight="1" thickBot="1">
      <c r="A4" s="14"/>
      <c r="B4" s="460" t="s">
        <v>1</v>
      </c>
      <c r="C4" s="461"/>
      <c r="D4" s="461"/>
      <c r="E4" s="461"/>
      <c r="F4" s="461"/>
      <c r="G4" s="461"/>
      <c r="H4" s="461"/>
      <c r="I4" s="549"/>
      <c r="J4" s="14"/>
      <c r="K4" s="40"/>
      <c r="L4" s="33"/>
      <c r="M4" s="51" t="s">
        <v>26</v>
      </c>
      <c r="N4" s="51"/>
      <c r="O4" s="51"/>
      <c r="P4" s="52"/>
      <c r="Q4" s="14"/>
      <c r="R4" s="44"/>
    </row>
    <row r="5" spans="1:18" ht="19" thickBot="1">
      <c r="A5" s="14"/>
      <c r="B5" s="105"/>
      <c r="C5" s="106" t="str">
        <f>'Maintenance Schedule'!E4</f>
        <v>WORK DUE IN FINANCIAL YEAR</v>
      </c>
      <c r="D5" s="107"/>
      <c r="E5" s="550" t="str">
        <f>'Maintenance Schedule'!V4</f>
        <v>2029/2030</v>
      </c>
      <c r="F5" s="551"/>
      <c r="G5" s="551"/>
      <c r="H5" s="551"/>
      <c r="I5" s="552"/>
      <c r="J5" s="14"/>
      <c r="K5" s="40"/>
      <c r="L5" s="33"/>
      <c r="M5" s="53"/>
      <c r="N5" s="53"/>
      <c r="O5" s="53"/>
      <c r="P5" s="54"/>
      <c r="Q5" s="14"/>
      <c r="R5" s="44"/>
    </row>
    <row r="6" spans="1:18" ht="18" thickBot="1">
      <c r="A6" s="14"/>
      <c r="B6" s="108" t="s">
        <v>19</v>
      </c>
      <c r="C6" s="142" t="s">
        <v>0</v>
      </c>
      <c r="D6" s="107"/>
      <c r="E6" s="143" t="s">
        <v>23</v>
      </c>
      <c r="F6" s="144" t="s">
        <v>2</v>
      </c>
      <c r="G6" s="145" t="s">
        <v>3</v>
      </c>
      <c r="H6" s="144" t="s">
        <v>4</v>
      </c>
      <c r="I6" s="144" t="s">
        <v>5</v>
      </c>
      <c r="J6" s="32"/>
      <c r="K6" s="40"/>
      <c r="L6" s="33"/>
      <c r="M6" s="59" t="s">
        <v>2</v>
      </c>
      <c r="N6" s="59" t="s">
        <v>3</v>
      </c>
      <c r="O6" s="59" t="s">
        <v>4</v>
      </c>
      <c r="P6" s="59" t="s">
        <v>5</v>
      </c>
      <c r="Q6" s="14"/>
      <c r="R6" s="44"/>
    </row>
    <row r="7" spans="1:18" ht="8.25" hidden="1" customHeight="1" thickBot="1">
      <c r="A7" s="14"/>
      <c r="B7" s="109"/>
      <c r="C7" s="146"/>
      <c r="D7" s="147"/>
      <c r="E7" s="148"/>
      <c r="F7" s="148"/>
      <c r="G7" s="148"/>
      <c r="H7" s="148"/>
      <c r="I7" s="149"/>
      <c r="J7" s="60"/>
      <c r="K7" s="84"/>
      <c r="L7" s="60"/>
      <c r="M7" s="505"/>
      <c r="N7" s="506"/>
      <c r="O7" s="506"/>
      <c r="P7" s="507"/>
      <c r="Q7" s="14"/>
      <c r="R7" s="44"/>
    </row>
    <row r="8" spans="1:18" ht="17" thickBot="1">
      <c r="A8" s="14"/>
      <c r="B8" s="108">
        <f>'Description Sheet'!B7</f>
        <v>1</v>
      </c>
      <c r="C8" s="150" t="str">
        <f>'Description Sheet'!C7</f>
        <v>Electrical Areas</v>
      </c>
      <c r="D8" s="107"/>
      <c r="E8" s="110"/>
      <c r="F8" s="110"/>
      <c r="G8" s="110"/>
      <c r="H8" s="110"/>
      <c r="I8" s="151"/>
      <c r="J8" s="32"/>
      <c r="K8" s="40"/>
      <c r="L8" s="33"/>
      <c r="M8" s="24"/>
      <c r="N8" s="25"/>
      <c r="O8" s="25"/>
      <c r="P8" s="63"/>
      <c r="Q8" s="14"/>
      <c r="R8" s="44"/>
    </row>
    <row r="9" spans="1:18">
      <c r="A9" s="14"/>
      <c r="B9" s="109">
        <f>'Description Sheet'!B8</f>
        <v>1.1000000000000001</v>
      </c>
      <c r="C9" s="152" t="str">
        <f>'Description Sheet'!C8</f>
        <v>General Electrics and Lighting (Replacement/Repairs)</v>
      </c>
      <c r="D9" s="107"/>
      <c r="E9" s="153" t="str">
        <f>IF('Maintenance Schedule'!V8="x","x","")</f>
        <v>x</v>
      </c>
      <c r="F9" s="153" t="str">
        <f>IF(E9="x","No","")</f>
        <v>No</v>
      </c>
      <c r="G9" s="154">
        <f>IF(E9="x",1,0)</f>
        <v>1</v>
      </c>
      <c r="H9" s="155">
        <f>IF(E9="x",P9,0)</f>
        <v>8329.1859462684697</v>
      </c>
      <c r="I9" s="156">
        <f>IF(E9="x",G9*H9,0)</f>
        <v>8329.1859462684697</v>
      </c>
      <c r="J9" s="14"/>
      <c r="K9" s="85"/>
      <c r="L9" s="32"/>
      <c r="M9" s="66" t="str">
        <f>'Description Sheet'!K8</f>
        <v>No</v>
      </c>
      <c r="N9" s="67">
        <f>'Description Sheet'!L8</f>
        <v>1</v>
      </c>
      <c r="O9" s="68">
        <f>'Year (2028-2029)'!O9*(('Description Sheet'!M4)+1)</f>
        <v>8329.1859462684697</v>
      </c>
      <c r="P9" s="69">
        <f>N9*O9</f>
        <v>8329.1859462684697</v>
      </c>
      <c r="Q9" s="14"/>
      <c r="R9" s="44"/>
    </row>
    <row r="10" spans="1:18" hidden="1">
      <c r="A10" s="14"/>
      <c r="B10" s="109">
        <f>'Description Sheet'!B9</f>
        <v>1.2</v>
      </c>
      <c r="C10" s="152" t="str">
        <f>'Description Sheet'!C9</f>
        <v>Generators (Maintenance Savings)</v>
      </c>
      <c r="D10" s="107"/>
      <c r="E10" s="153" t="str">
        <f>IF('Maintenance Schedule'!V9="x","x","")</f>
        <v/>
      </c>
      <c r="F10" s="153" t="str">
        <f t="shared" ref="F10:F14" si="0">IF(E10="x","No","")</f>
        <v/>
      </c>
      <c r="G10" s="154">
        <f t="shared" ref="G10:G14" si="1">IF(E10="x",1,0)</f>
        <v>0</v>
      </c>
      <c r="H10" s="155">
        <f>IF(E10="x",P10,0)</f>
        <v>0</v>
      </c>
      <c r="I10" s="156">
        <f>IF(E10="x",G10*H10,0)</f>
        <v>0</v>
      </c>
      <c r="J10" s="14"/>
      <c r="K10" s="85"/>
      <c r="L10" s="32"/>
      <c r="M10" s="66" t="str">
        <f>'Description Sheet'!K9</f>
        <v>No</v>
      </c>
      <c r="N10" s="67">
        <f>'Description Sheet'!L9</f>
        <v>0</v>
      </c>
      <c r="O10" s="68">
        <f>'Year (2028-2029)'!O10*(('Description Sheet'!M4)+1)</f>
        <v>8710.4775695865392</v>
      </c>
      <c r="P10" s="69">
        <f>N10*O10</f>
        <v>0</v>
      </c>
      <c r="Q10" s="14"/>
      <c r="R10" s="44"/>
    </row>
    <row r="11" spans="1:18">
      <c r="A11" s="14"/>
      <c r="B11" s="109">
        <f>'Description Sheet'!B10</f>
        <v>1.3</v>
      </c>
      <c r="C11" s="152" t="str">
        <f>'Description Sheet'!C10</f>
        <v>Main Gate &amp; Motor (Replacement Savings)</v>
      </c>
      <c r="D11" s="107"/>
      <c r="E11" s="153" t="str">
        <f>IF('Maintenance Schedule'!V10="x","x","")</f>
        <v>x</v>
      </c>
      <c r="F11" s="153" t="str">
        <f t="shared" si="0"/>
        <v>No</v>
      </c>
      <c r="G11" s="154">
        <f t="shared" si="1"/>
        <v>1</v>
      </c>
      <c r="H11" s="155">
        <f>IF(E11="x",P11,0)</f>
        <v>5443.5857484390172</v>
      </c>
      <c r="I11" s="156">
        <f>IF(E11="x",G11*H11,0)</f>
        <v>5443.5857484390172</v>
      </c>
      <c r="J11" s="14"/>
      <c r="K11" s="85"/>
      <c r="L11" s="32"/>
      <c r="M11" s="66" t="str">
        <f>'Description Sheet'!K10</f>
        <v>No</v>
      </c>
      <c r="N11" s="67">
        <f>'Description Sheet'!L10</f>
        <v>1</v>
      </c>
      <c r="O11" s="68">
        <f>'Year (2028-2029)'!O11*(('Description Sheet'!M4)+1)</f>
        <v>5443.5857484390172</v>
      </c>
      <c r="P11" s="69">
        <f>N11*O11</f>
        <v>5443.5857484390172</v>
      </c>
      <c r="Q11" s="14"/>
      <c r="R11" s="44"/>
    </row>
    <row r="12" spans="1:18" hidden="1">
      <c r="A12" s="14"/>
      <c r="B12" s="109">
        <f>'Description Sheet'!B11</f>
        <v>1.4</v>
      </c>
      <c r="C12" s="152" t="str">
        <f>'Description Sheet'!C11</f>
        <v>Tranformers (Service Interval 3 Years)</v>
      </c>
      <c r="D12" s="107"/>
      <c r="E12" s="153" t="str">
        <f>IF('Maintenance Schedule'!V11="x","x","")</f>
        <v/>
      </c>
      <c r="F12" s="153" t="str">
        <f t="shared" si="0"/>
        <v/>
      </c>
      <c r="G12" s="154">
        <f t="shared" si="1"/>
        <v>0</v>
      </c>
      <c r="H12" s="155">
        <f t="shared" ref="H12:H14" si="2">IF(E12="x",P12,0)</f>
        <v>0</v>
      </c>
      <c r="I12" s="156">
        <f t="shared" ref="I12:I14" si="3">IF(E12="x",G12*H12,0)</f>
        <v>0</v>
      </c>
      <c r="J12" s="14"/>
      <c r="K12" s="85"/>
      <c r="L12" s="32"/>
      <c r="M12" s="66" t="str">
        <f>'Description Sheet'!K11</f>
        <v>No</v>
      </c>
      <c r="N12" s="67">
        <f>'Description Sheet'!L11</f>
        <v>0</v>
      </c>
      <c r="O12" s="68">
        <f>'Year (2028-2029)'!O12*(('Description Sheet'!M4)+1)</f>
        <v>52373.92123013614</v>
      </c>
      <c r="P12" s="69">
        <f t="shared" ref="P12:P14" si="4">N12*O12</f>
        <v>0</v>
      </c>
      <c r="Q12" s="14"/>
      <c r="R12" s="44"/>
    </row>
    <row r="13" spans="1:18" hidden="1">
      <c r="A13" s="14"/>
      <c r="B13" s="109">
        <f>'Description Sheet'!B12</f>
        <v>1.5</v>
      </c>
      <c r="C13" s="152" t="str">
        <f>'Description Sheet'!C12</f>
        <v>blank</v>
      </c>
      <c r="D13" s="107"/>
      <c r="E13" s="153" t="str">
        <f>IF('Maintenance Schedule'!V12="x","x","")</f>
        <v/>
      </c>
      <c r="F13" s="153" t="str">
        <f t="shared" si="0"/>
        <v/>
      </c>
      <c r="G13" s="154">
        <f t="shared" si="1"/>
        <v>0</v>
      </c>
      <c r="H13" s="155">
        <f t="shared" si="2"/>
        <v>0</v>
      </c>
      <c r="I13" s="156">
        <f t="shared" si="3"/>
        <v>0</v>
      </c>
      <c r="J13" s="14"/>
      <c r="K13" s="85"/>
      <c r="L13" s="32"/>
      <c r="M13" s="66" t="str">
        <f>'Description Sheet'!K12</f>
        <v>No</v>
      </c>
      <c r="N13" s="67">
        <f>'Description Sheet'!L12</f>
        <v>0</v>
      </c>
      <c r="O13" s="68">
        <f>'Year (2028-2029)'!O13*(('Description Sheet'!M4)+1)</f>
        <v>0</v>
      </c>
      <c r="P13" s="69">
        <f t="shared" si="4"/>
        <v>0</v>
      </c>
      <c r="Q13" s="14"/>
      <c r="R13" s="44"/>
    </row>
    <row r="14" spans="1:18" hidden="1">
      <c r="A14" s="14"/>
      <c r="B14" s="109">
        <f>'Description Sheet'!B13</f>
        <v>1.6</v>
      </c>
      <c r="C14" s="152" t="str">
        <f>'Description Sheet'!C13</f>
        <v>blank</v>
      </c>
      <c r="D14" s="107"/>
      <c r="E14" s="153" t="str">
        <f>IF('Maintenance Schedule'!V13="x","x","")</f>
        <v/>
      </c>
      <c r="F14" s="153" t="str">
        <f t="shared" si="0"/>
        <v/>
      </c>
      <c r="G14" s="154">
        <f t="shared" si="1"/>
        <v>0</v>
      </c>
      <c r="H14" s="155">
        <f t="shared" si="2"/>
        <v>0</v>
      </c>
      <c r="I14" s="156">
        <f t="shared" si="3"/>
        <v>0</v>
      </c>
      <c r="J14" s="14"/>
      <c r="K14" s="85"/>
      <c r="L14" s="32"/>
      <c r="M14" s="66" t="str">
        <f>'Description Sheet'!K13</f>
        <v>No</v>
      </c>
      <c r="N14" s="67">
        <f>'Description Sheet'!L13</f>
        <v>0</v>
      </c>
      <c r="O14" s="68">
        <f>'Year (2028-2029)'!O14*(('Description Sheet'!M4)+1)</f>
        <v>0</v>
      </c>
      <c r="P14" s="69">
        <f t="shared" si="4"/>
        <v>0</v>
      </c>
      <c r="Q14" s="14"/>
      <c r="R14" s="44"/>
    </row>
    <row r="15" spans="1:18" ht="17" thickBot="1">
      <c r="A15" s="14"/>
      <c r="B15" s="109"/>
      <c r="C15" s="152"/>
      <c r="D15" s="107"/>
      <c r="E15" s="153"/>
      <c r="F15" s="153"/>
      <c r="G15" s="154"/>
      <c r="H15" s="155"/>
      <c r="I15" s="157"/>
      <c r="J15" s="14"/>
      <c r="K15" s="85"/>
      <c r="L15" s="32"/>
      <c r="M15" s="70"/>
      <c r="N15" s="67"/>
      <c r="O15" s="68"/>
      <c r="P15" s="73"/>
      <c r="Q15" s="14"/>
      <c r="R15" s="44"/>
    </row>
    <row r="16" spans="1:18" s="4" customFormat="1" ht="15.75" customHeight="1" thickBot="1">
      <c r="A16" s="14"/>
      <c r="B16" s="109"/>
      <c r="C16" s="158"/>
      <c r="D16" s="107"/>
      <c r="E16" s="159"/>
      <c r="F16" s="528" t="s">
        <v>7</v>
      </c>
      <c r="G16" s="529"/>
      <c r="H16" s="530">
        <f>SUM(I9:I14)</f>
        <v>13772.771694707488</v>
      </c>
      <c r="I16" s="531"/>
      <c r="J16" s="14"/>
      <c r="K16" s="15"/>
      <c r="L16" s="33"/>
      <c r="M16" s="508" t="s">
        <v>7</v>
      </c>
      <c r="N16" s="509"/>
      <c r="O16" s="510">
        <f>SUM(P9:P14)</f>
        <v>13772.771694707488</v>
      </c>
      <c r="P16" s="511"/>
      <c r="Q16" s="14"/>
      <c r="R16" s="31"/>
    </row>
    <row r="17" spans="1:18" ht="17" thickBot="1">
      <c r="A17" s="14"/>
      <c r="B17" s="109">
        <f>'Description Sheet'!B16</f>
        <v>2</v>
      </c>
      <c r="C17" s="113" t="str">
        <f>'Description Sheet'!C16</f>
        <v>External Plumbing Areas</v>
      </c>
      <c r="D17" s="107"/>
      <c r="E17" s="110"/>
      <c r="F17" s="110"/>
      <c r="G17" s="110"/>
      <c r="H17" s="110"/>
      <c r="I17" s="151"/>
      <c r="J17" s="32"/>
      <c r="K17" s="40"/>
      <c r="L17" s="33"/>
      <c r="M17" s="24"/>
      <c r="N17" s="25"/>
      <c r="O17" s="25"/>
      <c r="P17" s="63"/>
      <c r="Q17" s="14"/>
      <c r="R17" s="44"/>
    </row>
    <row r="18" spans="1:18">
      <c r="A18" s="14"/>
      <c r="B18" s="109">
        <f>'Description Sheet'!B17</f>
        <v>2.1</v>
      </c>
      <c r="C18" s="152" t="str">
        <f>'Description Sheet'!C17</f>
        <v>General Plumbing Repairs/Upgrade (Stacks, Valves etc.)</v>
      </c>
      <c r="D18" s="107"/>
      <c r="E18" s="153" t="str">
        <f>IF('Maintenance Schedule'!V20="x","x","")</f>
        <v>x</v>
      </c>
      <c r="F18" s="153" t="str">
        <f>IF(E18="x","No","")</f>
        <v>No</v>
      </c>
      <c r="G18" s="154">
        <f>IF(E18="x",1,0)</f>
        <v>1</v>
      </c>
      <c r="H18" s="155">
        <f t="shared" ref="H18:H24" si="5">IF(E18="x",P18,0)</f>
        <v>46273.255257047058</v>
      </c>
      <c r="I18" s="156">
        <f>IF(E18="x",G18*H18,0)</f>
        <v>46273.255257047058</v>
      </c>
      <c r="J18" s="14"/>
      <c r="K18" s="15"/>
      <c r="L18" s="32"/>
      <c r="M18" s="70" t="str">
        <f>'Description Sheet'!K17</f>
        <v>No</v>
      </c>
      <c r="N18" s="67">
        <f>'Description Sheet'!L17</f>
        <v>1</v>
      </c>
      <c r="O18" s="68">
        <f>'Year (2028-2029)'!O18*(('Description Sheet'!M4)+1)</f>
        <v>46273.255257047058</v>
      </c>
      <c r="P18" s="68">
        <f>N18*O18</f>
        <v>46273.255257047058</v>
      </c>
      <c r="Q18" s="14"/>
      <c r="R18" s="44"/>
    </row>
    <row r="19" spans="1:18" hidden="1">
      <c r="A19" s="14"/>
      <c r="B19" s="109">
        <f>'Description Sheet'!B18</f>
        <v>2.2000000000000002</v>
      </c>
      <c r="C19" s="152" t="str">
        <f>'Description Sheet'!C18</f>
        <v>Rectify Reticalation Connections at Fire Hydrants</v>
      </c>
      <c r="D19" s="107"/>
      <c r="E19" s="153" t="str">
        <f>IF('Maintenance Schedule'!V21="x","x","")</f>
        <v/>
      </c>
      <c r="F19" s="153" t="str">
        <f t="shared" ref="F19:F24" si="6">IF(E19="x","No","")</f>
        <v/>
      </c>
      <c r="G19" s="154">
        <f t="shared" ref="G19:G24" si="7">IF(E19="x",1,0)</f>
        <v>0</v>
      </c>
      <c r="H19" s="155">
        <f t="shared" si="5"/>
        <v>0</v>
      </c>
      <c r="I19" s="156">
        <f>IF(E19="x",G19*H19,0)</f>
        <v>0</v>
      </c>
      <c r="J19" s="14"/>
      <c r="K19" s="15"/>
      <c r="L19" s="32"/>
      <c r="M19" s="70" t="str">
        <f>'Description Sheet'!K18</f>
        <v>No</v>
      </c>
      <c r="N19" s="67">
        <f>'Description Sheet'!L18</f>
        <v>0</v>
      </c>
      <c r="O19" s="68">
        <f>'Year (2028-2029)'!O19*(('Description Sheet'!M4)+1)</f>
        <v>99950.231355221651</v>
      </c>
      <c r="P19" s="68">
        <f>N19*O19</f>
        <v>0</v>
      </c>
      <c r="Q19" s="14"/>
      <c r="R19" s="44"/>
    </row>
    <row r="20" spans="1:18" hidden="1">
      <c r="A20" s="14"/>
      <c r="B20" s="109">
        <f>'Description Sheet'!B19</f>
        <v>2.2999999999999998</v>
      </c>
      <c r="C20" s="152" t="str">
        <f>'Description Sheet'!C19</f>
        <v>Repairs to Storm Water Gullies</v>
      </c>
      <c r="D20" s="107"/>
      <c r="E20" s="153" t="str">
        <f>IF('Maintenance Schedule'!V22="x","x","")</f>
        <v/>
      </c>
      <c r="F20" s="153" t="str">
        <f t="shared" si="6"/>
        <v/>
      </c>
      <c r="G20" s="154">
        <f t="shared" si="7"/>
        <v>0</v>
      </c>
      <c r="H20" s="155">
        <f t="shared" si="5"/>
        <v>0</v>
      </c>
      <c r="I20" s="156">
        <f>IF(E20="x",G20*H20,0)</f>
        <v>0</v>
      </c>
      <c r="J20" s="14"/>
      <c r="K20" s="15"/>
      <c r="L20" s="32"/>
      <c r="M20" s="70" t="str">
        <f>'Description Sheet'!K19</f>
        <v>No</v>
      </c>
      <c r="N20" s="67">
        <f>'Description Sheet'!L19</f>
        <v>0</v>
      </c>
      <c r="O20" s="68">
        <f>'Year (2028-2029)'!O20*(('Description Sheet'!M4)+1)</f>
        <v>8995.5208219699471</v>
      </c>
      <c r="P20" s="68">
        <f>N20*O20</f>
        <v>0</v>
      </c>
      <c r="Q20" s="14"/>
      <c r="R20" s="44"/>
    </row>
    <row r="21" spans="1:18" hidden="1">
      <c r="A21" s="14"/>
      <c r="B21" s="109">
        <f>'Description Sheet'!B20</f>
        <v>2.4</v>
      </c>
      <c r="C21" s="152" t="str">
        <f>'Description Sheet'!C20</f>
        <v>Servicing of Full-Bore Piping</v>
      </c>
      <c r="D21" s="107"/>
      <c r="E21" s="153" t="str">
        <f>IF('Maintenance Schedule'!V23="x","x","")</f>
        <v/>
      </c>
      <c r="F21" s="153" t="str">
        <f t="shared" si="6"/>
        <v/>
      </c>
      <c r="G21" s="154">
        <f t="shared" si="7"/>
        <v>0</v>
      </c>
      <c r="H21" s="155">
        <f t="shared" si="5"/>
        <v>0</v>
      </c>
      <c r="I21" s="156">
        <f>IF(E21="x",G21*H21,0)</f>
        <v>0</v>
      </c>
      <c r="J21" s="14"/>
      <c r="K21" s="15"/>
      <c r="L21" s="32"/>
      <c r="M21" s="70" t="str">
        <f>'Description Sheet'!K20</f>
        <v>No</v>
      </c>
      <c r="N21" s="67">
        <f>'Description Sheet'!L20</f>
        <v>1</v>
      </c>
      <c r="O21" s="68">
        <f>'Year (2028-2029)'!O21*(('Description Sheet'!M4)+1)</f>
        <v>8710.4775695865392</v>
      </c>
      <c r="P21" s="68">
        <f>O21*N21</f>
        <v>8710.4775695865392</v>
      </c>
      <c r="Q21" s="14"/>
      <c r="R21" s="44"/>
    </row>
    <row r="22" spans="1:18" hidden="1">
      <c r="A22" s="14"/>
      <c r="B22" s="109">
        <f>'Description Sheet'!B21</f>
        <v>2.5</v>
      </c>
      <c r="C22" s="152" t="str">
        <f>'Description Sheet'!C21</f>
        <v>Replacing of Cast Iron Stack Pipes with PVC</v>
      </c>
      <c r="D22" s="107"/>
      <c r="E22" s="153" t="str">
        <f>IF('Maintenance Schedule'!V24="x","x","")</f>
        <v/>
      </c>
      <c r="F22" s="153" t="str">
        <f t="shared" si="6"/>
        <v/>
      </c>
      <c r="G22" s="154">
        <f t="shared" si="7"/>
        <v>0</v>
      </c>
      <c r="H22" s="155">
        <f t="shared" si="5"/>
        <v>0</v>
      </c>
      <c r="I22" s="156">
        <f t="shared" ref="I22:I24" si="8">IF(E22="x",G22*H22,0)</f>
        <v>0</v>
      </c>
      <c r="J22" s="14"/>
      <c r="K22" s="15"/>
      <c r="L22" s="33"/>
      <c r="M22" s="70" t="str">
        <f>'Description Sheet'!K21</f>
        <v>lm</v>
      </c>
      <c r="N22" s="67">
        <f>'Description Sheet'!L21</f>
        <v>1</v>
      </c>
      <c r="O22" s="68">
        <f>'Year (2028-2029)'!O22*(('Description Sheet'!M4)+1)</f>
        <v>206896.97890530882</v>
      </c>
      <c r="P22" s="68">
        <f t="shared" ref="P22:P24" si="9">O22*N22</f>
        <v>206896.97890530882</v>
      </c>
      <c r="Q22" s="14"/>
      <c r="R22" s="44"/>
    </row>
    <row r="23" spans="1:18" hidden="1">
      <c r="A23" s="14"/>
      <c r="B23" s="109">
        <f>'Description Sheet'!B22</f>
        <v>2.6</v>
      </c>
      <c r="C23" s="152" t="str">
        <f>'Description Sheet'!C22</f>
        <v>Water Tanks and Pumps (Maintenance/Repairs Savings)</v>
      </c>
      <c r="D23" s="107"/>
      <c r="E23" s="153" t="str">
        <f>IF('Maintenance Schedule'!V25="x","x","")</f>
        <v/>
      </c>
      <c r="F23" s="153" t="str">
        <f t="shared" si="6"/>
        <v/>
      </c>
      <c r="G23" s="154">
        <f t="shared" si="7"/>
        <v>0</v>
      </c>
      <c r="H23" s="155">
        <f t="shared" si="5"/>
        <v>0</v>
      </c>
      <c r="I23" s="156">
        <f t="shared" si="8"/>
        <v>0</v>
      </c>
      <c r="J23" s="14"/>
      <c r="K23" s="15"/>
      <c r="L23" s="33"/>
      <c r="M23" s="70" t="str">
        <f>'Description Sheet'!K22</f>
        <v>No</v>
      </c>
      <c r="N23" s="67">
        <f>'Description Sheet'!L22</f>
        <v>0</v>
      </c>
      <c r="O23" s="68">
        <f>'Year (2028-2029)'!O23*(('Description Sheet'!M4)+1)</f>
        <v>19990.046271044335</v>
      </c>
      <c r="P23" s="68">
        <f t="shared" si="9"/>
        <v>0</v>
      </c>
      <c r="Q23" s="14"/>
      <c r="R23" s="44"/>
    </row>
    <row r="24" spans="1:18" hidden="1">
      <c r="A24" s="14"/>
      <c r="B24" s="109">
        <f>'Description Sheet'!B23</f>
        <v>2.7</v>
      </c>
      <c r="C24" s="152" t="str">
        <f>'Description Sheet'!C23</f>
        <v>Asbestos Water Tanks (Replace)</v>
      </c>
      <c r="D24" s="107"/>
      <c r="E24" s="153" t="str">
        <f>IF('Maintenance Schedule'!V26="x","x","")</f>
        <v/>
      </c>
      <c r="F24" s="153" t="str">
        <f t="shared" si="6"/>
        <v/>
      </c>
      <c r="G24" s="154">
        <f t="shared" si="7"/>
        <v>0</v>
      </c>
      <c r="H24" s="155">
        <f t="shared" si="5"/>
        <v>0</v>
      </c>
      <c r="I24" s="156">
        <f t="shared" si="8"/>
        <v>0</v>
      </c>
      <c r="J24" s="14"/>
      <c r="K24" s="15"/>
      <c r="L24" s="33"/>
      <c r="M24" s="70" t="str">
        <f>'Description Sheet'!K23</f>
        <v>No</v>
      </c>
      <c r="N24" s="67">
        <f>'Description Sheet'!L23</f>
        <v>0</v>
      </c>
      <c r="O24" s="68">
        <f>'Year (2028-2029)'!O24*(('Description Sheet'!M4)+1)</f>
        <v>57430.662564626255</v>
      </c>
      <c r="P24" s="68">
        <f t="shared" si="9"/>
        <v>0</v>
      </c>
      <c r="Q24" s="14"/>
      <c r="R24" s="44"/>
    </row>
    <row r="25" spans="1:18" ht="17" thickBot="1">
      <c r="A25" s="14"/>
      <c r="B25" s="109"/>
      <c r="C25" s="152"/>
      <c r="D25" s="107"/>
      <c r="E25" s="160"/>
      <c r="F25" s="161"/>
      <c r="G25" s="161"/>
      <c r="H25" s="155"/>
      <c r="I25" s="155"/>
      <c r="J25" s="14"/>
      <c r="K25" s="15"/>
      <c r="L25" s="33"/>
      <c r="M25" s="76"/>
      <c r="N25" s="76"/>
      <c r="O25" s="77"/>
      <c r="P25" s="77"/>
      <c r="Q25" s="14"/>
      <c r="R25" s="44"/>
    </row>
    <row r="26" spans="1:18" s="4" customFormat="1" ht="15.75" customHeight="1" thickBot="1">
      <c r="A26" s="14"/>
      <c r="B26" s="109"/>
      <c r="C26" s="152"/>
      <c r="D26" s="107"/>
      <c r="E26" s="159"/>
      <c r="F26" s="532" t="s">
        <v>7</v>
      </c>
      <c r="G26" s="533"/>
      <c r="H26" s="530">
        <f>SUM(I18:I24)</f>
        <v>46273.255257047058</v>
      </c>
      <c r="I26" s="531"/>
      <c r="J26" s="14"/>
      <c r="K26" s="15"/>
      <c r="L26" s="33"/>
      <c r="M26" s="508" t="s">
        <v>7</v>
      </c>
      <c r="N26" s="509"/>
      <c r="O26" s="510">
        <f>SUM(P18:P24)</f>
        <v>261880.71173194243</v>
      </c>
      <c r="P26" s="511"/>
      <c r="Q26" s="14"/>
      <c r="R26" s="31"/>
    </row>
    <row r="27" spans="1:18" ht="17" hidden="1" thickBot="1">
      <c r="A27" s="14"/>
      <c r="B27" s="109">
        <f>'Description Sheet'!B26</f>
        <v>3</v>
      </c>
      <c r="C27" s="113" t="str">
        <f>'Description Sheet'!C26</f>
        <v>Heating and Cooling Systems</v>
      </c>
      <c r="D27" s="107"/>
      <c r="E27" s="110"/>
      <c r="F27" s="110"/>
      <c r="G27" s="110"/>
      <c r="H27" s="110"/>
      <c r="I27" s="151"/>
      <c r="J27" s="32"/>
      <c r="K27" s="40"/>
      <c r="L27" s="33"/>
      <c r="M27" s="24"/>
      <c r="N27" s="25"/>
      <c r="O27" s="25"/>
      <c r="P27" s="63"/>
      <c r="Q27" s="14"/>
      <c r="R27" s="44"/>
    </row>
    <row r="28" spans="1:18" hidden="1">
      <c r="A28" s="14"/>
      <c r="B28" s="109">
        <f>'Description Sheet'!B27</f>
        <v>3.1</v>
      </c>
      <c r="C28" s="152" t="str">
        <f>'Description Sheet'!C27</f>
        <v>Ventilation Shafts (Maintenance &amp; Upgrade Savings)</v>
      </c>
      <c r="D28" s="107"/>
      <c r="E28" s="153" t="str">
        <f>IF('Maintenance Schedule'!V33="x","x","")</f>
        <v/>
      </c>
      <c r="F28" s="153" t="str">
        <f>IF(E28="x","No","")</f>
        <v/>
      </c>
      <c r="G28" s="154">
        <f>IF(E28="x",1,0)</f>
        <v>0</v>
      </c>
      <c r="H28" s="155">
        <f t="shared" ref="H28:H32" si="10">IF(E28="x",P28,0)</f>
        <v>0</v>
      </c>
      <c r="I28" s="156">
        <f>IF(E28="x",G28*H28,0)</f>
        <v>0</v>
      </c>
      <c r="J28" s="14"/>
      <c r="K28" s="15"/>
      <c r="L28" s="32"/>
      <c r="M28" s="70" t="str">
        <f>'Description Sheet'!K27</f>
        <v>No</v>
      </c>
      <c r="N28" s="67">
        <f>'Description Sheet'!L27</f>
        <v>0</v>
      </c>
      <c r="O28" s="68">
        <f>'Year (2028-2029)'!O28*(('Description Sheet'!M4)+1)</f>
        <v>10889.022427088315</v>
      </c>
      <c r="P28" s="68">
        <f>N28*O28</f>
        <v>0</v>
      </c>
      <c r="Q28" s="14"/>
      <c r="R28" s="44"/>
    </row>
    <row r="29" spans="1:18" hidden="1">
      <c r="A29" s="14"/>
      <c r="B29" s="109">
        <f>'Description Sheet'!B28</f>
        <v>3.2</v>
      </c>
      <c r="C29" s="152" t="str">
        <f>'Description Sheet'!C28</f>
        <v>Air Conditioning Units (Maintenance &amp; Upgrade Savings)</v>
      </c>
      <c r="D29" s="107"/>
      <c r="E29" s="153" t="str">
        <f>IF('Maintenance Schedule'!V34="x","x","")</f>
        <v/>
      </c>
      <c r="F29" s="153" t="str">
        <f>IF(E29="x","No","")</f>
        <v/>
      </c>
      <c r="G29" s="154">
        <f>IF(E29="x",1,0)</f>
        <v>0</v>
      </c>
      <c r="H29" s="155">
        <f t="shared" si="10"/>
        <v>0</v>
      </c>
      <c r="I29" s="156">
        <f>IF(E29="x",G29*H29,0)</f>
        <v>0</v>
      </c>
      <c r="J29" s="14"/>
      <c r="K29" s="15"/>
      <c r="L29" s="32"/>
      <c r="M29" s="70" t="str">
        <f>'Description Sheet'!K28</f>
        <v>No</v>
      </c>
      <c r="N29" s="67">
        <f>'Description Sheet'!L28</f>
        <v>0</v>
      </c>
      <c r="O29" s="73">
        <f>'Year (2028-2029)'!O29*(('Description Sheet'!M4)+1)</f>
        <v>21778.044854176631</v>
      </c>
      <c r="P29" s="68">
        <f>N29*O29</f>
        <v>0</v>
      </c>
      <c r="Q29" s="14"/>
      <c r="R29" s="44"/>
    </row>
    <row r="30" spans="1:18" hidden="1">
      <c r="A30" s="14"/>
      <c r="B30" s="109">
        <f>'Description Sheet'!B29</f>
        <v>3.3</v>
      </c>
      <c r="C30" s="152" t="str">
        <f>'Description Sheet'!C29</f>
        <v>Solar Panels (Maintenance &amp; Upgrade Savings)</v>
      </c>
      <c r="D30" s="107"/>
      <c r="E30" s="153" t="str">
        <f>IF('Maintenance Schedule'!V35="x","x","")</f>
        <v/>
      </c>
      <c r="F30" s="153" t="str">
        <f t="shared" ref="F30:F32" si="11">IF(E30="x","No","")</f>
        <v/>
      </c>
      <c r="G30" s="154">
        <f t="shared" ref="G30:G32" si="12">IF(E30="x",1,0)</f>
        <v>0</v>
      </c>
      <c r="H30" s="155">
        <f t="shared" si="10"/>
        <v>0</v>
      </c>
      <c r="I30" s="156">
        <f t="shared" ref="I30:I32" si="13">IF(E30="x",G30*H30,0)</f>
        <v>0</v>
      </c>
      <c r="J30" s="14"/>
      <c r="K30" s="15"/>
      <c r="L30" s="32"/>
      <c r="M30" s="70" t="str">
        <f>'Description Sheet'!K29</f>
        <v>No</v>
      </c>
      <c r="N30" s="67">
        <f>'Description Sheet'!L29</f>
        <v>0</v>
      </c>
      <c r="O30" s="73">
        <f>'Year (2028-2029)'!O30*(('Description Sheet'!M4)+1)</f>
        <v>12031.046366832237</v>
      </c>
      <c r="P30" s="68">
        <f t="shared" ref="P30:P32" si="14">N30*O30</f>
        <v>0</v>
      </c>
      <c r="Q30" s="14"/>
      <c r="R30" s="44"/>
    </row>
    <row r="31" spans="1:18" hidden="1">
      <c r="A31" s="14"/>
      <c r="B31" s="109">
        <f>'Description Sheet'!B30</f>
        <v>3.4</v>
      </c>
      <c r="C31" s="152" t="str">
        <f>'Description Sheet'!C30</f>
        <v>blank</v>
      </c>
      <c r="D31" s="107"/>
      <c r="E31" s="153" t="str">
        <f>IF('Maintenance Schedule'!V36="x","x","")</f>
        <v/>
      </c>
      <c r="F31" s="153" t="str">
        <f t="shared" si="11"/>
        <v/>
      </c>
      <c r="G31" s="154">
        <f t="shared" si="12"/>
        <v>0</v>
      </c>
      <c r="H31" s="155">
        <f t="shared" si="10"/>
        <v>0</v>
      </c>
      <c r="I31" s="156">
        <f t="shared" si="13"/>
        <v>0</v>
      </c>
      <c r="J31" s="14"/>
      <c r="K31" s="15"/>
      <c r="L31" s="32"/>
      <c r="M31" s="70" t="str">
        <f>'Description Sheet'!K30</f>
        <v>No</v>
      </c>
      <c r="N31" s="67">
        <f>'Description Sheet'!L30</f>
        <v>0</v>
      </c>
      <c r="O31" s="73">
        <f>'Year (2028-2029)'!O31*(('Description Sheet'!M4)+1)</f>
        <v>0</v>
      </c>
      <c r="P31" s="68">
        <f t="shared" si="14"/>
        <v>0</v>
      </c>
      <c r="Q31" s="14"/>
      <c r="R31" s="44"/>
    </row>
    <row r="32" spans="1:18" hidden="1">
      <c r="A32" s="14"/>
      <c r="B32" s="109">
        <f>'Description Sheet'!B31</f>
        <v>3.5</v>
      </c>
      <c r="C32" s="152" t="str">
        <f>'Description Sheet'!C31</f>
        <v>blank</v>
      </c>
      <c r="D32" s="107"/>
      <c r="E32" s="153" t="str">
        <f>IF('Maintenance Schedule'!V37="x","x","")</f>
        <v/>
      </c>
      <c r="F32" s="153" t="str">
        <f t="shared" si="11"/>
        <v/>
      </c>
      <c r="G32" s="154">
        <f t="shared" si="12"/>
        <v>0</v>
      </c>
      <c r="H32" s="155">
        <f t="shared" si="10"/>
        <v>0</v>
      </c>
      <c r="I32" s="156">
        <f t="shared" si="13"/>
        <v>0</v>
      </c>
      <c r="J32" s="14"/>
      <c r="K32" s="15"/>
      <c r="L32" s="32"/>
      <c r="M32" s="70" t="str">
        <f>'Description Sheet'!K31</f>
        <v>No</v>
      </c>
      <c r="N32" s="67">
        <f>'Description Sheet'!L31</f>
        <v>0</v>
      </c>
      <c r="O32" s="73">
        <f>'Year (2028-2029)'!O32*(('Description Sheet'!M4)+1)</f>
        <v>0</v>
      </c>
      <c r="P32" s="68">
        <f t="shared" si="14"/>
        <v>0</v>
      </c>
      <c r="Q32" s="14"/>
      <c r="R32" s="44"/>
    </row>
    <row r="33" spans="1:18" ht="17" hidden="1" thickBot="1">
      <c r="A33" s="14"/>
      <c r="B33" s="109"/>
      <c r="C33" s="152"/>
      <c r="D33" s="107"/>
      <c r="E33" s="162"/>
      <c r="F33" s="154"/>
      <c r="G33" s="154"/>
      <c r="H33" s="155"/>
      <c r="I33" s="155"/>
      <c r="J33" s="14"/>
      <c r="K33" s="15"/>
      <c r="L33" s="32"/>
      <c r="M33" s="67"/>
      <c r="N33" s="67"/>
      <c r="O33" s="73"/>
      <c r="P33" s="68"/>
      <c r="Q33" s="14"/>
      <c r="R33" s="44"/>
    </row>
    <row r="34" spans="1:18" s="4" customFormat="1" ht="15.75" hidden="1" customHeight="1" thickBot="1">
      <c r="A34" s="14"/>
      <c r="B34" s="109"/>
      <c r="C34" s="152"/>
      <c r="D34" s="107"/>
      <c r="E34" s="159"/>
      <c r="F34" s="528" t="s">
        <v>7</v>
      </c>
      <c r="G34" s="529"/>
      <c r="H34" s="530">
        <f>SUM(I28:I32)</f>
        <v>0</v>
      </c>
      <c r="I34" s="531"/>
      <c r="J34" s="14"/>
      <c r="K34" s="15"/>
      <c r="L34" s="33"/>
      <c r="M34" s="508" t="s">
        <v>7</v>
      </c>
      <c r="N34" s="509"/>
      <c r="O34" s="510">
        <f>SUM(P28:P33)</f>
        <v>0</v>
      </c>
      <c r="P34" s="511"/>
      <c r="Q34" s="14"/>
      <c r="R34" s="31"/>
    </row>
    <row r="35" spans="1:18" ht="17" hidden="1" thickBot="1">
      <c r="A35" s="14"/>
      <c r="B35" s="109">
        <f>'Description Sheet'!B34</f>
        <v>4</v>
      </c>
      <c r="C35" s="113" t="str">
        <f>'Description Sheet'!C34</f>
        <v>Lifts</v>
      </c>
      <c r="D35" s="107"/>
      <c r="E35" s="110"/>
      <c r="F35" s="110"/>
      <c r="G35" s="110"/>
      <c r="H35" s="110"/>
      <c r="I35" s="151"/>
      <c r="J35" s="32"/>
      <c r="K35" s="40"/>
      <c r="L35" s="33"/>
      <c r="M35" s="24"/>
      <c r="N35" s="25"/>
      <c r="O35" s="25"/>
      <c r="P35" s="63"/>
      <c r="Q35" s="14"/>
      <c r="R35" s="44"/>
    </row>
    <row r="36" spans="1:18" hidden="1">
      <c r="A36" s="14"/>
      <c r="B36" s="109">
        <f>'Description Sheet'!B35</f>
        <v>4.0999999999999996</v>
      </c>
      <c r="C36" s="152" t="str">
        <f>'Description Sheet'!C35</f>
        <v>Lift Upgrade Savings</v>
      </c>
      <c r="D36" s="107"/>
      <c r="E36" s="153" t="str">
        <f>IF('Maintenance Schedule'!V44="x","x","")</f>
        <v/>
      </c>
      <c r="F36" s="153" t="str">
        <f>IF(E36="x","No","")</f>
        <v/>
      </c>
      <c r="G36" s="154">
        <f>IF(E36="x",1,0)</f>
        <v>0</v>
      </c>
      <c r="H36" s="155">
        <f t="shared" ref="H36:H39" si="15">IF(E36="x",P36,0)</f>
        <v>0</v>
      </c>
      <c r="I36" s="156">
        <f>IF(E36="x",G36*H36,0)</f>
        <v>0</v>
      </c>
      <c r="J36" s="14"/>
      <c r="K36" s="15"/>
      <c r="L36" s="32"/>
      <c r="M36" s="70" t="str">
        <f>'Description Sheet'!K35</f>
        <v>No</v>
      </c>
      <c r="N36" s="67">
        <f>'Description Sheet'!L35</f>
        <v>1</v>
      </c>
      <c r="O36" s="73">
        <f>'Year (2028-2029)'!O36*(('Description Sheet'!M4)+1)</f>
        <v>163339.03826674531</v>
      </c>
      <c r="P36" s="68">
        <f>N36*O36</f>
        <v>163339.03826674531</v>
      </c>
      <c r="Q36" s="14"/>
      <c r="R36" s="44"/>
    </row>
    <row r="37" spans="1:18" hidden="1">
      <c r="A37" s="14"/>
      <c r="B37" s="109">
        <f>'Description Sheet'!B36</f>
        <v>4.2</v>
      </c>
      <c r="C37" s="152" t="str">
        <f>'Description Sheet'!C36</f>
        <v>Lift Replacement (Only in 12-15 years)</v>
      </c>
      <c r="D37" s="107"/>
      <c r="E37" s="153" t="str">
        <f>IF('Maintenance Schedule'!V45="x","x","")</f>
        <v/>
      </c>
      <c r="F37" s="153" t="str">
        <f t="shared" ref="F37:F39" si="16">IF(E37="x","No","")</f>
        <v/>
      </c>
      <c r="G37" s="154">
        <f t="shared" ref="G37:G39" si="17">IF(E37="x",1,0)</f>
        <v>0</v>
      </c>
      <c r="H37" s="155">
        <f t="shared" si="15"/>
        <v>0</v>
      </c>
      <c r="I37" s="156">
        <f t="shared" ref="I37:I39" si="18">IF(E37="x",G37*H37,0)</f>
        <v>0</v>
      </c>
      <c r="J37" s="14"/>
      <c r="K37" s="15"/>
      <c r="L37" s="32"/>
      <c r="M37" s="70" t="str">
        <f>'Description Sheet'!K36</f>
        <v>No</v>
      </c>
      <c r="N37" s="67">
        <f>'Description Sheet'!L36</f>
        <v>0</v>
      </c>
      <c r="O37" s="73">
        <f>'Year (2028-2029)'!O37*(('Description Sheet'!M4)+1)</f>
        <v>1512805.9813280087</v>
      </c>
      <c r="P37" s="68">
        <f t="shared" ref="P37:P39" si="19">N37*O37</f>
        <v>0</v>
      </c>
      <c r="Q37" s="14"/>
      <c r="R37" s="44"/>
    </row>
    <row r="38" spans="1:18" hidden="1">
      <c r="A38" s="14"/>
      <c r="B38" s="109">
        <f>'Description Sheet'!B37</f>
        <v>4.3</v>
      </c>
      <c r="C38" s="152" t="str">
        <f>'Description Sheet'!C37</f>
        <v>blank</v>
      </c>
      <c r="D38" s="107"/>
      <c r="E38" s="153" t="str">
        <f>IF('Maintenance Schedule'!V46="x","x","")</f>
        <v/>
      </c>
      <c r="F38" s="153" t="str">
        <f t="shared" si="16"/>
        <v/>
      </c>
      <c r="G38" s="154">
        <f t="shared" si="17"/>
        <v>0</v>
      </c>
      <c r="H38" s="155">
        <f t="shared" si="15"/>
        <v>0</v>
      </c>
      <c r="I38" s="156">
        <f t="shared" si="18"/>
        <v>0</v>
      </c>
      <c r="J38" s="14"/>
      <c r="K38" s="15"/>
      <c r="L38" s="32"/>
      <c r="M38" s="70" t="str">
        <f>'Description Sheet'!K37</f>
        <v>No</v>
      </c>
      <c r="N38" s="67">
        <f>'Description Sheet'!L37</f>
        <v>0</v>
      </c>
      <c r="O38" s="73">
        <f>'Year (2028-2029)'!O38*(('Description Sheet'!M4)+1)</f>
        <v>0</v>
      </c>
      <c r="P38" s="68">
        <f t="shared" si="19"/>
        <v>0</v>
      </c>
      <c r="Q38" s="14"/>
      <c r="R38" s="44"/>
    </row>
    <row r="39" spans="1:18" hidden="1">
      <c r="A39" s="14"/>
      <c r="B39" s="109">
        <f>'Description Sheet'!B38</f>
        <v>4.4000000000000004</v>
      </c>
      <c r="C39" s="152" t="str">
        <f>'Description Sheet'!C38</f>
        <v>blank</v>
      </c>
      <c r="D39" s="107"/>
      <c r="E39" s="153" t="str">
        <f>IF('Maintenance Schedule'!V47="x","x","")</f>
        <v/>
      </c>
      <c r="F39" s="153" t="str">
        <f t="shared" si="16"/>
        <v/>
      </c>
      <c r="G39" s="154">
        <f t="shared" si="17"/>
        <v>0</v>
      </c>
      <c r="H39" s="155">
        <f t="shared" si="15"/>
        <v>0</v>
      </c>
      <c r="I39" s="156">
        <f t="shared" si="18"/>
        <v>0</v>
      </c>
      <c r="J39" s="14"/>
      <c r="K39" s="15"/>
      <c r="L39" s="32"/>
      <c r="M39" s="70" t="str">
        <f>'Description Sheet'!K38</f>
        <v>No</v>
      </c>
      <c r="N39" s="67">
        <f>'Description Sheet'!L38</f>
        <v>0</v>
      </c>
      <c r="O39" s="73">
        <f>'Year (2028-2029)'!O39*(('Description Sheet'!M4)+1)</f>
        <v>0</v>
      </c>
      <c r="P39" s="68">
        <f t="shared" si="19"/>
        <v>0</v>
      </c>
      <c r="Q39" s="14"/>
      <c r="R39" s="44"/>
    </row>
    <row r="40" spans="1:18" ht="17" hidden="1" thickBot="1">
      <c r="A40" s="14"/>
      <c r="B40" s="109"/>
      <c r="C40" s="152"/>
      <c r="D40" s="107"/>
      <c r="E40" s="162"/>
      <c r="F40" s="154"/>
      <c r="G40" s="154"/>
      <c r="H40" s="155"/>
      <c r="I40" s="155"/>
      <c r="J40" s="14"/>
      <c r="K40" s="15"/>
      <c r="L40" s="32"/>
      <c r="M40" s="67"/>
      <c r="N40" s="67"/>
      <c r="O40" s="73"/>
      <c r="P40" s="68"/>
      <c r="Q40" s="14"/>
      <c r="R40" s="44"/>
    </row>
    <row r="41" spans="1:18" s="4" customFormat="1" ht="15.75" hidden="1" customHeight="1" thickBot="1">
      <c r="A41" s="14"/>
      <c r="B41" s="109"/>
      <c r="C41" s="152"/>
      <c r="D41" s="107"/>
      <c r="E41" s="159"/>
      <c r="F41" s="528" t="s">
        <v>7</v>
      </c>
      <c r="G41" s="529"/>
      <c r="H41" s="530">
        <f>SUM(I36:I40)</f>
        <v>0</v>
      </c>
      <c r="I41" s="531"/>
      <c r="J41" s="14"/>
      <c r="K41" s="15"/>
      <c r="L41" s="33"/>
      <c r="M41" s="508" t="s">
        <v>7</v>
      </c>
      <c r="N41" s="509"/>
      <c r="O41" s="510">
        <f>SUM(P36:P40)</f>
        <v>163339.03826674531</v>
      </c>
      <c r="P41" s="511"/>
      <c r="Q41" s="14"/>
      <c r="R41" s="31"/>
    </row>
    <row r="42" spans="1:18" ht="17" thickBot="1">
      <c r="A42" s="14"/>
      <c r="B42" s="109">
        <f>'Description Sheet'!B41</f>
        <v>5</v>
      </c>
      <c r="C42" s="150" t="str">
        <f>'Description Sheet'!C41</f>
        <v>Carpeting and Furnishing</v>
      </c>
      <c r="D42" s="107"/>
      <c r="E42" s="110"/>
      <c r="F42" s="110"/>
      <c r="G42" s="110"/>
      <c r="H42" s="110"/>
      <c r="I42" s="151"/>
      <c r="J42" s="32"/>
      <c r="K42" s="40"/>
      <c r="L42" s="33"/>
      <c r="M42" s="24"/>
      <c r="N42" s="25"/>
      <c r="O42" s="25"/>
      <c r="P42" s="63"/>
      <c r="Q42" s="14"/>
      <c r="R42" s="44"/>
    </row>
    <row r="43" spans="1:18">
      <c r="A43" s="14"/>
      <c r="B43" s="109">
        <f>'Description Sheet'!B42</f>
        <v>5.0999999999999996</v>
      </c>
      <c r="C43" s="152" t="str">
        <f>'Description Sheet'!C42</f>
        <v>Common Area Equipment/Furnishings (Replacement/Maintenance)</v>
      </c>
      <c r="D43" s="107"/>
      <c r="E43" s="153" t="str">
        <f>IF('Maintenance Schedule'!V54="x","x","")</f>
        <v>x</v>
      </c>
      <c r="F43" s="153" t="str">
        <f>IF(E43="x","No","")</f>
        <v>No</v>
      </c>
      <c r="G43" s="154">
        <f>IF(E43="x",1,0)</f>
        <v>1</v>
      </c>
      <c r="H43" s="155">
        <f t="shared" ref="H43:H46" si="20">IF(E43="x",P43,0)</f>
        <v>6478.2557359865887</v>
      </c>
      <c r="I43" s="156">
        <f>IF(E43="x",G43*H43,0)</f>
        <v>6478.2557359865887</v>
      </c>
      <c r="J43" s="14"/>
      <c r="K43" s="15"/>
      <c r="L43" s="32"/>
      <c r="M43" s="70" t="str">
        <f>'Description Sheet'!K42</f>
        <v>No</v>
      </c>
      <c r="N43" s="67">
        <f>'Description Sheet'!L42</f>
        <v>1</v>
      </c>
      <c r="O43" s="73">
        <f>'Year (2028-2029)'!O43*(('Description Sheet'!M4)+1)</f>
        <v>6478.2557359865887</v>
      </c>
      <c r="P43" s="68">
        <f>N43*O43</f>
        <v>6478.2557359865887</v>
      </c>
      <c r="Q43" s="14"/>
      <c r="R43" s="44"/>
    </row>
    <row r="44" spans="1:18" hidden="1">
      <c r="A44" s="14"/>
      <c r="B44" s="109">
        <f>'Description Sheet'!B43</f>
        <v>5.2</v>
      </c>
      <c r="C44" s="152" t="str">
        <f>'Description Sheet'!C43</f>
        <v>blank</v>
      </c>
      <c r="D44" s="107"/>
      <c r="E44" s="153" t="str">
        <f>IF('Maintenance Schedule'!V55="x","x","")</f>
        <v/>
      </c>
      <c r="F44" s="153" t="str">
        <f t="shared" ref="F44:F46" si="21">IF(E44="x","No","")</f>
        <v/>
      </c>
      <c r="G44" s="154">
        <f t="shared" ref="G44:G46" si="22">IF(E44="x",1,0)</f>
        <v>0</v>
      </c>
      <c r="H44" s="155">
        <f t="shared" si="20"/>
        <v>0</v>
      </c>
      <c r="I44" s="156">
        <f t="shared" ref="I44:I46" si="23">IF(E44="x",G44*H44,0)</f>
        <v>0</v>
      </c>
      <c r="J44" s="14"/>
      <c r="K44" s="15"/>
      <c r="L44" s="32"/>
      <c r="M44" s="70" t="str">
        <f>'Description Sheet'!K43</f>
        <v>No</v>
      </c>
      <c r="N44" s="67">
        <f>'Description Sheet'!L43</f>
        <v>0</v>
      </c>
      <c r="O44" s="73">
        <f>'Year (2028-2029)'!O44*(('Description Sheet'!M4)+1)</f>
        <v>0</v>
      </c>
      <c r="P44" s="68">
        <f t="shared" ref="P44:P46" si="24">N44*O44</f>
        <v>0</v>
      </c>
      <c r="Q44" s="14"/>
      <c r="R44" s="44"/>
    </row>
    <row r="45" spans="1:18" hidden="1">
      <c r="A45" s="14"/>
      <c r="B45" s="109">
        <f>'Description Sheet'!B44</f>
        <v>5.3</v>
      </c>
      <c r="C45" s="152" t="str">
        <f>'Description Sheet'!C44</f>
        <v>blank</v>
      </c>
      <c r="D45" s="107"/>
      <c r="E45" s="153" t="str">
        <f>IF('Maintenance Schedule'!V56="x","x","")</f>
        <v/>
      </c>
      <c r="F45" s="153" t="str">
        <f t="shared" si="21"/>
        <v/>
      </c>
      <c r="G45" s="154">
        <f t="shared" si="22"/>
        <v>0</v>
      </c>
      <c r="H45" s="155">
        <f t="shared" si="20"/>
        <v>0</v>
      </c>
      <c r="I45" s="156">
        <f t="shared" si="23"/>
        <v>0</v>
      </c>
      <c r="J45" s="14"/>
      <c r="K45" s="15"/>
      <c r="L45" s="32"/>
      <c r="M45" s="70" t="str">
        <f>'Description Sheet'!K44</f>
        <v>No</v>
      </c>
      <c r="N45" s="67">
        <f>'Description Sheet'!L44</f>
        <v>0</v>
      </c>
      <c r="O45" s="73">
        <f>'Year (2028-2029)'!O45*(('Description Sheet'!M4)+1)</f>
        <v>0</v>
      </c>
      <c r="P45" s="68">
        <f t="shared" si="24"/>
        <v>0</v>
      </c>
      <c r="Q45" s="14"/>
      <c r="R45" s="44"/>
    </row>
    <row r="46" spans="1:18" hidden="1">
      <c r="A46" s="14"/>
      <c r="B46" s="109">
        <f>'Description Sheet'!B45</f>
        <v>5.4</v>
      </c>
      <c r="C46" s="152" t="str">
        <f>'Description Sheet'!C45</f>
        <v>blank</v>
      </c>
      <c r="D46" s="107"/>
      <c r="E46" s="153" t="str">
        <f>IF('Maintenance Schedule'!V57="x","x","")</f>
        <v/>
      </c>
      <c r="F46" s="153" t="str">
        <f t="shared" si="21"/>
        <v/>
      </c>
      <c r="G46" s="154">
        <f t="shared" si="22"/>
        <v>0</v>
      </c>
      <c r="H46" s="155">
        <f t="shared" si="20"/>
        <v>0</v>
      </c>
      <c r="I46" s="156">
        <f t="shared" si="23"/>
        <v>0</v>
      </c>
      <c r="J46" s="14"/>
      <c r="K46" s="15"/>
      <c r="L46" s="32"/>
      <c r="M46" s="70" t="str">
        <f>'Description Sheet'!K45</f>
        <v>No</v>
      </c>
      <c r="N46" s="67">
        <f>'Description Sheet'!L45</f>
        <v>0</v>
      </c>
      <c r="O46" s="73">
        <f>'Year (2028-2029)'!O46*(('Description Sheet'!M4)+1)</f>
        <v>0</v>
      </c>
      <c r="P46" s="68">
        <f t="shared" si="24"/>
        <v>0</v>
      </c>
      <c r="Q46" s="14"/>
      <c r="R46" s="44"/>
    </row>
    <row r="47" spans="1:18" ht="17" thickBot="1">
      <c r="A47" s="14"/>
      <c r="B47" s="109"/>
      <c r="C47" s="152"/>
      <c r="D47" s="107"/>
      <c r="E47" s="162"/>
      <c r="F47" s="154"/>
      <c r="G47" s="154"/>
      <c r="H47" s="155"/>
      <c r="I47" s="155"/>
      <c r="J47" s="14"/>
      <c r="K47" s="15"/>
      <c r="L47" s="32"/>
      <c r="M47" s="67"/>
      <c r="N47" s="67"/>
      <c r="O47" s="73"/>
      <c r="P47" s="68"/>
      <c r="Q47" s="14"/>
      <c r="R47" s="44"/>
    </row>
    <row r="48" spans="1:18" s="4" customFormat="1" ht="15.75" customHeight="1" thickBot="1">
      <c r="A48" s="14"/>
      <c r="B48" s="109"/>
      <c r="C48" s="115"/>
      <c r="D48" s="107"/>
      <c r="E48" s="159"/>
      <c r="F48" s="528" t="s">
        <v>7</v>
      </c>
      <c r="G48" s="529"/>
      <c r="H48" s="530">
        <f>SUM(I43:I47)</f>
        <v>6478.2557359865887</v>
      </c>
      <c r="I48" s="531"/>
      <c r="J48" s="14"/>
      <c r="K48" s="15"/>
      <c r="L48" s="33"/>
      <c r="M48" s="508" t="s">
        <v>7</v>
      </c>
      <c r="N48" s="509"/>
      <c r="O48" s="510">
        <f>SUM(P43:P47)</f>
        <v>6478.2557359865887</v>
      </c>
      <c r="P48" s="511"/>
      <c r="Q48" s="14"/>
      <c r="R48" s="31"/>
    </row>
    <row r="49" spans="1:18" ht="17" thickBot="1">
      <c r="A49" s="14"/>
      <c r="B49" s="109">
        <f>'Description Sheet'!B48</f>
        <v>6</v>
      </c>
      <c r="C49" s="113" t="str">
        <f>'Description Sheet'!C48</f>
        <v>Roof  Areas</v>
      </c>
      <c r="D49" s="107"/>
      <c r="E49" s="110"/>
      <c r="F49" s="110"/>
      <c r="G49" s="110"/>
      <c r="H49" s="110"/>
      <c r="I49" s="151"/>
      <c r="J49" s="32"/>
      <c r="K49" s="40"/>
      <c r="L49" s="33"/>
      <c r="M49" s="24"/>
      <c r="N49" s="25"/>
      <c r="O49" s="25"/>
      <c r="P49" s="63"/>
      <c r="Q49" s="14"/>
      <c r="R49" s="44"/>
    </row>
    <row r="50" spans="1:18" hidden="1">
      <c r="A50" s="14"/>
      <c r="B50" s="109">
        <f>'Description Sheet'!B49</f>
        <v>6.1</v>
      </c>
      <c r="C50" s="152" t="str">
        <f>'Description Sheet'!C49</f>
        <v xml:space="preserve">Flashings/Counter Flashings </v>
      </c>
      <c r="D50" s="107"/>
      <c r="E50" s="153" t="str">
        <f>IF('Maintenance Schedule'!V64="x","x","")</f>
        <v/>
      </c>
      <c r="F50" s="153" t="str">
        <f>IF(E50="x","No","")</f>
        <v/>
      </c>
      <c r="G50" s="154">
        <f>IF(E50="x",1,0)</f>
        <v>0</v>
      </c>
      <c r="H50" s="155">
        <f t="shared" ref="H50:H66" si="25">IF(E50="x",P50,0)</f>
        <v>0</v>
      </c>
      <c r="I50" s="156">
        <f t="shared" ref="I50:I66" si="26">IF(E50="x",G50*H50,0)</f>
        <v>0</v>
      </c>
      <c r="J50" s="14"/>
      <c r="K50" s="15"/>
      <c r="L50" s="32"/>
      <c r="M50" s="67" t="str">
        <f>'Description Sheet'!K49</f>
        <v>No</v>
      </c>
      <c r="N50" s="67">
        <f>'Description Sheet'!L49</f>
        <v>0</v>
      </c>
      <c r="O50" s="73">
        <f>'Year (2028-2029)'!O50*(('Description Sheet'!M4)+1)</f>
        <v>17991.041643939894</v>
      </c>
      <c r="P50" s="69">
        <f t="shared" ref="P50:P66" si="27">N50*O50</f>
        <v>0</v>
      </c>
      <c r="Q50" s="14"/>
      <c r="R50" s="44"/>
    </row>
    <row r="51" spans="1:18" hidden="1">
      <c r="A51" s="14"/>
      <c r="B51" s="109">
        <f>'Description Sheet'!B50</f>
        <v>6.2</v>
      </c>
      <c r="C51" s="152" t="str">
        <f>'Description Sheet'!C50</f>
        <v>General Roof Repairs</v>
      </c>
      <c r="D51" s="107"/>
      <c r="E51" s="153" t="str">
        <f>IF('Maintenance Schedule'!V65="x","x","")</f>
        <v/>
      </c>
      <c r="F51" s="153" t="str">
        <f t="shared" ref="F51:F62" si="28">IF(E51="x","No","")</f>
        <v/>
      </c>
      <c r="G51" s="154">
        <f t="shared" ref="G51:G66" si="29">IF(E51="x",1,0)</f>
        <v>0</v>
      </c>
      <c r="H51" s="155">
        <f t="shared" si="25"/>
        <v>0</v>
      </c>
      <c r="I51" s="156">
        <f t="shared" si="26"/>
        <v>0</v>
      </c>
      <c r="J51" s="14"/>
      <c r="K51" s="15"/>
      <c r="L51" s="32"/>
      <c r="M51" s="67" t="str">
        <f>'Description Sheet'!K50</f>
        <v>No</v>
      </c>
      <c r="N51" s="67">
        <f>'Description Sheet'!L50</f>
        <v>0</v>
      </c>
      <c r="O51" s="73">
        <f>'Year (2028-2029)'!O51*(('Description Sheet'!M4)+1)</f>
        <v>19.990046271044335</v>
      </c>
      <c r="P51" s="69">
        <f t="shared" si="27"/>
        <v>0</v>
      </c>
      <c r="Q51" s="14"/>
      <c r="R51" s="44"/>
    </row>
    <row r="52" spans="1:18">
      <c r="A52" s="14"/>
      <c r="B52" s="109">
        <f>'Description Sheet'!B51</f>
        <v>6.3</v>
      </c>
      <c r="C52" s="152" t="str">
        <f>'Description Sheet'!C51</f>
        <v>Cleaning &amp; Maintenance &amp; Repairs of Gutters and Downpipes</v>
      </c>
      <c r="D52" s="107"/>
      <c r="E52" s="153" t="str">
        <f>IF('Maintenance Schedule'!V66="x","x","")</f>
        <v>x</v>
      </c>
      <c r="F52" s="153" t="str">
        <f t="shared" si="28"/>
        <v>No</v>
      </c>
      <c r="G52" s="154">
        <f t="shared" si="29"/>
        <v>1</v>
      </c>
      <c r="H52" s="155">
        <f t="shared" si="25"/>
        <v>5904.4673707992051</v>
      </c>
      <c r="I52" s="156">
        <f t="shared" si="26"/>
        <v>5904.4673707992051</v>
      </c>
      <c r="J52" s="14"/>
      <c r="K52" s="15"/>
      <c r="L52" s="32"/>
      <c r="M52" s="67" t="str">
        <f>'Description Sheet'!K51</f>
        <v>lm</v>
      </c>
      <c r="N52" s="67">
        <f>'Description Sheet'!L51</f>
        <v>110</v>
      </c>
      <c r="O52" s="73">
        <f>'Year (2028-2029)'!O52*(('Description Sheet'!M4)+1)</f>
        <v>53.676976098174592</v>
      </c>
      <c r="P52" s="69">
        <f t="shared" si="27"/>
        <v>5904.4673707992051</v>
      </c>
      <c r="Q52" s="14"/>
      <c r="R52" s="44"/>
    </row>
    <row r="53" spans="1:18" hidden="1">
      <c r="A53" s="14"/>
      <c r="B53" s="109">
        <f>'Description Sheet'!B52</f>
        <v>6.4</v>
      </c>
      <c r="C53" s="152" t="str">
        <f>'Description Sheet'!C52</f>
        <v xml:space="preserve">Painting &amp; Repair of Metal Roof Areas </v>
      </c>
      <c r="D53" s="107"/>
      <c r="E53" s="153" t="str">
        <f>IF('Maintenance Schedule'!V67="x","x","")</f>
        <v/>
      </c>
      <c r="F53" s="153" t="str">
        <f>IF(E53="x","item","")</f>
        <v/>
      </c>
      <c r="G53" s="154">
        <f t="shared" si="29"/>
        <v>0</v>
      </c>
      <c r="H53" s="155">
        <f t="shared" si="25"/>
        <v>0</v>
      </c>
      <c r="I53" s="156">
        <f t="shared" si="26"/>
        <v>0</v>
      </c>
      <c r="J53" s="14"/>
      <c r="K53" s="15"/>
      <c r="L53" s="32"/>
      <c r="M53" s="67" t="str">
        <f>'Description Sheet'!K52</f>
        <v>m2</v>
      </c>
      <c r="N53" s="67">
        <f>'Description Sheet'!L52</f>
        <v>0</v>
      </c>
      <c r="O53" s="73">
        <f>'Year (2028-2029)'!O53*(('Description Sheet'!M4)+1)</f>
        <v>309.10534511707442</v>
      </c>
      <c r="P53" s="69">
        <f t="shared" si="27"/>
        <v>0</v>
      </c>
      <c r="Q53" s="14"/>
      <c r="R53" s="44"/>
    </row>
    <row r="54" spans="1:18" hidden="1">
      <c r="A54" s="14"/>
      <c r="B54" s="109">
        <f>'Description Sheet'!B53</f>
        <v>6.5</v>
      </c>
      <c r="C54" s="152" t="str">
        <f>'Description Sheet'!C53</f>
        <v xml:space="preserve">Painting &amp; Repair of Tile Roof Areas </v>
      </c>
      <c r="D54" s="107"/>
      <c r="E54" s="153" t="str">
        <f>IF('Maintenance Schedule'!V68="x","x","")</f>
        <v/>
      </c>
      <c r="F54" s="153" t="str">
        <f>IF(E54="x","item","")</f>
        <v/>
      </c>
      <c r="G54" s="154">
        <f t="shared" si="29"/>
        <v>0</v>
      </c>
      <c r="H54" s="155">
        <f t="shared" si="25"/>
        <v>0</v>
      </c>
      <c r="I54" s="156">
        <f t="shared" si="26"/>
        <v>0</v>
      </c>
      <c r="J54" s="14"/>
      <c r="K54" s="15"/>
      <c r="L54" s="32"/>
      <c r="M54" s="67" t="str">
        <f>'Description Sheet'!K53</f>
        <v>m2</v>
      </c>
      <c r="N54" s="67">
        <f>'Description Sheet'!L53</f>
        <v>0</v>
      </c>
      <c r="O54" s="73">
        <f>'Year (2028-2029)'!O54*(('Description Sheet'!M4)+1)</f>
        <v>168.43464913565128</v>
      </c>
      <c r="P54" s="69">
        <f t="shared" si="27"/>
        <v>0</v>
      </c>
      <c r="Q54" s="14"/>
      <c r="R54" s="44"/>
    </row>
    <row r="55" spans="1:18" hidden="1">
      <c r="A55" s="14"/>
      <c r="B55" s="109">
        <f>'Description Sheet'!B54</f>
        <v>6.6</v>
      </c>
      <c r="C55" s="152" t="str">
        <f>'Description Sheet'!C54</f>
        <v xml:space="preserve">Painting &amp; Repairs of Asbestos Roof Areas </v>
      </c>
      <c r="D55" s="107"/>
      <c r="E55" s="153" t="str">
        <f>IF('Maintenance Schedule'!V69="x","x","")</f>
        <v/>
      </c>
      <c r="F55" s="153" t="str">
        <f t="shared" si="28"/>
        <v/>
      </c>
      <c r="G55" s="154">
        <f t="shared" si="29"/>
        <v>0</v>
      </c>
      <c r="H55" s="155">
        <f t="shared" si="25"/>
        <v>0</v>
      </c>
      <c r="I55" s="156">
        <f t="shared" si="26"/>
        <v>0</v>
      </c>
      <c r="J55" s="14"/>
      <c r="K55" s="15"/>
      <c r="L55" s="32"/>
      <c r="M55" s="67" t="str">
        <f>'Description Sheet'!K54</f>
        <v>m2</v>
      </c>
      <c r="N55" s="67">
        <f>'Description Sheet'!L54</f>
        <v>0</v>
      </c>
      <c r="O55" s="73">
        <f>'Year (2028-2029)'!O55*(('Description Sheet'!M4)+1)</f>
        <v>349.82580974327578</v>
      </c>
      <c r="P55" s="69">
        <f t="shared" si="27"/>
        <v>0</v>
      </c>
      <c r="Q55" s="14"/>
      <c r="R55" s="44"/>
    </row>
    <row r="56" spans="1:18" hidden="1">
      <c r="A56" s="14"/>
      <c r="B56" s="109">
        <f>'Description Sheet'!B55</f>
        <v>6.7</v>
      </c>
      <c r="C56" s="152" t="str">
        <f>'Description Sheet'!C55</f>
        <v xml:space="preserve">Painting &amp; Repairs of Fibre Cement Roof Areas </v>
      </c>
      <c r="D56" s="107"/>
      <c r="E56" s="153" t="str">
        <f>IF('Maintenance Schedule'!V70="x","x","")</f>
        <v/>
      </c>
      <c r="F56" s="153" t="str">
        <f>IF(E56="x","item","")</f>
        <v/>
      </c>
      <c r="G56" s="154">
        <f t="shared" si="29"/>
        <v>0</v>
      </c>
      <c r="H56" s="155">
        <f t="shared" si="25"/>
        <v>0</v>
      </c>
      <c r="I56" s="156">
        <f t="shared" si="26"/>
        <v>0</v>
      </c>
      <c r="J56" s="14"/>
      <c r="K56" s="15"/>
      <c r="L56" s="32"/>
      <c r="M56" s="67" t="str">
        <f>'Description Sheet'!K55</f>
        <v>m2</v>
      </c>
      <c r="N56" s="67">
        <f>'Description Sheet'!L55</f>
        <v>0</v>
      </c>
      <c r="O56" s="73">
        <f>'Year (2028-2029)'!O56*(('Description Sheet'!M4)+1)</f>
        <v>329.46557743017513</v>
      </c>
      <c r="P56" s="69">
        <f t="shared" si="27"/>
        <v>0</v>
      </c>
      <c r="Q56" s="14"/>
      <c r="R56" s="44"/>
    </row>
    <row r="57" spans="1:18" hidden="1">
      <c r="A57" s="14"/>
      <c r="B57" s="109">
        <f>'Description Sheet'!B56</f>
        <v>6.8</v>
      </c>
      <c r="C57" s="152" t="str">
        <f>'Description Sheet'!C56</f>
        <v>Servicing of Roof Screws</v>
      </c>
      <c r="D57" s="107"/>
      <c r="E57" s="153" t="str">
        <f>IF('Maintenance Schedule'!V71="x","x","")</f>
        <v/>
      </c>
      <c r="F57" s="153" t="str">
        <f t="shared" ref="F57:F59" si="30">IF(E57="x","item","")</f>
        <v/>
      </c>
      <c r="G57" s="154">
        <f t="shared" si="29"/>
        <v>0</v>
      </c>
      <c r="H57" s="155">
        <f t="shared" si="25"/>
        <v>0</v>
      </c>
      <c r="I57" s="156">
        <f t="shared" si="26"/>
        <v>0</v>
      </c>
      <c r="J57" s="14"/>
      <c r="K57" s="15"/>
      <c r="L57" s="32"/>
      <c r="M57" s="67" t="str">
        <f>'Description Sheet'!K56</f>
        <v>No</v>
      </c>
      <c r="N57" s="67">
        <f>'Description Sheet'!L56</f>
        <v>0</v>
      </c>
      <c r="O57" s="73">
        <f>'Year (2028-2029)'!O57*(('Description Sheet'!M4)+1)</f>
        <v>11994.027762626598</v>
      </c>
      <c r="P57" s="69">
        <f t="shared" si="27"/>
        <v>0</v>
      </c>
      <c r="Q57" s="14"/>
      <c r="R57" s="44"/>
    </row>
    <row r="58" spans="1:18" hidden="1">
      <c r="A58" s="14"/>
      <c r="B58" s="109">
        <f>'Description Sheet'!B57</f>
        <v>6.9</v>
      </c>
      <c r="C58" s="152" t="str">
        <f>'Description Sheet'!C57</f>
        <v xml:space="preserve">Servicing and Re-lignment of Gutters </v>
      </c>
      <c r="D58" s="107"/>
      <c r="E58" s="153" t="str">
        <f>IF('Maintenance Schedule'!V72="x","x","")</f>
        <v/>
      </c>
      <c r="F58" s="153" t="str">
        <f t="shared" si="30"/>
        <v/>
      </c>
      <c r="G58" s="154">
        <f t="shared" si="29"/>
        <v>0</v>
      </c>
      <c r="H58" s="155">
        <f t="shared" si="25"/>
        <v>0</v>
      </c>
      <c r="I58" s="156">
        <f t="shared" si="26"/>
        <v>0</v>
      </c>
      <c r="J58" s="14"/>
      <c r="K58" s="15"/>
      <c r="L58" s="32"/>
      <c r="M58" s="67" t="str">
        <f>'Description Sheet'!K57</f>
        <v>item</v>
      </c>
      <c r="N58" s="67">
        <f>'Description Sheet'!L57</f>
        <v>0</v>
      </c>
      <c r="O58" s="73">
        <f>'Year (2028-2029)'!O58*(('Description Sheet'!M4)+1)</f>
        <v>6996.516194865515</v>
      </c>
      <c r="P58" s="69">
        <f t="shared" si="27"/>
        <v>0</v>
      </c>
      <c r="Q58" s="14"/>
      <c r="R58" s="44"/>
    </row>
    <row r="59" spans="1:18" hidden="1">
      <c r="A59" s="14"/>
      <c r="B59" s="112">
        <f>'Description Sheet'!B58</f>
        <v>6.1</v>
      </c>
      <c r="C59" s="152" t="str">
        <f>'Description Sheet'!C58</f>
        <v>Replacement of Damaged Metal Roof Sheeting</v>
      </c>
      <c r="D59" s="107"/>
      <c r="E59" s="153" t="str">
        <f>IF('Maintenance Schedule'!V73="x","x","")</f>
        <v/>
      </c>
      <c r="F59" s="153" t="str">
        <f t="shared" si="30"/>
        <v/>
      </c>
      <c r="G59" s="154">
        <f t="shared" si="29"/>
        <v>0</v>
      </c>
      <c r="H59" s="155">
        <f t="shared" si="25"/>
        <v>0</v>
      </c>
      <c r="I59" s="156">
        <f t="shared" si="26"/>
        <v>0</v>
      </c>
      <c r="J59" s="14"/>
      <c r="K59" s="15"/>
      <c r="L59" s="32"/>
      <c r="M59" s="67" t="str">
        <f>'Description Sheet'!K58</f>
        <v>m2</v>
      </c>
      <c r="N59" s="67">
        <f>'Description Sheet'!L58</f>
        <v>0</v>
      </c>
      <c r="O59" s="73">
        <f>'Year (2028-2029)'!O59*(('Description Sheet'!M4)+1)</f>
        <v>899.55208219699489</v>
      </c>
      <c r="P59" s="69">
        <f t="shared" si="27"/>
        <v>0</v>
      </c>
      <c r="Q59" s="14"/>
      <c r="R59" s="44"/>
    </row>
    <row r="60" spans="1:18" hidden="1">
      <c r="A60" s="14"/>
      <c r="B60" s="112">
        <f>'Description Sheet'!B59</f>
        <v>6.11</v>
      </c>
      <c r="C60" s="152" t="str">
        <f>'Description Sheet'!C59</f>
        <v>Replacement of Polycarbonate Roof Sheeting</v>
      </c>
      <c r="D60" s="107"/>
      <c r="E60" s="153" t="str">
        <f>IF('Maintenance Schedule'!V74="x","x","")</f>
        <v/>
      </c>
      <c r="F60" s="153" t="str">
        <f t="shared" si="28"/>
        <v/>
      </c>
      <c r="G60" s="154">
        <f t="shared" si="29"/>
        <v>0</v>
      </c>
      <c r="H60" s="155">
        <f t="shared" si="25"/>
        <v>0</v>
      </c>
      <c r="I60" s="156">
        <f t="shared" si="26"/>
        <v>0</v>
      </c>
      <c r="J60" s="14"/>
      <c r="K60" s="15"/>
      <c r="L60" s="32"/>
      <c r="M60" s="67" t="str">
        <f>'Description Sheet'!K59</f>
        <v>m2</v>
      </c>
      <c r="N60" s="67">
        <f>'Description Sheet'!L59</f>
        <v>0</v>
      </c>
      <c r="O60" s="73">
        <f>'Year (2028-2029)'!O60*(('Description Sheet'!M4)+1)</f>
        <v>999.50231355221661</v>
      </c>
      <c r="P60" s="69">
        <f t="shared" si="27"/>
        <v>0</v>
      </c>
      <c r="Q60" s="14"/>
      <c r="R60" s="44"/>
    </row>
    <row r="61" spans="1:18" hidden="1">
      <c r="A61" s="14"/>
      <c r="B61" s="112">
        <f>'Description Sheet'!B60</f>
        <v>6.12</v>
      </c>
      <c r="C61" s="152" t="str">
        <f>'Description Sheet'!C60</f>
        <v>Replacement of Tile Roofs</v>
      </c>
      <c r="D61" s="107"/>
      <c r="E61" s="153" t="str">
        <f>IF('Maintenance Schedule'!V75="x","x","")</f>
        <v/>
      </c>
      <c r="F61" s="153" t="str">
        <f t="shared" si="28"/>
        <v/>
      </c>
      <c r="G61" s="154">
        <f t="shared" si="29"/>
        <v>0</v>
      </c>
      <c r="H61" s="155">
        <f t="shared" si="25"/>
        <v>0</v>
      </c>
      <c r="I61" s="156">
        <f t="shared" si="26"/>
        <v>0</v>
      </c>
      <c r="J61" s="14"/>
      <c r="K61" s="15"/>
      <c r="L61" s="32"/>
      <c r="M61" s="67" t="str">
        <f>'Description Sheet'!K60</f>
        <v>m2</v>
      </c>
      <c r="N61" s="67">
        <f>'Description Sheet'!L60</f>
        <v>0</v>
      </c>
      <c r="O61" s="73">
        <f>'Year (2028-2029)'!O61*(('Description Sheet'!M4)+1)</f>
        <v>1358.5827743469017</v>
      </c>
      <c r="P61" s="69">
        <f t="shared" si="27"/>
        <v>0</v>
      </c>
      <c r="Q61" s="14"/>
      <c r="R61" s="44"/>
    </row>
    <row r="62" spans="1:18" hidden="1">
      <c r="A62" s="14"/>
      <c r="B62" s="112">
        <f>'Description Sheet'!B61</f>
        <v>6.13</v>
      </c>
      <c r="C62" s="152" t="str">
        <f>'Description Sheet'!C61</f>
        <v>Replacement of Tile Roof and Structure</v>
      </c>
      <c r="D62" s="107"/>
      <c r="E62" s="153" t="str">
        <f>IF('Maintenance Schedule'!V76="x","x","")</f>
        <v/>
      </c>
      <c r="F62" s="153" t="str">
        <f t="shared" si="28"/>
        <v/>
      </c>
      <c r="G62" s="154">
        <f t="shared" si="29"/>
        <v>0</v>
      </c>
      <c r="H62" s="155">
        <f t="shared" si="25"/>
        <v>0</v>
      </c>
      <c r="I62" s="156">
        <f t="shared" si="26"/>
        <v>0</v>
      </c>
      <c r="J62" s="14"/>
      <c r="K62" s="15"/>
      <c r="L62" s="32"/>
      <c r="M62" s="67" t="str">
        <f>'Description Sheet'!K61</f>
        <v>m2</v>
      </c>
      <c r="N62" s="67">
        <f>'Description Sheet'!L61</f>
        <v>0</v>
      </c>
      <c r="O62" s="73">
        <f>'Year (2028-2029)'!O62*(('Description Sheet'!M4)+1)</f>
        <v>1680.644630935949</v>
      </c>
      <c r="P62" s="69">
        <f t="shared" si="27"/>
        <v>0</v>
      </c>
      <c r="Q62" s="14"/>
      <c r="R62" s="44"/>
    </row>
    <row r="63" spans="1:18" hidden="1">
      <c r="A63" s="14"/>
      <c r="B63" s="112">
        <f>'Description Sheet'!B62</f>
        <v>6.14</v>
      </c>
      <c r="C63" s="152" t="str">
        <f>'Description Sheet'!C62</f>
        <v>Replacement of Fibre Cement Roof</v>
      </c>
      <c r="D63" s="107"/>
      <c r="E63" s="153" t="str">
        <f>IF('Maintenance Schedule'!V77="x","x","")</f>
        <v/>
      </c>
      <c r="F63" s="153" t="str">
        <f t="shared" ref="F63:F66" si="31">IF(E63="x","item","")</f>
        <v/>
      </c>
      <c r="G63" s="154">
        <f t="shared" si="29"/>
        <v>0</v>
      </c>
      <c r="H63" s="155">
        <f t="shared" si="25"/>
        <v>0</v>
      </c>
      <c r="I63" s="156">
        <f t="shared" si="26"/>
        <v>0</v>
      </c>
      <c r="J63" s="14"/>
      <c r="K63" s="15"/>
      <c r="L63" s="32"/>
      <c r="M63" s="67" t="str">
        <f>'Description Sheet'!K62</f>
        <v>m2</v>
      </c>
      <c r="N63" s="67">
        <f>'Description Sheet'!L62</f>
        <v>0</v>
      </c>
      <c r="O63" s="73">
        <f>'Year (2028-2029)'!O63*(('Description Sheet'!M4)+1)</f>
        <v>1299.3530076178815</v>
      </c>
      <c r="P63" s="69">
        <f t="shared" si="27"/>
        <v>0</v>
      </c>
      <c r="Q63" s="14"/>
      <c r="R63" s="44"/>
    </row>
    <row r="64" spans="1:18" hidden="1">
      <c r="A64" s="14"/>
      <c r="B64" s="112">
        <f>'Description Sheet'!B63</f>
        <v>6.15</v>
      </c>
      <c r="C64" s="152" t="str">
        <f>'Description Sheet'!C63</f>
        <v>blank</v>
      </c>
      <c r="D64" s="107"/>
      <c r="E64" s="153" t="str">
        <f>IF('Maintenance Schedule'!V78="x","x","")</f>
        <v/>
      </c>
      <c r="F64" s="153" t="str">
        <f t="shared" si="31"/>
        <v/>
      </c>
      <c r="G64" s="154">
        <f t="shared" si="29"/>
        <v>0</v>
      </c>
      <c r="H64" s="155">
        <f t="shared" si="25"/>
        <v>0</v>
      </c>
      <c r="I64" s="156">
        <f t="shared" si="26"/>
        <v>0</v>
      </c>
      <c r="J64" s="14"/>
      <c r="K64" s="15"/>
      <c r="L64" s="32"/>
      <c r="M64" s="67" t="str">
        <f>'Description Sheet'!K63</f>
        <v>item</v>
      </c>
      <c r="N64" s="67">
        <f>'Description Sheet'!L63</f>
        <v>0</v>
      </c>
      <c r="O64" s="73">
        <f>'Year (2028-2029)'!O64*(('Description Sheet'!M4)+1)</f>
        <v>0</v>
      </c>
      <c r="P64" s="69">
        <f t="shared" si="27"/>
        <v>0</v>
      </c>
      <c r="Q64" s="14"/>
      <c r="R64" s="44"/>
    </row>
    <row r="65" spans="1:19" hidden="1">
      <c r="A65" s="14"/>
      <c r="B65" s="112">
        <f>'Description Sheet'!B64</f>
        <v>6.17</v>
      </c>
      <c r="C65" s="152" t="str">
        <f>'Description Sheet'!C64</f>
        <v>blank</v>
      </c>
      <c r="D65" s="107"/>
      <c r="E65" s="153" t="str">
        <f>IF('Maintenance Schedule'!V79="x","x","")</f>
        <v/>
      </c>
      <c r="F65" s="153" t="str">
        <f t="shared" si="31"/>
        <v/>
      </c>
      <c r="G65" s="154">
        <f t="shared" si="29"/>
        <v>0</v>
      </c>
      <c r="H65" s="155">
        <f t="shared" si="25"/>
        <v>0</v>
      </c>
      <c r="I65" s="156">
        <f t="shared" si="26"/>
        <v>0</v>
      </c>
      <c r="J65" s="14"/>
      <c r="K65" s="15"/>
      <c r="L65" s="32"/>
      <c r="M65" s="67" t="str">
        <f>'Description Sheet'!K64</f>
        <v>item</v>
      </c>
      <c r="N65" s="67">
        <f>'Description Sheet'!L64</f>
        <v>0</v>
      </c>
      <c r="O65" s="73">
        <f>'Year (2028-2029)'!O65*(('Description Sheet'!M4)+1)</f>
        <v>0</v>
      </c>
      <c r="P65" s="69">
        <f t="shared" si="27"/>
        <v>0</v>
      </c>
      <c r="Q65" s="14"/>
      <c r="R65" s="44"/>
    </row>
    <row r="66" spans="1:19" hidden="1">
      <c r="A66" s="14"/>
      <c r="B66" s="112">
        <f>'Description Sheet'!B65</f>
        <v>6.18</v>
      </c>
      <c r="C66" s="152" t="str">
        <f>'Description Sheet'!C65</f>
        <v>blank</v>
      </c>
      <c r="D66" s="107"/>
      <c r="E66" s="153" t="str">
        <f>IF('Maintenance Schedule'!V80="x","x","")</f>
        <v/>
      </c>
      <c r="F66" s="153" t="str">
        <f t="shared" si="31"/>
        <v/>
      </c>
      <c r="G66" s="154">
        <f t="shared" si="29"/>
        <v>0</v>
      </c>
      <c r="H66" s="155">
        <f t="shared" si="25"/>
        <v>0</v>
      </c>
      <c r="I66" s="156">
        <f t="shared" si="26"/>
        <v>0</v>
      </c>
      <c r="J66" s="14"/>
      <c r="K66" s="15"/>
      <c r="L66" s="32"/>
      <c r="M66" s="67" t="str">
        <f>'Description Sheet'!K65</f>
        <v>item</v>
      </c>
      <c r="N66" s="67">
        <f>'Description Sheet'!L65</f>
        <v>0</v>
      </c>
      <c r="O66" s="73">
        <f>'Year (2028-2029)'!O66*(('Description Sheet'!M4)+1)</f>
        <v>0</v>
      </c>
      <c r="P66" s="69">
        <f t="shared" si="27"/>
        <v>0</v>
      </c>
      <c r="Q66" s="14"/>
      <c r="R66" s="44"/>
    </row>
    <row r="67" spans="1:19" ht="17" thickBot="1">
      <c r="A67" s="14"/>
      <c r="B67" s="109"/>
      <c r="C67" s="152"/>
      <c r="D67" s="107"/>
      <c r="E67" s="153"/>
      <c r="F67" s="153"/>
      <c r="G67" s="154"/>
      <c r="H67" s="155"/>
      <c r="I67" s="155"/>
      <c r="J67" s="14"/>
      <c r="K67" s="15"/>
      <c r="L67" s="32"/>
      <c r="M67" s="70"/>
      <c r="N67" s="67"/>
      <c r="O67" s="73"/>
      <c r="P67" s="79"/>
      <c r="Q67" s="14"/>
      <c r="R67" s="44"/>
    </row>
    <row r="68" spans="1:19" s="4" customFormat="1" ht="15.75" customHeight="1" thickBot="1">
      <c r="A68" s="14"/>
      <c r="B68" s="109"/>
      <c r="C68" s="115"/>
      <c r="D68" s="107"/>
      <c r="E68" s="159"/>
      <c r="F68" s="528" t="s">
        <v>7</v>
      </c>
      <c r="G68" s="529"/>
      <c r="H68" s="530">
        <f>SUM(I50:I67)</f>
        <v>5904.4673707992051</v>
      </c>
      <c r="I68" s="531"/>
      <c r="J68" s="14"/>
      <c r="K68" s="15"/>
      <c r="L68" s="33"/>
      <c r="M68" s="508" t="s">
        <v>7</v>
      </c>
      <c r="N68" s="509"/>
      <c r="O68" s="510">
        <f>SUM(P50:P67)</f>
        <v>5904.4673707992051</v>
      </c>
      <c r="P68" s="511"/>
      <c r="Q68" s="14"/>
      <c r="R68" s="31"/>
    </row>
    <row r="69" spans="1:19" ht="17" thickBot="1">
      <c r="A69" s="14"/>
      <c r="B69" s="109">
        <f>'Description Sheet'!B68</f>
        <v>7</v>
      </c>
      <c r="C69" s="113" t="str">
        <f>'Description Sheet'!C68</f>
        <v>Painting and Repairs</v>
      </c>
      <c r="D69" s="107"/>
      <c r="E69" s="110"/>
      <c r="F69" s="110"/>
      <c r="G69" s="110"/>
      <c r="H69" s="110"/>
      <c r="I69" s="151"/>
      <c r="J69" s="32"/>
      <c r="K69" s="40"/>
      <c r="L69" s="33"/>
      <c r="M69" s="24"/>
      <c r="N69" s="25"/>
      <c r="O69" s="25"/>
      <c r="P69" s="63"/>
      <c r="Q69" s="14"/>
      <c r="R69" s="44"/>
    </row>
    <row r="70" spans="1:19" hidden="1">
      <c r="A70" s="14"/>
      <c r="B70" s="109">
        <f>'Description Sheet'!B69</f>
        <v>7.1</v>
      </c>
      <c r="C70" s="152" t="str">
        <f>'Description Sheet'!C69</f>
        <v>External  Painting and Remedial Repairs</v>
      </c>
      <c r="D70" s="107"/>
      <c r="E70" s="153" t="str">
        <f>IF('Maintenance Schedule'!V87="x","x","")</f>
        <v/>
      </c>
      <c r="F70" s="153" t="str">
        <f t="shared" ref="F70:F91" si="32">IF(E70="x","No","")</f>
        <v/>
      </c>
      <c r="G70" s="154">
        <f>IF(E70="x",1,0)</f>
        <v>0</v>
      </c>
      <c r="H70" s="155">
        <f t="shared" ref="H70:H91" si="33">IF(E70="x",P70,0)</f>
        <v>0</v>
      </c>
      <c r="I70" s="156">
        <f>IF(E70="x",G70*H70,0)</f>
        <v>0</v>
      </c>
      <c r="J70" s="14"/>
      <c r="K70" s="15"/>
      <c r="L70" s="32"/>
      <c r="M70" s="67" t="str">
        <f>'Description Sheet'!K69</f>
        <v>m2</v>
      </c>
      <c r="N70" s="67">
        <f>'Description Sheet'!L69</f>
        <v>1</v>
      </c>
      <c r="O70" s="73">
        <f>'Year (2028-2029)'!O70*(('Description Sheet'!M4)+1)</f>
        <v>3411724.8889858276</v>
      </c>
      <c r="P70" s="68">
        <f t="shared" ref="P70:P78" si="34">N70*O70</f>
        <v>3411724.8889858276</v>
      </c>
      <c r="Q70" s="14"/>
      <c r="R70" s="44"/>
    </row>
    <row r="71" spans="1:19" hidden="1">
      <c r="A71" s="14"/>
      <c r="B71" s="109">
        <f>'Description Sheet'!B70</f>
        <v>7.2</v>
      </c>
      <c r="C71" s="152" t="str">
        <f>'Description Sheet'!C70</f>
        <v>Internal Repairs to Apartments 505, 405, 305</v>
      </c>
      <c r="D71" s="107"/>
      <c r="E71" s="153" t="str">
        <f>IF('Maintenance Schedule'!V88="x","x","")</f>
        <v/>
      </c>
      <c r="F71" s="153" t="str">
        <f t="shared" si="32"/>
        <v/>
      </c>
      <c r="G71" s="154">
        <f t="shared" ref="G71:G91" si="35">IF(E71="x",1,0)</f>
        <v>0</v>
      </c>
      <c r="H71" s="155">
        <f t="shared" si="33"/>
        <v>0</v>
      </c>
      <c r="I71" s="156">
        <f t="shared" ref="I71:I91" si="36">IF(E71="x",G71*H71,0)</f>
        <v>0</v>
      </c>
      <c r="J71" s="14"/>
      <c r="K71" s="15"/>
      <c r="L71" s="32"/>
      <c r="M71" s="67" t="str">
        <f>'Description Sheet'!K70</f>
        <v>m2</v>
      </c>
      <c r="N71" s="67">
        <f>'Description Sheet'!L70</f>
        <v>1</v>
      </c>
      <c r="O71" s="73">
        <f>'Year (2028-2029)'!O71*(('Description Sheet'!M4)+1)</f>
        <v>287356.91514626221</v>
      </c>
      <c r="P71" s="68">
        <f t="shared" si="34"/>
        <v>287356.91514626221</v>
      </c>
      <c r="Q71" s="14"/>
      <c r="R71" s="44"/>
    </row>
    <row r="72" spans="1:19" hidden="1">
      <c r="A72" s="14"/>
      <c r="B72" s="109">
        <f>'Description Sheet'!B71</f>
        <v>7.3</v>
      </c>
      <c r="C72" s="152" t="str">
        <f>'Description Sheet'!C71</f>
        <v>Exposed Tops</v>
      </c>
      <c r="D72" s="107"/>
      <c r="E72" s="153" t="str">
        <f>IF('Maintenance Schedule'!V89="x","x","")</f>
        <v/>
      </c>
      <c r="F72" s="153" t="str">
        <f t="shared" si="32"/>
        <v/>
      </c>
      <c r="G72" s="154">
        <f t="shared" si="35"/>
        <v>0</v>
      </c>
      <c r="H72" s="155">
        <f t="shared" si="33"/>
        <v>0</v>
      </c>
      <c r="I72" s="156">
        <f t="shared" si="36"/>
        <v>0</v>
      </c>
      <c r="J72" s="14"/>
      <c r="K72" s="15"/>
      <c r="L72" s="32"/>
      <c r="M72" s="67" t="str">
        <f>'Description Sheet'!K71</f>
        <v>m2</v>
      </c>
      <c r="N72" s="67">
        <f>'Description Sheet'!L71</f>
        <v>0</v>
      </c>
      <c r="O72" s="73">
        <f>'Year (2028-2029)'!O72*(('Description Sheet'!M4)+1)</f>
        <v>229.51534607495347</v>
      </c>
      <c r="P72" s="68">
        <f t="shared" si="34"/>
        <v>0</v>
      </c>
      <c r="Q72" s="14"/>
      <c r="R72" s="44"/>
    </row>
    <row r="73" spans="1:19" hidden="1">
      <c r="A73" s="14"/>
      <c r="B73" s="109">
        <f>'Description Sheet'!B72</f>
        <v>7.4</v>
      </c>
      <c r="C73" s="152" t="str">
        <f>'Description Sheet'!C72</f>
        <v>Wall to Frame Sealant (Exposed)</v>
      </c>
      <c r="D73" s="107"/>
      <c r="E73" s="153" t="str">
        <f>IF('Maintenance Schedule'!V90="x","x","")</f>
        <v/>
      </c>
      <c r="F73" s="153" t="str">
        <f>IF(E73="x","All","")</f>
        <v/>
      </c>
      <c r="G73" s="154">
        <f t="shared" si="35"/>
        <v>0</v>
      </c>
      <c r="H73" s="155">
        <f t="shared" si="33"/>
        <v>0</v>
      </c>
      <c r="I73" s="156">
        <f t="shared" si="36"/>
        <v>0</v>
      </c>
      <c r="J73" s="14"/>
      <c r="K73" s="15"/>
      <c r="L73" s="32"/>
      <c r="M73" s="67" t="str">
        <f>'Description Sheet'!K72</f>
        <v>lm</v>
      </c>
      <c r="N73" s="67">
        <f>'Description Sheet'!L72</f>
        <v>0</v>
      </c>
      <c r="O73" s="73">
        <f>'Year (2028-2029)'!O73*(('Description Sheet'!M4)+1)</f>
        <v>129.56511471973178</v>
      </c>
      <c r="P73" s="68">
        <f t="shared" si="34"/>
        <v>0</v>
      </c>
      <c r="Q73" s="14"/>
      <c r="R73" s="44"/>
    </row>
    <row r="74" spans="1:19" hidden="1">
      <c r="A74" s="14"/>
      <c r="B74" s="109">
        <f>'Description Sheet'!B73</f>
        <v>7.5</v>
      </c>
      <c r="C74" s="152" t="str">
        <f>'Description Sheet'!C73</f>
        <v>Glass to Frame Sealant (Skylights)</v>
      </c>
      <c r="D74" s="107"/>
      <c r="E74" s="153" t="str">
        <f>IF('Maintenance Schedule'!V91="x","x","")</f>
        <v/>
      </c>
      <c r="F74" s="153" t="str">
        <f>IF(E74="x","All","")</f>
        <v/>
      </c>
      <c r="G74" s="154">
        <f t="shared" si="35"/>
        <v>0</v>
      </c>
      <c r="H74" s="155">
        <f t="shared" si="33"/>
        <v>0</v>
      </c>
      <c r="I74" s="156">
        <f t="shared" si="36"/>
        <v>0</v>
      </c>
      <c r="J74" s="14"/>
      <c r="K74" s="15"/>
      <c r="L74" s="32"/>
      <c r="M74" s="67" t="str">
        <f>'Description Sheet'!K73</f>
        <v>All</v>
      </c>
      <c r="N74" s="67">
        <f>'Description Sheet'!L73</f>
        <v>0</v>
      </c>
      <c r="O74" s="73">
        <f>'Year (2028-2029)'!O74*(('Description Sheet'!M4)+1)</f>
        <v>29985.069406566501</v>
      </c>
      <c r="P74" s="68">
        <f>N74*O74</f>
        <v>0</v>
      </c>
      <c r="Q74" s="14"/>
      <c r="R74" s="44"/>
    </row>
    <row r="75" spans="1:19" hidden="1">
      <c r="A75" s="14"/>
      <c r="B75" s="109">
        <f>'Description Sheet'!B74</f>
        <v>7.6</v>
      </c>
      <c r="C75" s="152" t="str">
        <f>'Description Sheet'!C74</f>
        <v>Metal Windows and Putty Repairs</v>
      </c>
      <c r="D75" s="107"/>
      <c r="E75" s="153" t="str">
        <f>IF('Maintenance Schedule'!V92="x","x","")</f>
        <v/>
      </c>
      <c r="F75" s="153" t="str">
        <f t="shared" si="32"/>
        <v/>
      </c>
      <c r="G75" s="154">
        <f t="shared" si="35"/>
        <v>0</v>
      </c>
      <c r="H75" s="155">
        <f t="shared" si="33"/>
        <v>0</v>
      </c>
      <c r="I75" s="156">
        <f t="shared" si="36"/>
        <v>0</v>
      </c>
      <c r="J75" s="14"/>
      <c r="K75" s="15"/>
      <c r="L75" s="32"/>
      <c r="M75" s="67" t="str">
        <f>'Description Sheet'!K74</f>
        <v>m2</v>
      </c>
      <c r="N75" s="67">
        <f>'Description Sheet'!L74</f>
        <v>1</v>
      </c>
      <c r="O75" s="73">
        <f>'Year (2028-2029)'!O75*(('Description Sheet'!M4)+1)</f>
        <v>18509.302102818827</v>
      </c>
      <c r="P75" s="68">
        <f t="shared" si="34"/>
        <v>18509.302102818827</v>
      </c>
      <c r="Q75" s="14"/>
      <c r="R75" s="44"/>
      <c r="S75" s="2"/>
    </row>
    <row r="76" spans="1:19">
      <c r="A76" s="14"/>
      <c r="B76" s="109">
        <f>'Description Sheet'!B75</f>
        <v>7.7</v>
      </c>
      <c r="C76" s="152" t="str">
        <f>'Description Sheet'!C75</f>
        <v xml:space="preserve">External Woodwork </v>
      </c>
      <c r="D76" s="107"/>
      <c r="E76" s="153" t="str">
        <f>IF('Maintenance Schedule'!V93="x","x","")</f>
        <v>x</v>
      </c>
      <c r="F76" s="153" t="str">
        <f t="shared" si="32"/>
        <v>No</v>
      </c>
      <c r="G76" s="154">
        <f t="shared" si="35"/>
        <v>1</v>
      </c>
      <c r="H76" s="155">
        <f t="shared" si="33"/>
        <v>60710.510897245753</v>
      </c>
      <c r="I76" s="156">
        <f t="shared" si="36"/>
        <v>60710.510897245753</v>
      </c>
      <c r="J76" s="14"/>
      <c r="K76" s="15"/>
      <c r="L76" s="32"/>
      <c r="M76" s="67" t="str">
        <f>'Description Sheet'!K75</f>
        <v>m2</v>
      </c>
      <c r="N76" s="67">
        <f>'Description Sheet'!L75</f>
        <v>160</v>
      </c>
      <c r="O76" s="73">
        <f>'Year (2028-2029)'!O76*(('Description Sheet'!M4)+1)</f>
        <v>379.44069310778593</v>
      </c>
      <c r="P76" s="68">
        <f t="shared" si="34"/>
        <v>60710.510897245753</v>
      </c>
      <c r="Q76" s="14"/>
      <c r="R76" s="44"/>
    </row>
    <row r="77" spans="1:19">
      <c r="A77" s="14"/>
      <c r="B77" s="109">
        <f>'Description Sheet'!B76</f>
        <v>7.8</v>
      </c>
      <c r="C77" s="152" t="str">
        <f>'Description Sheet'!C76</f>
        <v xml:space="preserve">External Steelwork </v>
      </c>
      <c r="D77" s="107"/>
      <c r="E77" s="153" t="str">
        <f>IF('Maintenance Schedule'!V94="x","x","")</f>
        <v>x</v>
      </c>
      <c r="F77" s="153" t="str">
        <f t="shared" si="32"/>
        <v>No</v>
      </c>
      <c r="G77" s="154">
        <f t="shared" si="35"/>
        <v>1</v>
      </c>
      <c r="H77" s="155">
        <f t="shared" si="33"/>
        <v>16954.520726182047</v>
      </c>
      <c r="I77" s="156">
        <f t="shared" si="36"/>
        <v>16954.520726182047</v>
      </c>
      <c r="J77" s="14"/>
      <c r="K77" s="15"/>
      <c r="L77" s="32"/>
      <c r="M77" s="67" t="str">
        <f>'Description Sheet'!K76</f>
        <v>m2</v>
      </c>
      <c r="N77" s="67">
        <f>'Description Sheet'!L76</f>
        <v>40</v>
      </c>
      <c r="O77" s="73">
        <f>'Year (2028-2029)'!O77*(('Description Sheet'!M4)+1)</f>
        <v>423.86301815455113</v>
      </c>
      <c r="P77" s="68">
        <f t="shared" si="34"/>
        <v>16954.520726182047</v>
      </c>
      <c r="Q77" s="14"/>
      <c r="R77" s="44"/>
    </row>
    <row r="78" spans="1:19" hidden="1">
      <c r="A78" s="14"/>
      <c r="B78" s="109">
        <f>'Description Sheet'!B77</f>
        <v>7.9</v>
      </c>
      <c r="C78" s="152" t="str">
        <f>'Description Sheet'!C77</f>
        <v xml:space="preserve">Pointing &amp; Brickwork Repairs </v>
      </c>
      <c r="D78" s="107"/>
      <c r="E78" s="153" t="str">
        <f>IF('Maintenance Schedule'!V95="x","x","")</f>
        <v/>
      </c>
      <c r="F78" s="153" t="str">
        <f t="shared" si="32"/>
        <v/>
      </c>
      <c r="G78" s="154">
        <f t="shared" si="35"/>
        <v>0</v>
      </c>
      <c r="H78" s="155">
        <f t="shared" si="33"/>
        <v>0</v>
      </c>
      <c r="I78" s="156">
        <f t="shared" si="36"/>
        <v>0</v>
      </c>
      <c r="J78" s="14"/>
      <c r="K78" s="15"/>
      <c r="L78" s="32"/>
      <c r="M78" s="67" t="str">
        <f>'Description Sheet'!K77</f>
        <v>m2</v>
      </c>
      <c r="N78" s="67">
        <f>'Description Sheet'!L77</f>
        <v>0</v>
      </c>
      <c r="O78" s="73">
        <f>'Year (2028-2029)'!O78*(('Description Sheet'!M4)+1)</f>
        <v>89955.208219699503</v>
      </c>
      <c r="P78" s="68">
        <f t="shared" si="34"/>
        <v>0</v>
      </c>
      <c r="Q78" s="14"/>
      <c r="R78" s="44"/>
    </row>
    <row r="79" spans="1:19" hidden="1">
      <c r="A79" s="14"/>
      <c r="B79" s="112">
        <f>'Description Sheet'!B78</f>
        <v>7.1</v>
      </c>
      <c r="C79" s="152" t="str">
        <f>'Description Sheet'!C78</f>
        <v>Brickwork Repairs</v>
      </c>
      <c r="D79" s="107"/>
      <c r="E79" s="153" t="str">
        <f>IF('Maintenance Schedule'!V96="x","x","")</f>
        <v/>
      </c>
      <c r="F79" s="153" t="str">
        <f t="shared" si="32"/>
        <v/>
      </c>
      <c r="G79" s="154">
        <f t="shared" si="35"/>
        <v>0</v>
      </c>
      <c r="H79" s="155">
        <f t="shared" si="33"/>
        <v>0</v>
      </c>
      <c r="I79" s="156">
        <f t="shared" si="36"/>
        <v>0</v>
      </c>
      <c r="J79" s="14"/>
      <c r="K79" s="15"/>
      <c r="L79" s="32"/>
      <c r="M79" s="67" t="str">
        <f>'Description Sheet'!K78</f>
        <v>m2</v>
      </c>
      <c r="N79" s="67">
        <f>'Description Sheet'!L78</f>
        <v>1</v>
      </c>
      <c r="O79" s="73">
        <f>'Year (2028-2029)'!O79*(('Description Sheet'!M4)+1)</f>
        <v>7622.1306059407925</v>
      </c>
      <c r="P79" s="68">
        <f>N79*O79</f>
        <v>7622.1306059407925</v>
      </c>
      <c r="Q79" s="14"/>
      <c r="R79" s="44"/>
    </row>
    <row r="80" spans="1:19" hidden="1">
      <c r="A80" s="14"/>
      <c r="B80" s="112">
        <f>'Description Sheet'!B79</f>
        <v>7.11</v>
      </c>
      <c r="C80" s="152" t="str">
        <f>'Description Sheet'!C79</f>
        <v>Painted Floors</v>
      </c>
      <c r="D80" s="107"/>
      <c r="E80" s="153" t="str">
        <f>IF('Maintenance Schedule'!V97="x","x","")</f>
        <v/>
      </c>
      <c r="F80" s="153" t="str">
        <f t="shared" si="32"/>
        <v/>
      </c>
      <c r="G80" s="154">
        <f t="shared" si="35"/>
        <v>0</v>
      </c>
      <c r="H80" s="155">
        <f t="shared" si="33"/>
        <v>0</v>
      </c>
      <c r="I80" s="156">
        <f t="shared" si="36"/>
        <v>0</v>
      </c>
      <c r="J80" s="14"/>
      <c r="K80" s="15"/>
      <c r="L80" s="32"/>
      <c r="M80" s="67" t="str">
        <f>'Description Sheet'!K79</f>
        <v>m2</v>
      </c>
      <c r="N80" s="67">
        <f>'Description Sheet'!L79</f>
        <v>680</v>
      </c>
      <c r="O80" s="73">
        <f>'Year (2028-2029)'!O80*(('Description Sheet'!M4)+1)</f>
        <v>281.34139196284616</v>
      </c>
      <c r="P80" s="68">
        <f>N80*O80</f>
        <v>191312.1465347354</v>
      </c>
      <c r="Q80" s="14"/>
      <c r="R80" s="44"/>
    </row>
    <row r="81" spans="1:18" hidden="1">
      <c r="A81" s="14"/>
      <c r="B81" s="112">
        <f>'Description Sheet'!B80</f>
        <v>7.12</v>
      </c>
      <c r="C81" s="152" t="str">
        <f>'Description Sheet'!C80</f>
        <v>Nutec Walls</v>
      </c>
      <c r="D81" s="107"/>
      <c r="E81" s="153" t="str">
        <f>IF('Maintenance Schedule'!V98="x","x","")</f>
        <v/>
      </c>
      <c r="F81" s="153" t="str">
        <f t="shared" si="32"/>
        <v/>
      </c>
      <c r="G81" s="154">
        <f t="shared" si="35"/>
        <v>0</v>
      </c>
      <c r="H81" s="155">
        <f t="shared" si="33"/>
        <v>0</v>
      </c>
      <c r="I81" s="156">
        <f t="shared" si="36"/>
        <v>0</v>
      </c>
      <c r="J81" s="14"/>
      <c r="K81" s="15"/>
      <c r="L81" s="32"/>
      <c r="M81" s="67" t="str">
        <f>'Description Sheet'!K80</f>
        <v>m2</v>
      </c>
      <c r="N81" s="67">
        <f>'Description Sheet'!L80</f>
        <v>390</v>
      </c>
      <c r="O81" s="73">
        <f>'Year (2028-2029)'!O81*(('Description Sheet'!M4)+1)</f>
        <v>205.45325334128898</v>
      </c>
      <c r="P81" s="68">
        <f>N81*O81</f>
        <v>80126.768803102706</v>
      </c>
      <c r="Q81" s="14"/>
      <c r="R81" s="44"/>
    </row>
    <row r="82" spans="1:18" hidden="1">
      <c r="A82" s="14"/>
      <c r="B82" s="112">
        <f>'Description Sheet'!B81</f>
        <v>7.13</v>
      </c>
      <c r="C82" s="152" t="str">
        <f>'Description Sheet'!C81</f>
        <v xml:space="preserve">Basement Parking Walls and Soffits Areas </v>
      </c>
      <c r="D82" s="107"/>
      <c r="E82" s="153" t="str">
        <f>IF('Maintenance Schedule'!V99="x","x","")</f>
        <v/>
      </c>
      <c r="F82" s="153" t="str">
        <f t="shared" si="32"/>
        <v/>
      </c>
      <c r="G82" s="154">
        <f t="shared" si="35"/>
        <v>0</v>
      </c>
      <c r="H82" s="155">
        <f t="shared" si="33"/>
        <v>0</v>
      </c>
      <c r="I82" s="156">
        <f t="shared" si="36"/>
        <v>0</v>
      </c>
      <c r="J82" s="14"/>
      <c r="K82" s="15"/>
      <c r="L82" s="32"/>
      <c r="M82" s="67" t="str">
        <f>'Description Sheet'!K81</f>
        <v>m2</v>
      </c>
      <c r="N82" s="67">
        <f>'Description Sheet'!L81</f>
        <v>0</v>
      </c>
      <c r="O82" s="73">
        <f>'Year (2028-2029)'!O82*(('Description Sheet'!M4)+1)</f>
        <v>272.08674091143672</v>
      </c>
      <c r="P82" s="68">
        <f>N82*O82</f>
        <v>0</v>
      </c>
      <c r="Q82" s="14"/>
      <c r="R82" s="44"/>
    </row>
    <row r="83" spans="1:18" hidden="1">
      <c r="A83" s="14"/>
      <c r="B83" s="112">
        <f>'Description Sheet'!B82</f>
        <v>7.14</v>
      </c>
      <c r="C83" s="152" t="str">
        <f>'Description Sheet'!C82</f>
        <v>Internal Common Walls and Soffit Areas</v>
      </c>
      <c r="D83" s="107"/>
      <c r="E83" s="153" t="str">
        <f>IF('Maintenance Schedule'!V100="x","x","")</f>
        <v/>
      </c>
      <c r="F83" s="153" t="str">
        <f t="shared" si="32"/>
        <v/>
      </c>
      <c r="G83" s="154">
        <f t="shared" si="35"/>
        <v>0</v>
      </c>
      <c r="H83" s="155">
        <f t="shared" si="33"/>
        <v>0</v>
      </c>
      <c r="I83" s="156">
        <f t="shared" si="36"/>
        <v>0</v>
      </c>
      <c r="J83" s="14"/>
      <c r="K83" s="15"/>
      <c r="L83" s="32"/>
      <c r="M83" s="67" t="str">
        <f>'Description Sheet'!K82</f>
        <v>m2</v>
      </c>
      <c r="N83" s="67">
        <f>'Description Sheet'!L82</f>
        <v>0</v>
      </c>
      <c r="O83" s="73">
        <f>'Year (2028-2029)'!O83*(('Description Sheet'!M4)+1)</f>
        <v>281.34139196284616</v>
      </c>
      <c r="P83" s="68">
        <f t="shared" ref="P83:P91" si="37">N83*O83</f>
        <v>0</v>
      </c>
      <c r="Q83" s="14"/>
      <c r="R83" s="44"/>
    </row>
    <row r="84" spans="1:18" hidden="1">
      <c r="A84" s="14"/>
      <c r="B84" s="112">
        <f>'Description Sheet'!B83</f>
        <v>7.15</v>
      </c>
      <c r="C84" s="152" t="str">
        <f>'Description Sheet'!C83</f>
        <v xml:space="preserve">Basement Parking Walls and Soffits Areas </v>
      </c>
      <c r="D84" s="107"/>
      <c r="E84" s="153" t="str">
        <f>IF('Maintenance Schedule'!V101="x","x","")</f>
        <v/>
      </c>
      <c r="F84" s="153" t="str">
        <f t="shared" si="32"/>
        <v/>
      </c>
      <c r="G84" s="154">
        <f t="shared" si="35"/>
        <v>0</v>
      </c>
      <c r="H84" s="155">
        <f t="shared" si="33"/>
        <v>0</v>
      </c>
      <c r="I84" s="156">
        <f t="shared" si="36"/>
        <v>0</v>
      </c>
      <c r="J84" s="14"/>
      <c r="K84" s="15"/>
      <c r="L84" s="32"/>
      <c r="M84" s="67" t="str">
        <f>'Description Sheet'!K83</f>
        <v>m2</v>
      </c>
      <c r="N84" s="67">
        <f>'Description Sheet'!L83</f>
        <v>0</v>
      </c>
      <c r="O84" s="73">
        <f>'Year (2028-2029)'!O84*(('Description Sheet'!M4)+1)</f>
        <v>272.08674091143672</v>
      </c>
      <c r="P84" s="68">
        <f t="shared" si="37"/>
        <v>0</v>
      </c>
      <c r="Q84" s="14"/>
      <c r="R84" s="44"/>
    </row>
    <row r="85" spans="1:18" hidden="1">
      <c r="A85" s="14"/>
      <c r="B85" s="112">
        <f>'Description Sheet'!B84</f>
        <v>7.16</v>
      </c>
      <c r="C85" s="152" t="str">
        <f>'Description Sheet'!C84</f>
        <v>Cleaning of Cladding Panels</v>
      </c>
      <c r="D85" s="107"/>
      <c r="E85" s="153" t="str">
        <f>IF('Maintenance Schedule'!V102="x","x","")</f>
        <v/>
      </c>
      <c r="F85" s="153" t="str">
        <f t="shared" si="32"/>
        <v/>
      </c>
      <c r="G85" s="154">
        <f t="shared" si="35"/>
        <v>0</v>
      </c>
      <c r="H85" s="155">
        <f t="shared" si="33"/>
        <v>0</v>
      </c>
      <c r="I85" s="156">
        <f t="shared" si="36"/>
        <v>0</v>
      </c>
      <c r="J85" s="14"/>
      <c r="K85" s="15"/>
      <c r="L85" s="32"/>
      <c r="M85" s="67" t="str">
        <f>'Description Sheet'!K84</f>
        <v>m2</v>
      </c>
      <c r="N85" s="67">
        <f>'Description Sheet'!L84</f>
        <v>0</v>
      </c>
      <c r="O85" s="73">
        <f>'Year (2028-2029)'!O85*(('Description Sheet'!M4)+1)</f>
        <v>188.79488144875202</v>
      </c>
      <c r="P85" s="68">
        <f t="shared" si="37"/>
        <v>0</v>
      </c>
      <c r="Q85" s="14"/>
      <c r="R85" s="44"/>
    </row>
    <row r="86" spans="1:18" hidden="1">
      <c r="A86" s="14"/>
      <c r="B86" s="112">
        <f>'Description Sheet'!B85</f>
        <v>7.17</v>
      </c>
      <c r="C86" s="152" t="str">
        <f>'Description Sheet'!C85</f>
        <v>Painting of Facais and Barge Boarding</v>
      </c>
      <c r="D86" s="107"/>
      <c r="E86" s="153" t="str">
        <f>IF('Maintenance Schedule'!V103="x","x","")</f>
        <v/>
      </c>
      <c r="F86" s="153" t="str">
        <f t="shared" si="32"/>
        <v/>
      </c>
      <c r="G86" s="154">
        <f t="shared" si="35"/>
        <v>0</v>
      </c>
      <c r="H86" s="155">
        <f t="shared" si="33"/>
        <v>0</v>
      </c>
      <c r="I86" s="156">
        <f t="shared" si="36"/>
        <v>0</v>
      </c>
      <c r="J86" s="14"/>
      <c r="K86" s="15"/>
      <c r="L86" s="32"/>
      <c r="M86" s="67" t="str">
        <f>'Description Sheet'!K85</f>
        <v>m2</v>
      </c>
      <c r="N86" s="67">
        <f>'Description Sheet'!L85</f>
        <v>0</v>
      </c>
      <c r="O86" s="73">
        <f>'Year (2028-2029)'!O86*(('Description Sheet'!M4)+1)</f>
        <v>249.87557838805415</v>
      </c>
      <c r="P86" s="68">
        <f t="shared" si="37"/>
        <v>0</v>
      </c>
      <c r="Q86" s="14"/>
      <c r="R86" s="44"/>
    </row>
    <row r="87" spans="1:18" hidden="1">
      <c r="A87" s="14"/>
      <c r="B87" s="112">
        <f>'Description Sheet'!B86</f>
        <v>7.18</v>
      </c>
      <c r="C87" s="152" t="str">
        <f>'Description Sheet'!C86</f>
        <v>Painting External Wooden Soffits</v>
      </c>
      <c r="D87" s="107"/>
      <c r="E87" s="153" t="str">
        <f>IF('Maintenance Schedule'!V104="x","x","")</f>
        <v/>
      </c>
      <c r="F87" s="153" t="str">
        <f t="shared" si="32"/>
        <v/>
      </c>
      <c r="G87" s="154">
        <f t="shared" si="35"/>
        <v>0</v>
      </c>
      <c r="H87" s="155">
        <f t="shared" si="33"/>
        <v>0</v>
      </c>
      <c r="I87" s="156">
        <f t="shared" si="36"/>
        <v>0</v>
      </c>
      <c r="J87" s="14"/>
      <c r="K87" s="15"/>
      <c r="L87" s="32"/>
      <c r="M87" s="67" t="str">
        <f>'Description Sheet'!K86</f>
        <v>m2</v>
      </c>
      <c r="N87" s="67">
        <f>'Description Sheet'!L86</f>
        <v>0</v>
      </c>
      <c r="O87" s="73">
        <f>'Year (2028-2029)'!O87*(('Description Sheet'!M4)+1)</f>
        <v>129.56511471973178</v>
      </c>
      <c r="P87" s="68">
        <f t="shared" si="37"/>
        <v>0</v>
      </c>
      <c r="Q87" s="14"/>
      <c r="R87" s="44"/>
    </row>
    <row r="88" spans="1:18" hidden="1">
      <c r="A88" s="14"/>
      <c r="B88" s="112">
        <f>'Description Sheet'!B87</f>
        <v>7.19</v>
      </c>
      <c r="C88" s="152" t="str">
        <f>'Description Sheet'!C87</f>
        <v>Painting of Palisade Fencing</v>
      </c>
      <c r="D88" s="107"/>
      <c r="E88" s="153" t="str">
        <f>IF('Maintenance Schedule'!V105="x","x","")</f>
        <v/>
      </c>
      <c r="F88" s="153" t="str">
        <f t="shared" si="32"/>
        <v/>
      </c>
      <c r="G88" s="154">
        <f t="shared" si="35"/>
        <v>0</v>
      </c>
      <c r="H88" s="155">
        <f t="shared" si="33"/>
        <v>0</v>
      </c>
      <c r="I88" s="156">
        <f t="shared" si="36"/>
        <v>0</v>
      </c>
      <c r="J88" s="14"/>
      <c r="K88" s="15"/>
      <c r="L88" s="32"/>
      <c r="M88" s="67" t="str">
        <f>'Description Sheet'!K87</f>
        <v>m2</v>
      </c>
      <c r="N88" s="67">
        <f>'Description Sheet'!L87</f>
        <v>0</v>
      </c>
      <c r="O88" s="73">
        <f>'Year (2028-2029)'!O88*(('Description Sheet'!M4)+1)</f>
        <v>129.56511471973178</v>
      </c>
      <c r="P88" s="68">
        <f t="shared" si="37"/>
        <v>0</v>
      </c>
      <c r="Q88" s="14"/>
      <c r="R88" s="44"/>
    </row>
    <row r="89" spans="1:18" hidden="1">
      <c r="A89" s="14"/>
      <c r="B89" s="112">
        <f>'Description Sheet'!B88</f>
        <v>7.2</v>
      </c>
      <c r="C89" s="152" t="str">
        <f>'Description Sheet'!C88</f>
        <v>blank</v>
      </c>
      <c r="D89" s="107"/>
      <c r="E89" s="153" t="str">
        <f>IF('Maintenance Schedule'!V106="x","x","")</f>
        <v/>
      </c>
      <c r="F89" s="153" t="str">
        <f t="shared" si="32"/>
        <v/>
      </c>
      <c r="G89" s="154">
        <f t="shared" si="35"/>
        <v>0</v>
      </c>
      <c r="H89" s="155">
        <f t="shared" si="33"/>
        <v>0</v>
      </c>
      <c r="I89" s="156">
        <f t="shared" si="36"/>
        <v>0</v>
      </c>
      <c r="J89" s="14"/>
      <c r="K89" s="15"/>
      <c r="L89" s="32"/>
      <c r="M89" s="67" t="str">
        <f>'Description Sheet'!K88</f>
        <v>m3</v>
      </c>
      <c r="N89" s="67">
        <f>'Description Sheet'!L88</f>
        <v>0</v>
      </c>
      <c r="O89" s="73">
        <f>'Year (2028-2029)'!O89*(('Description Sheet'!M4)+1)</f>
        <v>329.46557743017513</v>
      </c>
      <c r="P89" s="68">
        <f t="shared" si="37"/>
        <v>0</v>
      </c>
      <c r="Q89" s="14"/>
      <c r="R89" s="44"/>
    </row>
    <row r="90" spans="1:18" hidden="1">
      <c r="A90" s="14"/>
      <c r="B90" s="112">
        <f>'Description Sheet'!B89</f>
        <v>7.21</v>
      </c>
      <c r="C90" s="152" t="str">
        <f>'Description Sheet'!C89</f>
        <v>blank</v>
      </c>
      <c r="D90" s="107"/>
      <c r="E90" s="153" t="str">
        <f>IF('Maintenance Schedule'!V107="x","x","")</f>
        <v/>
      </c>
      <c r="F90" s="153" t="str">
        <f t="shared" si="32"/>
        <v/>
      </c>
      <c r="G90" s="154">
        <f t="shared" si="35"/>
        <v>0</v>
      </c>
      <c r="H90" s="155">
        <f t="shared" si="33"/>
        <v>0</v>
      </c>
      <c r="I90" s="156">
        <f t="shared" si="36"/>
        <v>0</v>
      </c>
      <c r="J90" s="14"/>
      <c r="K90" s="15"/>
      <c r="L90" s="32"/>
      <c r="M90" s="67" t="str">
        <f>'Description Sheet'!K89</f>
        <v>m3</v>
      </c>
      <c r="N90" s="67">
        <f>'Description Sheet'!L89</f>
        <v>0</v>
      </c>
      <c r="O90" s="73">
        <f>'Year (2028-2029)'!O90*(('Description Sheet'!M4)+1)</f>
        <v>18990.543957492118</v>
      </c>
      <c r="P90" s="68">
        <f t="shared" si="37"/>
        <v>0</v>
      </c>
      <c r="Q90" s="14"/>
      <c r="R90" s="44"/>
    </row>
    <row r="91" spans="1:18" hidden="1">
      <c r="A91" s="14"/>
      <c r="B91" s="112">
        <f>'Description Sheet'!B90</f>
        <v>7.22</v>
      </c>
      <c r="C91" s="152" t="str">
        <f>'Description Sheet'!C90</f>
        <v>blank</v>
      </c>
      <c r="D91" s="107"/>
      <c r="E91" s="153" t="str">
        <f>IF('Maintenance Schedule'!V108="x","x","")</f>
        <v/>
      </c>
      <c r="F91" s="153" t="str">
        <f t="shared" si="32"/>
        <v/>
      </c>
      <c r="G91" s="154">
        <f t="shared" si="35"/>
        <v>0</v>
      </c>
      <c r="H91" s="155">
        <f t="shared" si="33"/>
        <v>0</v>
      </c>
      <c r="I91" s="156">
        <f t="shared" si="36"/>
        <v>0</v>
      </c>
      <c r="J91" s="14"/>
      <c r="K91" s="15"/>
      <c r="L91" s="32"/>
      <c r="M91" s="67" t="str">
        <f>'Description Sheet'!K90</f>
        <v>m3</v>
      </c>
      <c r="N91" s="67">
        <f>'Description Sheet'!L90</f>
        <v>0</v>
      </c>
      <c r="O91" s="73">
        <f>'Year (2028-2029)'!O91*(('Description Sheet'!M4)+1)</f>
        <v>0</v>
      </c>
      <c r="P91" s="68">
        <f t="shared" si="37"/>
        <v>0</v>
      </c>
      <c r="Q91" s="14"/>
      <c r="R91" s="44"/>
    </row>
    <row r="92" spans="1:18" ht="17" thickBot="1">
      <c r="A92" s="14"/>
      <c r="B92" s="109"/>
      <c r="C92" s="152"/>
      <c r="D92" s="107"/>
      <c r="E92" s="153"/>
      <c r="F92" s="153" t="str">
        <f>IF(E92="x",M92,"")</f>
        <v/>
      </c>
      <c r="G92" s="154"/>
      <c r="H92" s="155"/>
      <c r="I92" s="156"/>
      <c r="J92" s="14"/>
      <c r="K92" s="15"/>
      <c r="L92" s="32"/>
      <c r="M92" s="70"/>
      <c r="N92" s="67"/>
      <c r="O92" s="73"/>
      <c r="P92" s="68"/>
      <c r="Q92" s="14"/>
      <c r="R92" s="44"/>
    </row>
    <row r="93" spans="1:18" s="4" customFormat="1" ht="15.75" customHeight="1" thickBot="1">
      <c r="A93" s="14"/>
      <c r="B93" s="109"/>
      <c r="C93" s="115"/>
      <c r="D93" s="107"/>
      <c r="E93" s="163"/>
      <c r="F93" s="528" t="s">
        <v>7</v>
      </c>
      <c r="G93" s="529"/>
      <c r="H93" s="530">
        <f>SUM(I70:I92)</f>
        <v>77665.0316234278</v>
      </c>
      <c r="I93" s="531"/>
      <c r="J93" s="14"/>
      <c r="K93" s="15"/>
      <c r="L93" s="33"/>
      <c r="M93" s="508" t="s">
        <v>7</v>
      </c>
      <c r="N93" s="509"/>
      <c r="O93" s="510">
        <f>SUM(P70:P92)</f>
        <v>4074317.1838021153</v>
      </c>
      <c r="P93" s="511"/>
      <c r="Q93" s="14"/>
      <c r="R93" s="31"/>
    </row>
    <row r="94" spans="1:18" ht="18" thickBot="1">
      <c r="A94" s="14"/>
      <c r="B94" s="179" t="s">
        <v>41</v>
      </c>
      <c r="C94" s="113" t="str">
        <f>'Description Sheet'!C93</f>
        <v xml:space="preserve">Waterproofing </v>
      </c>
      <c r="D94" s="107"/>
      <c r="E94" s="110"/>
      <c r="F94" s="110"/>
      <c r="G94" s="110"/>
      <c r="H94" s="110"/>
      <c r="I94" s="151"/>
      <c r="J94" s="32"/>
      <c r="K94" s="40"/>
      <c r="L94" s="33"/>
      <c r="M94" s="24"/>
      <c r="N94" s="25"/>
      <c r="O94" s="25"/>
      <c r="P94" s="63"/>
      <c r="Q94" s="14"/>
      <c r="R94" s="44"/>
    </row>
    <row r="95" spans="1:18" hidden="1">
      <c r="A95" s="14"/>
      <c r="B95" s="112">
        <f>'Description Sheet'!B94</f>
        <v>7.23</v>
      </c>
      <c r="C95" s="152" t="str">
        <f>'Description Sheet'!C94</f>
        <v>Waterproofing of Walkways</v>
      </c>
      <c r="D95" s="107"/>
      <c r="E95" s="153" t="str">
        <f>IF('Maintenance Schedule'!V115="x","x","")</f>
        <v/>
      </c>
      <c r="F95" s="153" t="str">
        <f t="shared" ref="F95:F102" si="38">IF(E95="x","No","")</f>
        <v/>
      </c>
      <c r="G95" s="154">
        <f>IF(E95="x",1,0)</f>
        <v>0</v>
      </c>
      <c r="H95" s="155">
        <f t="shared" ref="H95" si="39">IF(E95="x",P95,0)</f>
        <v>0</v>
      </c>
      <c r="I95" s="156">
        <f>IF(E95="x",G95*H95,0)</f>
        <v>0</v>
      </c>
      <c r="J95" s="14"/>
      <c r="K95" s="15"/>
      <c r="L95" s="32"/>
      <c r="M95" s="86" t="str">
        <f>'Description Sheet'!K94</f>
        <v>m2</v>
      </c>
      <c r="N95" s="67">
        <f>'Description Sheet'!L94</f>
        <v>1</v>
      </c>
      <c r="O95" s="73">
        <f>'Year (2028-2029)'!O95*(('Description Sheet'!M4)+1)</f>
        <v>299655.79111452226</v>
      </c>
      <c r="P95" s="69">
        <f>N95*O95</f>
        <v>299655.79111452226</v>
      </c>
      <c r="Q95" s="14"/>
      <c r="R95" s="44"/>
    </row>
    <row r="96" spans="1:18" hidden="1">
      <c r="A96" s="14"/>
      <c r="B96" s="112">
        <f>'Description Sheet'!B95</f>
        <v>7.24</v>
      </c>
      <c r="C96" s="152" t="str">
        <f>'Description Sheet'!C95</f>
        <v>Roof Repairs (Phase 2)</v>
      </c>
      <c r="D96" s="107"/>
      <c r="E96" s="153" t="str">
        <f>IF('Maintenance Schedule'!V116="x","x","")</f>
        <v/>
      </c>
      <c r="F96" s="153" t="str">
        <f t="shared" si="38"/>
        <v/>
      </c>
      <c r="G96" s="154">
        <f t="shared" ref="G96:G102" si="40">IF(E96="x",1,0)</f>
        <v>0</v>
      </c>
      <c r="H96" s="155">
        <f>IF(E96="x",P96,0)</f>
        <v>0</v>
      </c>
      <c r="I96" s="156">
        <f>IF(E96="x",G96*H96,0)</f>
        <v>0</v>
      </c>
      <c r="J96" s="14"/>
      <c r="K96" s="15"/>
      <c r="L96" s="32"/>
      <c r="M96" s="86" t="str">
        <f>'Description Sheet'!K95</f>
        <v>m2</v>
      </c>
      <c r="N96" s="67">
        <f>'Description Sheet'!L95</f>
        <v>1</v>
      </c>
      <c r="O96" s="73">
        <f>'Year (2028-2029)'!O96*(('Description Sheet'!M4)+1)</f>
        <v>925465.10514094122</v>
      </c>
      <c r="P96" s="69">
        <f>N96*O96</f>
        <v>925465.10514094122</v>
      </c>
      <c r="Q96" s="14"/>
      <c r="R96" s="44"/>
    </row>
    <row r="97" spans="1:18">
      <c r="A97" s="14"/>
      <c r="B97" s="112">
        <f>'Description Sheet'!B96</f>
        <v>7.25</v>
      </c>
      <c r="C97" s="152" t="str">
        <f>'Description Sheet'!C96</f>
        <v xml:space="preserve">Flat Roof Service </v>
      </c>
      <c r="D97" s="107"/>
      <c r="E97" s="153" t="str">
        <f>IF('Maintenance Schedule'!V117="x","x","")</f>
        <v>x</v>
      </c>
      <c r="F97" s="153" t="str">
        <f t="shared" si="38"/>
        <v>No</v>
      </c>
      <c r="G97" s="154">
        <f t="shared" si="40"/>
        <v>1</v>
      </c>
      <c r="H97" s="155">
        <f>IF(E97="x",P97,0)</f>
        <v>107677.86498314848</v>
      </c>
      <c r="I97" s="156">
        <f>IF(E97="x",G97*H97,0)</f>
        <v>107677.86498314848</v>
      </c>
      <c r="J97" s="14"/>
      <c r="K97" s="15"/>
      <c r="L97" s="32"/>
      <c r="M97" s="86" t="str">
        <f>'Description Sheet'!K96</f>
        <v>m2</v>
      </c>
      <c r="N97" s="67">
        <f>'Description Sheet'!L96</f>
        <v>895</v>
      </c>
      <c r="O97" s="73">
        <f>'Year (2028-2029)'!O97*(('Description Sheet'!M4)+1)</f>
        <v>120.31046366832233</v>
      </c>
      <c r="P97" s="69">
        <f>N97*O97</f>
        <v>107677.86498314848</v>
      </c>
      <c r="Q97" s="14"/>
      <c r="R97" s="44"/>
    </row>
    <row r="98" spans="1:18" hidden="1">
      <c r="A98" s="14"/>
      <c r="B98" s="112">
        <f>'Description Sheet'!B97</f>
        <v>7.26</v>
      </c>
      <c r="C98" s="152" t="str">
        <f>'Description Sheet'!C97</f>
        <v>Flat Roof Replacement</v>
      </c>
      <c r="D98" s="107"/>
      <c r="E98" s="153" t="str">
        <f>IF('Maintenance Schedule'!V118="x","x","")</f>
        <v/>
      </c>
      <c r="F98" s="153" t="str">
        <f t="shared" si="38"/>
        <v/>
      </c>
      <c r="G98" s="154">
        <f t="shared" si="40"/>
        <v>0</v>
      </c>
      <c r="H98" s="155">
        <f>IF(E98="x",P98,0)</f>
        <v>0</v>
      </c>
      <c r="I98" s="156">
        <f>IF(E98="x",G98*H98,0)</f>
        <v>0</v>
      </c>
      <c r="J98" s="14"/>
      <c r="K98" s="15"/>
      <c r="L98" s="32"/>
      <c r="M98" s="86" t="str">
        <f>'Description Sheet'!K97</f>
        <v>m2</v>
      </c>
      <c r="N98" s="67">
        <f>'Description Sheet'!L97</f>
        <v>1</v>
      </c>
      <c r="O98" s="73">
        <f>'Year (2028-2029)'!O98*(('Description Sheet'!M4)+1)</f>
        <v>1197823.9327932892</v>
      </c>
      <c r="P98" s="69">
        <f>N98*O98</f>
        <v>1197823.9327932892</v>
      </c>
      <c r="Q98" s="14"/>
      <c r="R98" s="44"/>
    </row>
    <row r="99" spans="1:18" hidden="1">
      <c r="A99" s="14"/>
      <c r="B99" s="112">
        <f>'Description Sheet'!B98</f>
        <v>7.27</v>
      </c>
      <c r="C99" s="152" t="str">
        <f>'Description Sheet'!C98</f>
        <v xml:space="preserve">Walkway and Staircases (Cementitious Waterproofing) </v>
      </c>
      <c r="D99" s="107"/>
      <c r="E99" s="153" t="str">
        <f>IF('Maintenance Schedule'!V119="x","x","")</f>
        <v/>
      </c>
      <c r="F99" s="153" t="str">
        <f t="shared" si="38"/>
        <v/>
      </c>
      <c r="G99" s="154">
        <f t="shared" si="40"/>
        <v>0</v>
      </c>
      <c r="H99" s="155">
        <f>IF(E99="x",P99,0)</f>
        <v>0</v>
      </c>
      <c r="I99" s="156">
        <f>IF(E99="x",G99*H99,0)</f>
        <v>0</v>
      </c>
      <c r="J99" s="14"/>
      <c r="K99" s="15"/>
      <c r="L99" s="32"/>
      <c r="M99" s="86" t="str">
        <f>'Description Sheet'!K98</f>
        <v>m2</v>
      </c>
      <c r="N99" s="67">
        <f>'Description Sheet'!L98</f>
        <v>0</v>
      </c>
      <c r="O99" s="73">
        <f>'Year (2028-2029)'!O99*(('Description Sheet'!M4)+1)</f>
        <v>758.88138621557187</v>
      </c>
      <c r="P99" s="69">
        <f>N99*O99</f>
        <v>0</v>
      </c>
      <c r="Q99" s="14"/>
      <c r="R99" s="44"/>
    </row>
    <row r="100" spans="1:18" hidden="1">
      <c r="A100" s="14"/>
      <c r="B100" s="112">
        <f>'Description Sheet'!B99</f>
        <v>7.28</v>
      </c>
      <c r="C100" s="152" t="str">
        <f>'Description Sheet'!C99</f>
        <v>Waterproofing Servicing of Parapets</v>
      </c>
      <c r="D100" s="107"/>
      <c r="E100" s="153" t="str">
        <f>IF('Maintenance Schedule'!V120="x","x","")</f>
        <v/>
      </c>
      <c r="F100" s="153" t="str">
        <f t="shared" si="38"/>
        <v/>
      </c>
      <c r="G100" s="154">
        <f t="shared" si="40"/>
        <v>0</v>
      </c>
      <c r="H100" s="155">
        <f t="shared" ref="H100:H102" si="41">IF(E100="x",P100,0)</f>
        <v>0</v>
      </c>
      <c r="I100" s="156">
        <f t="shared" ref="I100:I102" si="42">IF(E100="x",G100*H100,0)</f>
        <v>0</v>
      </c>
      <c r="J100" s="14"/>
      <c r="K100" s="15"/>
      <c r="L100" s="32"/>
      <c r="M100" s="86" t="str">
        <f>'Description Sheet'!K99</f>
        <v>m2</v>
      </c>
      <c r="N100" s="67">
        <f>'Description Sheet'!L99</f>
        <v>0</v>
      </c>
      <c r="O100" s="73">
        <f>'Year (2028-2029)'!O100*(('Description Sheet'!M4)+1)</f>
        <v>188.79488144875202</v>
      </c>
      <c r="P100" s="69">
        <f t="shared" ref="P100:P102" si="43">N100*O100</f>
        <v>0</v>
      </c>
      <c r="Q100" s="14"/>
      <c r="R100" s="44"/>
    </row>
    <row r="101" spans="1:18" hidden="1">
      <c r="A101" s="14"/>
      <c r="B101" s="112">
        <f>'Description Sheet'!B100</f>
        <v>7.29</v>
      </c>
      <c r="C101" s="152" t="str">
        <f>'Description Sheet'!C100</f>
        <v>blank</v>
      </c>
      <c r="D101" s="107"/>
      <c r="E101" s="153" t="str">
        <f>IF('Maintenance Schedule'!V121="x","x","")</f>
        <v/>
      </c>
      <c r="F101" s="153" t="str">
        <f t="shared" si="38"/>
        <v/>
      </c>
      <c r="G101" s="154">
        <f t="shared" si="40"/>
        <v>0</v>
      </c>
      <c r="H101" s="155">
        <f t="shared" si="41"/>
        <v>0</v>
      </c>
      <c r="I101" s="156">
        <f t="shared" si="42"/>
        <v>0</v>
      </c>
      <c r="J101" s="14"/>
      <c r="K101" s="15"/>
      <c r="L101" s="32"/>
      <c r="M101" s="86" t="str">
        <f>'Description Sheet'!K100</f>
        <v>m2</v>
      </c>
      <c r="N101" s="67">
        <f>'Description Sheet'!L100</f>
        <v>0</v>
      </c>
      <c r="O101" s="73">
        <f>'Year (2028-2029)'!O101*(('Description Sheet'!M4)+1)</f>
        <v>0</v>
      </c>
      <c r="P101" s="69">
        <f t="shared" si="43"/>
        <v>0</v>
      </c>
      <c r="Q101" s="14"/>
      <c r="R101" s="44"/>
    </row>
    <row r="102" spans="1:18" hidden="1">
      <c r="A102" s="14"/>
      <c r="B102" s="112">
        <f>'Description Sheet'!B101</f>
        <v>7.3</v>
      </c>
      <c r="C102" s="152" t="str">
        <f>'Description Sheet'!C101</f>
        <v>blank</v>
      </c>
      <c r="D102" s="107"/>
      <c r="E102" s="153" t="str">
        <f>IF('Maintenance Schedule'!V122="x","x","")</f>
        <v/>
      </c>
      <c r="F102" s="153" t="str">
        <f t="shared" si="38"/>
        <v/>
      </c>
      <c r="G102" s="154">
        <f t="shared" si="40"/>
        <v>0</v>
      </c>
      <c r="H102" s="155">
        <f t="shared" si="41"/>
        <v>0</v>
      </c>
      <c r="I102" s="156">
        <f t="shared" si="42"/>
        <v>0</v>
      </c>
      <c r="J102" s="14"/>
      <c r="K102" s="15"/>
      <c r="L102" s="32"/>
      <c r="M102" s="86" t="str">
        <f>'Description Sheet'!K101</f>
        <v>m2</v>
      </c>
      <c r="N102" s="67">
        <f>'Description Sheet'!L101</f>
        <v>0</v>
      </c>
      <c r="O102" s="73">
        <f>'Year (2028-2029)'!O102*(('Description Sheet'!M4)+1)</f>
        <v>0</v>
      </c>
      <c r="P102" s="69">
        <f t="shared" si="43"/>
        <v>0</v>
      </c>
      <c r="Q102" s="14"/>
      <c r="R102" s="44"/>
    </row>
    <row r="103" spans="1:18" ht="17" thickBot="1">
      <c r="A103" s="14"/>
      <c r="B103" s="109"/>
      <c r="C103" s="152"/>
      <c r="D103" s="107"/>
      <c r="E103" s="153"/>
      <c r="F103" s="154"/>
      <c r="G103" s="154"/>
      <c r="H103" s="155"/>
      <c r="I103" s="156"/>
      <c r="J103" s="14"/>
      <c r="K103" s="15"/>
      <c r="L103" s="32"/>
      <c r="M103" s="70"/>
      <c r="N103" s="67"/>
      <c r="O103" s="68"/>
      <c r="P103" s="69"/>
      <c r="Q103" s="14"/>
      <c r="R103" s="44"/>
    </row>
    <row r="104" spans="1:18" s="4" customFormat="1" ht="15.75" customHeight="1" thickBot="1">
      <c r="A104" s="14"/>
      <c r="B104" s="109"/>
      <c r="C104" s="115"/>
      <c r="D104" s="107"/>
      <c r="E104" s="159"/>
      <c r="F104" s="528" t="s">
        <v>7</v>
      </c>
      <c r="G104" s="529"/>
      <c r="H104" s="530">
        <f>SUM(I95:I102)</f>
        <v>107677.86498314848</v>
      </c>
      <c r="I104" s="531"/>
      <c r="J104" s="14"/>
      <c r="K104" s="15"/>
      <c r="L104" s="33"/>
      <c r="M104" s="508" t="s">
        <v>7</v>
      </c>
      <c r="N104" s="509"/>
      <c r="O104" s="510">
        <f>SUM(P95:P103)</f>
        <v>2530622.6940319007</v>
      </c>
      <c r="P104" s="511"/>
      <c r="Q104" s="14"/>
      <c r="R104" s="31"/>
    </row>
    <row r="105" spans="1:18" ht="17" thickBot="1">
      <c r="A105" s="14"/>
      <c r="B105" s="109">
        <f>'Description Sheet'!B104</f>
        <v>8</v>
      </c>
      <c r="C105" s="113" t="str">
        <f>'Description Sheet'!C104</f>
        <v>Communication and Service Supply Systems</v>
      </c>
      <c r="D105" s="107"/>
      <c r="E105" s="110"/>
      <c r="F105" s="110"/>
      <c r="G105" s="110"/>
      <c r="H105" s="110"/>
      <c r="I105" s="151"/>
      <c r="J105" s="32"/>
      <c r="K105" s="40"/>
      <c r="L105" s="33"/>
      <c r="M105" s="24"/>
      <c r="N105" s="25"/>
      <c r="O105" s="25"/>
      <c r="P105" s="63"/>
      <c r="Q105" s="14"/>
      <c r="R105" s="44"/>
    </row>
    <row r="106" spans="1:18" ht="17" hidden="1">
      <c r="A106" s="14"/>
      <c r="B106" s="109">
        <f>'Description Sheet'!B105</f>
        <v>8.1</v>
      </c>
      <c r="C106" s="164" t="str">
        <f>'Description Sheet'!C105</f>
        <v>Communication Systems (Service &amp; Upgrade Savings)</v>
      </c>
      <c r="D106" s="107"/>
      <c r="E106" s="153" t="str">
        <f>IF('Maintenance Schedule'!V129="x","x","")</f>
        <v/>
      </c>
      <c r="F106" s="153" t="str">
        <f>IF(E106="x","No","")</f>
        <v/>
      </c>
      <c r="G106" s="154">
        <f>IF(E106="x",1,0)</f>
        <v>0</v>
      </c>
      <c r="H106" s="155">
        <f t="shared" ref="H106:H109" si="44">IF(E106="x",P106,0)</f>
        <v>0</v>
      </c>
      <c r="I106" s="156">
        <f>IF(E106="x",G106*H106,0)</f>
        <v>0</v>
      </c>
      <c r="J106" s="14"/>
      <c r="K106" s="15"/>
      <c r="L106" s="32"/>
      <c r="M106" s="67" t="str">
        <f>'Description Sheet'!K105</f>
        <v>No</v>
      </c>
      <c r="N106" s="67">
        <f>'Description Sheet'!L105</f>
        <v>0</v>
      </c>
      <c r="O106" s="73">
        <f>'Year (2028-2029)'!O106*(('Description Sheet'!M4)+1)</f>
        <v>5443.5857484390172</v>
      </c>
      <c r="P106" s="69">
        <f>N106*O106</f>
        <v>0</v>
      </c>
      <c r="Q106" s="14"/>
      <c r="R106" s="44"/>
    </row>
    <row r="107" spans="1:18" ht="17">
      <c r="A107" s="14"/>
      <c r="B107" s="109">
        <f>'Description Sheet'!B106</f>
        <v>8.1999999999999993</v>
      </c>
      <c r="C107" s="164" t="str">
        <f>'Description Sheet'!C106</f>
        <v>Intercom Systems (Replacement Maintenance/Savings)</v>
      </c>
      <c r="D107" s="107"/>
      <c r="E107" s="153" t="str">
        <f>IF('Maintenance Schedule'!V130="x","x","")</f>
        <v>x</v>
      </c>
      <c r="F107" s="153" t="str">
        <f t="shared" ref="F107:F109" si="45">IF(E107="x","No","")</f>
        <v>No</v>
      </c>
      <c r="G107" s="154">
        <f t="shared" ref="G107:G109" si="46">IF(E107="x",1,0)</f>
        <v>1</v>
      </c>
      <c r="H107" s="155">
        <f t="shared" si="44"/>
        <v>7622.1306059407925</v>
      </c>
      <c r="I107" s="156">
        <f t="shared" ref="I107:I109" si="47">IF(E107="x",G107*H107,0)</f>
        <v>7622.1306059407925</v>
      </c>
      <c r="J107" s="14"/>
      <c r="K107" s="15"/>
      <c r="L107" s="32"/>
      <c r="M107" s="67" t="str">
        <f>'Description Sheet'!K106</f>
        <v>No</v>
      </c>
      <c r="N107" s="67">
        <f>'Description Sheet'!L106</f>
        <v>1</v>
      </c>
      <c r="O107" s="73">
        <f>'Year (2028-2029)'!O107*(('Description Sheet'!M4)+1)</f>
        <v>7622.1306059407925</v>
      </c>
      <c r="P107" s="69">
        <f t="shared" ref="P107:P109" si="48">N107*O107</f>
        <v>7622.1306059407925</v>
      </c>
      <c r="Q107" s="14"/>
      <c r="R107" s="44"/>
    </row>
    <row r="108" spans="1:18" ht="17" hidden="1">
      <c r="A108" s="14"/>
      <c r="B108" s="109">
        <f>'Description Sheet'!B107</f>
        <v>8.3000000000000007</v>
      </c>
      <c r="C108" s="164" t="str">
        <f>'Description Sheet'!C107</f>
        <v xml:space="preserve">Intercom System Replacement </v>
      </c>
      <c r="D108" s="107"/>
      <c r="E108" s="153" t="str">
        <f>IF('Maintenance Schedule'!V131="x","x","")</f>
        <v/>
      </c>
      <c r="F108" s="153" t="str">
        <f t="shared" si="45"/>
        <v/>
      </c>
      <c r="G108" s="154">
        <f t="shared" si="46"/>
        <v>0</v>
      </c>
      <c r="H108" s="155">
        <f t="shared" si="44"/>
        <v>0</v>
      </c>
      <c r="I108" s="156">
        <f t="shared" si="47"/>
        <v>0</v>
      </c>
      <c r="J108" s="14"/>
      <c r="K108" s="15"/>
      <c r="L108" s="32"/>
      <c r="M108" s="67" t="str">
        <f>'Description Sheet'!K107</f>
        <v>No</v>
      </c>
      <c r="N108" s="67">
        <f>'Description Sheet'!L107</f>
        <v>1</v>
      </c>
      <c r="O108" s="73">
        <f>'Year (2028-2029)'!O108*(('Description Sheet'!M4)+1)</f>
        <v>77739.06883183906</v>
      </c>
      <c r="P108" s="69">
        <f t="shared" si="48"/>
        <v>77739.06883183906</v>
      </c>
      <c r="Q108" s="14"/>
      <c r="R108" s="44"/>
    </row>
    <row r="109" spans="1:18" ht="17" hidden="1">
      <c r="A109" s="14"/>
      <c r="B109" s="109">
        <f>'Description Sheet'!B108</f>
        <v>8.4</v>
      </c>
      <c r="C109" s="164" t="str">
        <f>'Description Sheet'!C108</f>
        <v>blank</v>
      </c>
      <c r="D109" s="107"/>
      <c r="E109" s="153" t="str">
        <f>IF('Maintenance Schedule'!V132="x","x","")</f>
        <v/>
      </c>
      <c r="F109" s="153" t="str">
        <f t="shared" si="45"/>
        <v/>
      </c>
      <c r="G109" s="154">
        <f t="shared" si="46"/>
        <v>0</v>
      </c>
      <c r="H109" s="155">
        <f t="shared" si="44"/>
        <v>0</v>
      </c>
      <c r="I109" s="156">
        <f t="shared" si="47"/>
        <v>0</v>
      </c>
      <c r="J109" s="14"/>
      <c r="K109" s="15"/>
      <c r="L109" s="32"/>
      <c r="M109" s="67" t="str">
        <f>'Description Sheet'!K108</f>
        <v>No</v>
      </c>
      <c r="N109" s="67">
        <f>'Description Sheet'!L108</f>
        <v>0</v>
      </c>
      <c r="O109" s="73">
        <f>'Year (2028-2029)'!O109*(('Description Sheet'!M4)+1)</f>
        <v>0</v>
      </c>
      <c r="P109" s="69">
        <f t="shared" si="48"/>
        <v>0</v>
      </c>
      <c r="Q109" s="14"/>
      <c r="R109" s="44"/>
    </row>
    <row r="110" spans="1:18" ht="17" thickBot="1">
      <c r="A110" s="14"/>
      <c r="B110" s="109"/>
      <c r="C110" s="164"/>
      <c r="D110" s="107"/>
      <c r="E110" s="162"/>
      <c r="F110" s="154"/>
      <c r="G110" s="154"/>
      <c r="H110" s="155"/>
      <c r="I110" s="155"/>
      <c r="J110" s="14"/>
      <c r="K110" s="15"/>
      <c r="L110" s="32"/>
      <c r="M110" s="67"/>
      <c r="N110" s="67"/>
      <c r="O110" s="73"/>
      <c r="P110" s="68"/>
      <c r="Q110" s="14"/>
      <c r="R110" s="44"/>
    </row>
    <row r="111" spans="1:18" s="4" customFormat="1" ht="15.75" customHeight="1" thickBot="1">
      <c r="A111" s="14"/>
      <c r="B111" s="109"/>
      <c r="C111" s="158"/>
      <c r="D111" s="107"/>
      <c r="E111" s="159"/>
      <c r="F111" s="528" t="s">
        <v>7</v>
      </c>
      <c r="G111" s="529"/>
      <c r="H111" s="530">
        <f>SUM(I106:I110)</f>
        <v>7622.1306059407925</v>
      </c>
      <c r="I111" s="531"/>
      <c r="J111" s="14"/>
      <c r="K111" s="15"/>
      <c r="L111" s="33"/>
      <c r="M111" s="508" t="s">
        <v>7</v>
      </c>
      <c r="N111" s="509"/>
      <c r="O111" s="510">
        <f>SUM(P106:P110)</f>
        <v>85361.199437779855</v>
      </c>
      <c r="P111" s="511"/>
      <c r="Q111" s="14"/>
      <c r="R111" s="31"/>
    </row>
    <row r="112" spans="1:18" ht="17" thickBot="1">
      <c r="A112" s="14"/>
      <c r="B112" s="109">
        <f>'Description Sheet'!B111</f>
        <v>9</v>
      </c>
      <c r="C112" s="113" t="str">
        <f>'Description Sheet'!C111</f>
        <v>Parking Facilities</v>
      </c>
      <c r="D112" s="107"/>
      <c r="E112" s="110"/>
      <c r="F112" s="110"/>
      <c r="G112" s="110"/>
      <c r="H112" s="110"/>
      <c r="I112" s="151"/>
      <c r="J112" s="32"/>
      <c r="K112" s="40"/>
      <c r="L112" s="33"/>
      <c r="M112" s="24"/>
      <c r="N112" s="25"/>
      <c r="O112" s="25"/>
      <c r="P112" s="63"/>
      <c r="Q112" s="14"/>
      <c r="R112" s="44"/>
    </row>
    <row r="113" spans="1:18" ht="17">
      <c r="A113" s="14"/>
      <c r="B113" s="109">
        <f>'Description Sheet'!B112</f>
        <v>9.1</v>
      </c>
      <c r="C113" s="164" t="str">
        <f>'Description Sheet'!C112</f>
        <v>Painting of Demarcation Lines</v>
      </c>
      <c r="D113" s="107"/>
      <c r="E113" s="153" t="str">
        <f>IF('Maintenance Schedule'!V139="x","x","")</f>
        <v>x</v>
      </c>
      <c r="F113" s="153" t="str">
        <f>IF(E113="x","No","")</f>
        <v>No</v>
      </c>
      <c r="G113" s="154">
        <f>IF(E113="x",1,0)</f>
        <v>1</v>
      </c>
      <c r="H113" s="155">
        <f t="shared" ref="H113:H116" si="49">IF(E113="x",P113,0)</f>
        <v>12031.046366832237</v>
      </c>
      <c r="I113" s="156">
        <f>IF(E113="x",G113*H113,0)</f>
        <v>12031.046366832237</v>
      </c>
      <c r="J113" s="14"/>
      <c r="K113" s="15"/>
      <c r="L113" s="32"/>
      <c r="M113" s="67" t="str">
        <f>'Description Sheet'!K112</f>
        <v>lm</v>
      </c>
      <c r="N113" s="67">
        <f>'Description Sheet'!L112</f>
        <v>1</v>
      </c>
      <c r="O113" s="73">
        <f>'Year (2028-2029)'!O113*(('Description Sheet'!M4)+1)</f>
        <v>12031.046366832237</v>
      </c>
      <c r="P113" s="68">
        <f>N113*O113</f>
        <v>12031.046366832237</v>
      </c>
      <c r="Q113" s="14"/>
      <c r="R113" s="44"/>
    </row>
    <row r="114" spans="1:18" ht="17" hidden="1">
      <c r="A114" s="14"/>
      <c r="B114" s="109">
        <f>'Description Sheet'!B113</f>
        <v>9.1999999999999993</v>
      </c>
      <c r="C114" s="164" t="str">
        <f>'Description Sheet'!C113</f>
        <v>Shade Port Netting (Replacement and Maintanance)</v>
      </c>
      <c r="D114" s="107"/>
      <c r="E114" s="153" t="str">
        <f>IF('Maintenance Schedule'!V140="x","x","")</f>
        <v/>
      </c>
      <c r="F114" s="153" t="str">
        <f t="shared" ref="F114:F116" si="50">IF(E114="x","No","")</f>
        <v/>
      </c>
      <c r="G114" s="154">
        <f t="shared" ref="G114:G116" si="51">IF(E114="x",1,0)</f>
        <v>0</v>
      </c>
      <c r="H114" s="155">
        <f t="shared" si="49"/>
        <v>0</v>
      </c>
      <c r="I114" s="156">
        <f t="shared" ref="I114:I116" si="52">IF(E114="x",G114*H114,0)</f>
        <v>0</v>
      </c>
      <c r="J114" s="14"/>
      <c r="K114" s="15"/>
      <c r="L114" s="32"/>
      <c r="M114" s="67" t="str">
        <f>'Description Sheet'!K113</f>
        <v>No</v>
      </c>
      <c r="N114" s="67">
        <f>'Description Sheet'!L113</f>
        <v>0</v>
      </c>
      <c r="O114" s="73">
        <f>'Year (2028-2029)'!O114*(('Description Sheet'!M4)+1)</f>
        <v>14155.914248235835</v>
      </c>
      <c r="P114" s="68">
        <f t="shared" ref="P114:P116" si="53">N114*O114</f>
        <v>0</v>
      </c>
      <c r="Q114" s="14"/>
      <c r="R114" s="44"/>
    </row>
    <row r="115" spans="1:18" ht="17" hidden="1">
      <c r="A115" s="14"/>
      <c r="B115" s="109">
        <f>'Description Sheet'!B114</f>
        <v>9.3000000000000007</v>
      </c>
      <c r="C115" s="164" t="str">
        <f>'Description Sheet'!C114</f>
        <v>Garages (Maintanance)</v>
      </c>
      <c r="D115" s="107"/>
      <c r="E115" s="153" t="str">
        <f>IF('Maintenance Schedule'!V141="x","x","")</f>
        <v/>
      </c>
      <c r="F115" s="153" t="str">
        <f t="shared" si="50"/>
        <v/>
      </c>
      <c r="G115" s="154">
        <f t="shared" si="51"/>
        <v>0</v>
      </c>
      <c r="H115" s="155">
        <f t="shared" si="49"/>
        <v>0</v>
      </c>
      <c r="I115" s="156">
        <f t="shared" si="52"/>
        <v>0</v>
      </c>
      <c r="J115" s="14"/>
      <c r="K115" s="15"/>
      <c r="L115" s="32"/>
      <c r="M115" s="67" t="str">
        <f>'Description Sheet'!K114</f>
        <v>No</v>
      </c>
      <c r="N115" s="67">
        <f>'Description Sheet'!L114</f>
        <v>0</v>
      </c>
      <c r="O115" s="73">
        <f>'Year (2028-2029)'!O115*(('Description Sheet'!M4)+1)</f>
        <v>999.50231355221661</v>
      </c>
      <c r="P115" s="68">
        <f t="shared" si="53"/>
        <v>0</v>
      </c>
      <c r="Q115" s="14"/>
      <c r="R115" s="44"/>
    </row>
    <row r="116" spans="1:18" ht="17" hidden="1">
      <c r="A116" s="14"/>
      <c r="B116" s="109">
        <f>'Description Sheet'!B115</f>
        <v>9.4</v>
      </c>
      <c r="C116" s="164" t="str">
        <f>'Description Sheet'!C115</f>
        <v>Parking Facilities</v>
      </c>
      <c r="D116" s="107"/>
      <c r="E116" s="153" t="str">
        <f>IF('Maintenance Schedule'!V142="x","x","")</f>
        <v/>
      </c>
      <c r="F116" s="153" t="str">
        <f t="shared" si="50"/>
        <v/>
      </c>
      <c r="G116" s="154">
        <f t="shared" si="51"/>
        <v>0</v>
      </c>
      <c r="H116" s="155">
        <f t="shared" si="49"/>
        <v>0</v>
      </c>
      <c r="I116" s="156">
        <f t="shared" si="52"/>
        <v>0</v>
      </c>
      <c r="J116" s="14"/>
      <c r="K116" s="15"/>
      <c r="L116" s="32"/>
      <c r="M116" s="67" t="str">
        <f>'Description Sheet'!K115</f>
        <v>No</v>
      </c>
      <c r="N116" s="67">
        <f>'Description Sheet'!L115</f>
        <v>0</v>
      </c>
      <c r="O116" s="73">
        <f>'Year (2028-2029)'!O116*(('Description Sheet'!M4)+1)</f>
        <v>8995.5208219699471</v>
      </c>
      <c r="P116" s="68">
        <f t="shared" si="53"/>
        <v>0</v>
      </c>
      <c r="Q116" s="14"/>
      <c r="R116" s="44"/>
    </row>
    <row r="117" spans="1:18" ht="17" thickBot="1">
      <c r="A117" s="14"/>
      <c r="B117" s="109"/>
      <c r="C117" s="164"/>
      <c r="D117" s="107"/>
      <c r="E117" s="162"/>
      <c r="F117" s="154"/>
      <c r="G117" s="154"/>
      <c r="H117" s="155"/>
      <c r="I117" s="155"/>
      <c r="J117" s="14"/>
      <c r="K117" s="15"/>
      <c r="L117" s="32"/>
      <c r="M117" s="67"/>
      <c r="N117" s="67"/>
      <c r="O117" s="73"/>
      <c r="P117" s="68"/>
      <c r="Q117" s="14"/>
      <c r="R117" s="44"/>
    </row>
    <row r="118" spans="1:18" s="4" customFormat="1" ht="15.75" customHeight="1" thickBot="1">
      <c r="A118" s="14"/>
      <c r="B118" s="109"/>
      <c r="C118" s="158"/>
      <c r="D118" s="107"/>
      <c r="E118" s="159"/>
      <c r="F118" s="528" t="s">
        <v>7</v>
      </c>
      <c r="G118" s="529"/>
      <c r="H118" s="530">
        <f>SUM(I113:I117)</f>
        <v>12031.046366832237</v>
      </c>
      <c r="I118" s="531"/>
      <c r="J118" s="14"/>
      <c r="K118" s="15"/>
      <c r="L118" s="33"/>
      <c r="M118" s="508" t="s">
        <v>7</v>
      </c>
      <c r="N118" s="509"/>
      <c r="O118" s="510">
        <f>SUM(P113:P117)</f>
        <v>12031.046366832237</v>
      </c>
      <c r="P118" s="511"/>
      <c r="Q118" s="14"/>
      <c r="R118" s="31"/>
    </row>
    <row r="119" spans="1:18" ht="17" hidden="1" thickBot="1">
      <c r="A119" s="14"/>
      <c r="B119" s="109">
        <f>'Description Sheet'!B118</f>
        <v>10</v>
      </c>
      <c r="C119" s="113" t="str">
        <f>'Description Sheet'!C118</f>
        <v>Roadways and Paved Areas</v>
      </c>
      <c r="D119" s="107"/>
      <c r="E119" s="110"/>
      <c r="F119" s="110"/>
      <c r="G119" s="110"/>
      <c r="H119" s="110"/>
      <c r="I119" s="151"/>
      <c r="J119" s="32"/>
      <c r="K119" s="40"/>
      <c r="L119" s="33"/>
      <c r="M119" s="24"/>
      <c r="N119" s="25"/>
      <c r="O119" s="25"/>
      <c r="P119" s="63"/>
      <c r="Q119" s="14"/>
      <c r="R119" s="44"/>
    </row>
    <row r="120" spans="1:18" ht="17" hidden="1">
      <c r="A120" s="14"/>
      <c r="B120" s="109">
        <f>'Description Sheet'!B119</f>
        <v>10.1</v>
      </c>
      <c r="C120" s="114" t="str">
        <f>'Description Sheet'!C119</f>
        <v>Tarmac Areas (Reinstatement)</v>
      </c>
      <c r="D120" s="107"/>
      <c r="E120" s="153" t="str">
        <f>IF('Maintenance Schedule'!V149="x","x","")</f>
        <v/>
      </c>
      <c r="F120" s="153" t="str">
        <f>IF(E120="x","No","")</f>
        <v/>
      </c>
      <c r="G120" s="154">
        <f>IF(E120="x",1,0)</f>
        <v>0</v>
      </c>
      <c r="H120" s="155">
        <f t="shared" ref="H120" si="54">IF(E120="x",P120,0)</f>
        <v>0</v>
      </c>
      <c r="I120" s="156">
        <f>IF(E120="x",G120*H120,0)</f>
        <v>0</v>
      </c>
      <c r="J120" s="14"/>
      <c r="K120" s="15"/>
      <c r="L120" s="32"/>
      <c r="M120" s="67" t="str">
        <f>'Description Sheet'!K119</f>
        <v>No</v>
      </c>
      <c r="N120" s="67">
        <f>'Description Sheet'!L119</f>
        <v>0</v>
      </c>
      <c r="O120" s="73">
        <f>'Year (2028-2029)'!O120*(('Description Sheet'!M4)+1)</f>
        <v>8995.5208219699471</v>
      </c>
      <c r="P120" s="68">
        <f>N120*O120</f>
        <v>0</v>
      </c>
      <c r="Q120" s="14"/>
      <c r="R120" s="44"/>
    </row>
    <row r="121" spans="1:18" ht="17" hidden="1">
      <c r="A121" s="14"/>
      <c r="B121" s="109">
        <f>'Description Sheet'!B120</f>
        <v>10.199999999999999</v>
      </c>
      <c r="C121" s="114" t="str">
        <f>'Description Sheet'!C120</f>
        <v>Concrete Areas (Reinstatement)</v>
      </c>
      <c r="D121" s="107"/>
      <c r="E121" s="153" t="str">
        <f>IF('Maintenance Schedule'!V150="x","x","")</f>
        <v/>
      </c>
      <c r="F121" s="153" t="str">
        <f t="shared" ref="F121:F126" si="55">IF(E121="x","No","")</f>
        <v/>
      </c>
      <c r="G121" s="154">
        <f t="shared" ref="G121:G126" si="56">IF(E121="x",1,0)</f>
        <v>0</v>
      </c>
      <c r="H121" s="155">
        <f>IF(E121="x",P121,0)</f>
        <v>0</v>
      </c>
      <c r="I121" s="156">
        <f>IF(E121="x",G121*H121,0)</f>
        <v>0</v>
      </c>
      <c r="J121" s="14"/>
      <c r="K121" s="15"/>
      <c r="L121" s="32"/>
      <c r="M121" s="67" t="str">
        <f>'Description Sheet'!K120</f>
        <v>No</v>
      </c>
      <c r="N121" s="67">
        <f>'Description Sheet'!L120</f>
        <v>1</v>
      </c>
      <c r="O121" s="73">
        <f>'Year (2028-2029)'!O121*(('Description Sheet'!M4)+1)</f>
        <v>4355.2387847932696</v>
      </c>
      <c r="P121" s="68">
        <f>N121*O121</f>
        <v>4355.2387847932696</v>
      </c>
      <c r="Q121" s="14"/>
      <c r="R121" s="44"/>
    </row>
    <row r="122" spans="1:18" ht="17" hidden="1">
      <c r="A122" s="14"/>
      <c r="B122" s="109">
        <f>'Description Sheet'!B121</f>
        <v>10.3</v>
      </c>
      <c r="C122" s="114" t="str">
        <f>'Description Sheet'!C121</f>
        <v>Paving  Areas (Reinstatement)</v>
      </c>
      <c r="D122" s="107"/>
      <c r="E122" s="153" t="str">
        <f>IF('Maintenance Schedule'!V151="x","x","")</f>
        <v/>
      </c>
      <c r="F122" s="153" t="str">
        <f t="shared" si="55"/>
        <v/>
      </c>
      <c r="G122" s="154">
        <f t="shared" si="56"/>
        <v>0</v>
      </c>
      <c r="H122" s="155">
        <f>IF(E122="x",P122,0)</f>
        <v>0</v>
      </c>
      <c r="I122" s="156">
        <f>IF(E122="x",G122*H122,0)</f>
        <v>0</v>
      </c>
      <c r="J122" s="14"/>
      <c r="K122" s="15"/>
      <c r="L122" s="32"/>
      <c r="M122" s="67" t="str">
        <f>'Description Sheet'!K121</f>
        <v>No</v>
      </c>
      <c r="N122" s="67">
        <f>'Description Sheet'!L121</f>
        <v>1</v>
      </c>
      <c r="O122" s="73">
        <f>'Year (2028-2029)'!O122*(('Description Sheet'!M4)+1)</f>
        <v>4355.2387847932696</v>
      </c>
      <c r="P122" s="68">
        <f>N122*O122</f>
        <v>4355.2387847932696</v>
      </c>
      <c r="Q122" s="14"/>
      <c r="R122" s="44"/>
    </row>
    <row r="123" spans="1:18" ht="17" hidden="1">
      <c r="A123" s="14"/>
      <c r="B123" s="109">
        <f>'Description Sheet'!B122</f>
        <v>10.4</v>
      </c>
      <c r="C123" s="114" t="str">
        <f>'Description Sheet'!C122</f>
        <v>Reinstatement of Walkways (Grouting and Tiles)</v>
      </c>
      <c r="D123" s="107"/>
      <c r="E123" s="153" t="str">
        <f>IF('Maintenance Schedule'!V152="x","x","")</f>
        <v/>
      </c>
      <c r="F123" s="153" t="str">
        <f t="shared" si="55"/>
        <v/>
      </c>
      <c r="G123" s="154">
        <f t="shared" si="56"/>
        <v>0</v>
      </c>
      <c r="H123" s="155">
        <f>IF(E123="x",P123,0)</f>
        <v>0</v>
      </c>
      <c r="I123" s="156">
        <f>IF(E123="x",G123*H123,0)</f>
        <v>0</v>
      </c>
      <c r="J123" s="14"/>
      <c r="K123" s="15"/>
      <c r="L123" s="32"/>
      <c r="M123" s="67" t="str">
        <f>'Description Sheet'!K122</f>
        <v>No</v>
      </c>
      <c r="N123" s="67">
        <f>'Description Sheet'!L122</f>
        <v>1</v>
      </c>
      <c r="O123" s="73">
        <f>'Year (2028-2029)'!O123*(('Description Sheet'!M4)+1)</f>
        <v>4355.2387847932696</v>
      </c>
      <c r="P123" s="68">
        <f>N123*O123</f>
        <v>4355.2387847932696</v>
      </c>
      <c r="Q123" s="14"/>
      <c r="R123" s="44"/>
    </row>
    <row r="124" spans="1:18" ht="17" hidden="1">
      <c r="A124" s="14"/>
      <c r="B124" s="109">
        <f>'Description Sheet'!B123</f>
        <v>10.5</v>
      </c>
      <c r="C124" s="114" t="str">
        <f>'Description Sheet'!C123</f>
        <v>Tarmac Damaged Areas (Replacement)</v>
      </c>
      <c r="D124" s="107"/>
      <c r="E124" s="153" t="str">
        <f>IF('Maintenance Schedule'!V153="x","x","")</f>
        <v/>
      </c>
      <c r="F124" s="153" t="str">
        <f t="shared" si="55"/>
        <v/>
      </c>
      <c r="G124" s="154">
        <f t="shared" si="56"/>
        <v>0</v>
      </c>
      <c r="H124" s="155">
        <f t="shared" ref="H124:H126" si="57">IF(E124="x",P124,0)</f>
        <v>0</v>
      </c>
      <c r="I124" s="156">
        <f t="shared" ref="I124:I126" si="58">IF(E124="x",G124*H124,0)</f>
        <v>0</v>
      </c>
      <c r="J124" s="14"/>
      <c r="K124" s="15"/>
      <c r="L124" s="32"/>
      <c r="M124" s="67" t="str">
        <f>'Description Sheet'!K123</f>
        <v>No</v>
      </c>
      <c r="N124" s="67">
        <f>'Description Sheet'!L123</f>
        <v>0</v>
      </c>
      <c r="O124" s="73">
        <f>'Year (2028-2029)'!O124*(('Description Sheet'!M4)+1)</f>
        <v>0</v>
      </c>
      <c r="P124" s="68">
        <f t="shared" ref="P124:P126" si="59">N124*O124</f>
        <v>0</v>
      </c>
      <c r="Q124" s="14"/>
      <c r="R124" s="44"/>
    </row>
    <row r="125" spans="1:18" ht="17" hidden="1">
      <c r="A125" s="14"/>
      <c r="B125" s="109">
        <f>'Description Sheet'!B124</f>
        <v>10.6</v>
      </c>
      <c r="C125" s="114" t="str">
        <f>'Description Sheet'!C124</f>
        <v>blank</v>
      </c>
      <c r="D125" s="107"/>
      <c r="E125" s="153" t="str">
        <f>IF('Maintenance Schedule'!V154="x","x","")</f>
        <v/>
      </c>
      <c r="F125" s="153" t="str">
        <f t="shared" si="55"/>
        <v/>
      </c>
      <c r="G125" s="154">
        <f t="shared" si="56"/>
        <v>0</v>
      </c>
      <c r="H125" s="155">
        <f t="shared" si="57"/>
        <v>0</v>
      </c>
      <c r="I125" s="156">
        <f t="shared" si="58"/>
        <v>0</v>
      </c>
      <c r="J125" s="14"/>
      <c r="K125" s="15"/>
      <c r="L125" s="32"/>
      <c r="M125" s="67" t="str">
        <f>'Description Sheet'!K124</f>
        <v>No</v>
      </c>
      <c r="N125" s="67">
        <f>'Description Sheet'!L124</f>
        <v>0</v>
      </c>
      <c r="O125" s="73">
        <f>'Year (2028-2029)'!O125*(('Description Sheet'!M4)+1)</f>
        <v>0</v>
      </c>
      <c r="P125" s="68">
        <f t="shared" si="59"/>
        <v>0</v>
      </c>
      <c r="Q125" s="14"/>
      <c r="R125" s="44"/>
    </row>
    <row r="126" spans="1:18" ht="17" hidden="1">
      <c r="A126" s="14"/>
      <c r="B126" s="109">
        <f>'Description Sheet'!B125</f>
        <v>10.7</v>
      </c>
      <c r="C126" s="114" t="str">
        <f>'Description Sheet'!C125</f>
        <v>blank</v>
      </c>
      <c r="D126" s="107"/>
      <c r="E126" s="153" t="str">
        <f>IF('Maintenance Schedule'!V155="x","x","")</f>
        <v/>
      </c>
      <c r="F126" s="153" t="str">
        <f t="shared" si="55"/>
        <v/>
      </c>
      <c r="G126" s="154">
        <f t="shared" si="56"/>
        <v>0</v>
      </c>
      <c r="H126" s="155">
        <f t="shared" si="57"/>
        <v>0</v>
      </c>
      <c r="I126" s="156">
        <f t="shared" si="58"/>
        <v>0</v>
      </c>
      <c r="J126" s="14"/>
      <c r="K126" s="15"/>
      <c r="L126" s="32"/>
      <c r="M126" s="67" t="str">
        <f>'Description Sheet'!K125</f>
        <v>No</v>
      </c>
      <c r="N126" s="67">
        <f>'Description Sheet'!L125</f>
        <v>0</v>
      </c>
      <c r="O126" s="73">
        <f>'Year (2028-2029)'!O126*(('Description Sheet'!M4)+1)</f>
        <v>0</v>
      </c>
      <c r="P126" s="68">
        <f t="shared" si="59"/>
        <v>0</v>
      </c>
      <c r="Q126" s="14"/>
      <c r="R126" s="44"/>
    </row>
    <row r="127" spans="1:18" ht="17" hidden="1" thickBot="1">
      <c r="A127" s="14"/>
      <c r="B127" s="109"/>
      <c r="C127" s="164"/>
      <c r="D127" s="107"/>
      <c r="E127" s="162"/>
      <c r="F127" s="154"/>
      <c r="G127" s="154"/>
      <c r="H127" s="155"/>
      <c r="I127" s="155"/>
      <c r="J127" s="14"/>
      <c r="K127" s="15"/>
      <c r="L127" s="32"/>
      <c r="M127" s="67"/>
      <c r="N127" s="67"/>
      <c r="O127" s="73"/>
      <c r="P127" s="68"/>
      <c r="Q127" s="14"/>
      <c r="R127" s="44"/>
    </row>
    <row r="128" spans="1:18" s="4" customFormat="1" ht="15.75" hidden="1" customHeight="1" thickBot="1">
      <c r="A128" s="14"/>
      <c r="B128" s="109"/>
      <c r="C128" s="165"/>
      <c r="D128" s="107"/>
      <c r="E128" s="159"/>
      <c r="F128" s="528" t="s">
        <v>7</v>
      </c>
      <c r="G128" s="529"/>
      <c r="H128" s="530">
        <f>SUM(I120:I127)</f>
        <v>0</v>
      </c>
      <c r="I128" s="531"/>
      <c r="J128" s="14"/>
      <c r="K128" s="15"/>
      <c r="L128" s="33"/>
      <c r="M128" s="508" t="s">
        <v>7</v>
      </c>
      <c r="N128" s="509"/>
      <c r="O128" s="510">
        <f>SUM(P120:P127)</f>
        <v>13065.716354379809</v>
      </c>
      <c r="P128" s="511"/>
      <c r="Q128" s="14"/>
      <c r="R128" s="31"/>
    </row>
    <row r="129" spans="1:23" ht="17" thickBot="1">
      <c r="A129" s="14"/>
      <c r="B129" s="109">
        <f>'Description Sheet'!B128</f>
        <v>11</v>
      </c>
      <c r="C129" s="113" t="str">
        <f>'Description Sheet'!C128</f>
        <v>Security Systems and Facilities</v>
      </c>
      <c r="D129" s="107"/>
      <c r="E129" s="110"/>
      <c r="F129" s="110"/>
      <c r="G129" s="110"/>
      <c r="H129" s="110"/>
      <c r="I129" s="151"/>
      <c r="J129" s="32"/>
      <c r="K129" s="40"/>
      <c r="L129" s="33"/>
      <c r="M129" s="24"/>
      <c r="N129" s="25"/>
      <c r="O129" s="25"/>
      <c r="P129" s="63"/>
      <c r="Q129" s="14"/>
      <c r="R129" s="44"/>
    </row>
    <row r="130" spans="1:23" ht="17">
      <c r="A130" s="14"/>
      <c r="B130" s="109">
        <f>'Description Sheet'!B129</f>
        <v>11.1</v>
      </c>
      <c r="C130" s="164" t="str">
        <f>'Description Sheet'!C129</f>
        <v>Security Equipment (Replacement/Upgrade Savings)</v>
      </c>
      <c r="D130" s="107"/>
      <c r="E130" s="153" t="str">
        <f>IF('Maintenance Schedule'!V162="x","x","")</f>
        <v>x</v>
      </c>
      <c r="F130" s="153" t="str">
        <f>IF(E130="x","No","")</f>
        <v>No</v>
      </c>
      <c r="G130" s="154">
        <f>IF(E130="x",1,0)</f>
        <v>1</v>
      </c>
      <c r="H130" s="155">
        <f t="shared" ref="H130:H133" si="60">IF(E130="x",P130,0)</f>
        <v>12031.046366832237</v>
      </c>
      <c r="I130" s="156">
        <f>IF(E130="x",G130*H130,0)</f>
        <v>12031.046366832237</v>
      </c>
      <c r="J130" s="14"/>
      <c r="K130" s="15"/>
      <c r="L130" s="32"/>
      <c r="M130" s="67" t="str">
        <f>'Description Sheet'!K129</f>
        <v>No</v>
      </c>
      <c r="N130" s="67">
        <f>'Description Sheet'!L129</f>
        <v>1</v>
      </c>
      <c r="O130" s="73">
        <f>'Year (2028-2029)'!O130*(('Description Sheet'!M4)+1)</f>
        <v>12031.046366832237</v>
      </c>
      <c r="P130" s="68">
        <f>N130*O130</f>
        <v>12031.046366832237</v>
      </c>
      <c r="Q130" s="14"/>
      <c r="R130" s="44"/>
    </row>
    <row r="131" spans="1:23" ht="17" hidden="1">
      <c r="A131" s="14"/>
      <c r="B131" s="109">
        <f>'Description Sheet'!B130</f>
        <v>11.2</v>
      </c>
      <c r="C131" s="164" t="str">
        <f>'Description Sheet'!C130</f>
        <v>CCTV Installation</v>
      </c>
      <c r="D131" s="107"/>
      <c r="E131" s="153" t="str">
        <f>IF('Maintenance Schedule'!V163="x","x","")</f>
        <v/>
      </c>
      <c r="F131" s="153" t="str">
        <f t="shared" ref="F131:F133" si="61">IF(E131="x","No","")</f>
        <v/>
      </c>
      <c r="G131" s="154">
        <f t="shared" ref="G131:G133" si="62">IF(E131="x",1,0)</f>
        <v>0</v>
      </c>
      <c r="H131" s="155">
        <f t="shared" si="60"/>
        <v>0</v>
      </c>
      <c r="I131" s="156">
        <f t="shared" ref="I131:I133" si="63">IF(E131="x",G131*H131,0)</f>
        <v>0</v>
      </c>
      <c r="J131" s="14"/>
      <c r="K131" s="15"/>
      <c r="L131" s="32"/>
      <c r="M131" s="67" t="str">
        <f>'Description Sheet'!K130</f>
        <v>No</v>
      </c>
      <c r="N131" s="67">
        <f>'Description Sheet'!L130</f>
        <v>1</v>
      </c>
      <c r="O131" s="73">
        <f>'Year (2028-2029)'!O131*(('Description Sheet'!M4)+1)</f>
        <v>77739.06883183906</v>
      </c>
      <c r="P131" s="68">
        <f t="shared" ref="P131:P133" si="64">N131*O131</f>
        <v>77739.06883183906</v>
      </c>
      <c r="Q131" s="14"/>
      <c r="R131" s="44"/>
    </row>
    <row r="132" spans="1:23" ht="17" hidden="1">
      <c r="A132" s="14"/>
      <c r="B132" s="109">
        <f>'Description Sheet'!B131</f>
        <v>11.3</v>
      </c>
      <c r="C132" s="164" t="str">
        <f>'Description Sheet'!C131</f>
        <v>blank</v>
      </c>
      <c r="D132" s="107"/>
      <c r="E132" s="153" t="str">
        <f>IF('Maintenance Schedule'!V164="x","x","")</f>
        <v/>
      </c>
      <c r="F132" s="153" t="str">
        <f t="shared" si="61"/>
        <v/>
      </c>
      <c r="G132" s="154">
        <f t="shared" si="62"/>
        <v>0</v>
      </c>
      <c r="H132" s="155">
        <f t="shared" si="60"/>
        <v>0</v>
      </c>
      <c r="I132" s="156">
        <f t="shared" si="63"/>
        <v>0</v>
      </c>
      <c r="J132" s="14"/>
      <c r="K132" s="15"/>
      <c r="L132" s="32"/>
      <c r="M132" s="67" t="str">
        <f>'Description Sheet'!K131</f>
        <v>No</v>
      </c>
      <c r="N132" s="67">
        <f>'Description Sheet'!L131</f>
        <v>0</v>
      </c>
      <c r="O132" s="73">
        <f>'Year (2028-2029)'!O132*(('Description Sheet'!M4)+1)</f>
        <v>0</v>
      </c>
      <c r="P132" s="68">
        <f t="shared" si="64"/>
        <v>0</v>
      </c>
      <c r="Q132" s="14"/>
      <c r="R132" s="44"/>
    </row>
    <row r="133" spans="1:23" ht="17" hidden="1">
      <c r="A133" s="14"/>
      <c r="B133" s="109">
        <f>'Description Sheet'!B132</f>
        <v>11.4</v>
      </c>
      <c r="C133" s="164" t="str">
        <f>'Description Sheet'!C132</f>
        <v>blank</v>
      </c>
      <c r="D133" s="107"/>
      <c r="E133" s="153" t="str">
        <f>IF('Maintenance Schedule'!V165="x","x","")</f>
        <v/>
      </c>
      <c r="F133" s="153" t="str">
        <f t="shared" si="61"/>
        <v/>
      </c>
      <c r="G133" s="154">
        <f t="shared" si="62"/>
        <v>0</v>
      </c>
      <c r="H133" s="155">
        <f t="shared" si="60"/>
        <v>0</v>
      </c>
      <c r="I133" s="156">
        <f t="shared" si="63"/>
        <v>0</v>
      </c>
      <c r="J133" s="14"/>
      <c r="K133" s="15"/>
      <c r="L133" s="32"/>
      <c r="M133" s="67" t="str">
        <f>'Description Sheet'!K132</f>
        <v>No</v>
      </c>
      <c r="N133" s="67">
        <f>'Description Sheet'!L132</f>
        <v>0</v>
      </c>
      <c r="O133" s="73">
        <f>'Year (2028-2029)'!O133*(('Description Sheet'!M4)+1)</f>
        <v>0</v>
      </c>
      <c r="P133" s="68">
        <f t="shared" si="64"/>
        <v>0</v>
      </c>
      <c r="Q133" s="14"/>
      <c r="R133" s="44"/>
    </row>
    <row r="134" spans="1:23" ht="17" thickBot="1">
      <c r="A134" s="14"/>
      <c r="B134" s="109"/>
      <c r="C134" s="164"/>
      <c r="D134" s="107"/>
      <c r="E134" s="162"/>
      <c r="F134" s="154"/>
      <c r="G134" s="154"/>
      <c r="H134" s="155"/>
      <c r="I134" s="155"/>
      <c r="J134" s="14"/>
      <c r="K134" s="15"/>
      <c r="L134" s="32"/>
      <c r="M134" s="67"/>
      <c r="N134" s="67"/>
      <c r="O134" s="73"/>
      <c r="P134" s="68"/>
      <c r="Q134" s="14"/>
      <c r="R134" s="44"/>
    </row>
    <row r="135" spans="1:23" s="4" customFormat="1" ht="15.75" customHeight="1" thickBot="1">
      <c r="A135" s="14"/>
      <c r="B135" s="109"/>
      <c r="C135" s="158"/>
      <c r="D135" s="107"/>
      <c r="E135" s="159"/>
      <c r="F135" s="528" t="s">
        <v>7</v>
      </c>
      <c r="G135" s="529"/>
      <c r="H135" s="530">
        <f>SUM(I130:I134)</f>
        <v>12031.046366832237</v>
      </c>
      <c r="I135" s="531"/>
      <c r="J135" s="14"/>
      <c r="K135" s="15"/>
      <c r="L135" s="33"/>
      <c r="M135" s="508" t="s">
        <v>7</v>
      </c>
      <c r="N135" s="509"/>
      <c r="O135" s="510">
        <f>SUM(P130:P134)</f>
        <v>89770.115198671294</v>
      </c>
      <c r="P135" s="511"/>
      <c r="Q135" s="14"/>
      <c r="R135" s="31"/>
    </row>
    <row r="136" spans="1:23" ht="17" thickBot="1">
      <c r="A136" s="14"/>
      <c r="B136" s="109">
        <f>'Description Sheet'!B135</f>
        <v>12</v>
      </c>
      <c r="C136" s="113" t="str">
        <f>'Description Sheet'!C135</f>
        <v>Community and Recreational Facilities</v>
      </c>
      <c r="D136" s="107"/>
      <c r="E136" s="110"/>
      <c r="F136" s="110"/>
      <c r="G136" s="110"/>
      <c r="H136" s="110"/>
      <c r="I136" s="151"/>
      <c r="J136" s="32"/>
      <c r="K136" s="40"/>
      <c r="L136" s="33"/>
      <c r="M136" s="24"/>
      <c r="N136" s="25"/>
      <c r="O136" s="25"/>
      <c r="P136" s="63"/>
      <c r="Q136" s="14"/>
      <c r="R136" s="44"/>
    </row>
    <row r="137" spans="1:23">
      <c r="A137" s="14"/>
      <c r="B137" s="109">
        <f>'Description Sheet'!B136</f>
        <v>12.1</v>
      </c>
      <c r="C137" s="111" t="str">
        <f>'Description Sheet'!C136</f>
        <v>Fire Equipment and Signage (Replace)</v>
      </c>
      <c r="D137" s="107"/>
      <c r="E137" s="153" t="str">
        <f>IF('Maintenance Schedule'!V172="x","x","")</f>
        <v>x</v>
      </c>
      <c r="F137" s="153" t="str">
        <f>IF(E137="x","No","")</f>
        <v>No</v>
      </c>
      <c r="G137" s="154">
        <f>IF(E137="x",1,0)</f>
        <v>1</v>
      </c>
      <c r="H137" s="155">
        <f>IF(E137="x",P137,0)</f>
        <v>5552.7906308456468</v>
      </c>
      <c r="I137" s="156">
        <f>IF(E137="x",G137*H137,0)</f>
        <v>5552.7906308456468</v>
      </c>
      <c r="J137" s="14"/>
      <c r="K137" s="15"/>
      <c r="L137" s="32"/>
      <c r="M137" s="67" t="str">
        <f>'Description Sheet'!K136</f>
        <v>No</v>
      </c>
      <c r="N137" s="67">
        <f>'Description Sheet'!L136</f>
        <v>1</v>
      </c>
      <c r="O137" s="73">
        <f>'Year (2028-2029)'!O137*(('Description Sheet'!M4)+1)</f>
        <v>5552.7906308456468</v>
      </c>
      <c r="P137" s="68">
        <f>N137*O137</f>
        <v>5552.7906308456468</v>
      </c>
      <c r="Q137" s="14"/>
      <c r="R137" s="44"/>
      <c r="W137" s="1"/>
    </row>
    <row r="138" spans="1:23" hidden="1">
      <c r="A138" s="14"/>
      <c r="B138" s="109">
        <f>'Description Sheet'!B137</f>
        <v>12.2</v>
      </c>
      <c r="C138" s="111" t="str">
        <f>'Description Sheet'!C137</f>
        <v>Communal Areas (Pool, Gym Areas, ablutions etc Upgrade/Replacment of Fixtures &amp; Equipment)</v>
      </c>
      <c r="D138" s="107"/>
      <c r="E138" s="153" t="str">
        <f>IF('Maintenance Schedule'!V173="x","x","")</f>
        <v/>
      </c>
      <c r="F138" s="153" t="str">
        <f t="shared" ref="F138:F144" si="65">IF(E138="x","No","")</f>
        <v/>
      </c>
      <c r="G138" s="154">
        <f t="shared" ref="G138:G144" si="66">IF(E138="x",1,0)</f>
        <v>0</v>
      </c>
      <c r="H138" s="155">
        <f>IF(E138="x",P138,0)</f>
        <v>0</v>
      </c>
      <c r="I138" s="156">
        <f>IF(E138="x",G138*H138,0)</f>
        <v>0</v>
      </c>
      <c r="J138" s="14"/>
      <c r="K138" s="15"/>
      <c r="L138" s="32"/>
      <c r="M138" s="67" t="str">
        <f>'Description Sheet'!K137</f>
        <v>No</v>
      </c>
      <c r="N138" s="67">
        <f>'Description Sheet'!L137</f>
        <v>0</v>
      </c>
      <c r="O138" s="73">
        <f>'Year (2028-2029)'!O138*(('Description Sheet'!M4)+1)</f>
        <v>14155.914248235835</v>
      </c>
      <c r="P138" s="68">
        <f>N138*O138</f>
        <v>0</v>
      </c>
      <c r="Q138" s="14"/>
      <c r="R138" s="44"/>
    </row>
    <row r="139" spans="1:23" hidden="1">
      <c r="A139" s="14"/>
      <c r="B139" s="109">
        <f>'Description Sheet'!B138</f>
        <v>12.3</v>
      </c>
      <c r="C139" s="111" t="str">
        <f>'Description Sheet'!C138</f>
        <v>Laundry Room (Maintain/Replace)</v>
      </c>
      <c r="D139" s="107"/>
      <c r="E139" s="153" t="str">
        <f>IF('Maintenance Schedule'!V174="x","x","")</f>
        <v/>
      </c>
      <c r="F139" s="153" t="str">
        <f t="shared" si="65"/>
        <v/>
      </c>
      <c r="G139" s="154">
        <f t="shared" si="66"/>
        <v>0</v>
      </c>
      <c r="H139" s="155">
        <f>IF(E139="x",P139,0)</f>
        <v>0</v>
      </c>
      <c r="I139" s="156">
        <f>IF(E139="x",G139*H139,0)</f>
        <v>0</v>
      </c>
      <c r="J139" s="14"/>
      <c r="K139" s="15"/>
      <c r="L139" s="32"/>
      <c r="M139" s="67" t="str">
        <f>'Description Sheet'!K138</f>
        <v>lm</v>
      </c>
      <c r="N139" s="67">
        <f>'Description Sheet'!L138</f>
        <v>0</v>
      </c>
      <c r="O139" s="73">
        <f>'Year (2028-2029)'!O139*(('Description Sheet'!M4)+1)</f>
        <v>5443.5857484390172</v>
      </c>
      <c r="P139" s="68">
        <f>N139*O139</f>
        <v>0</v>
      </c>
      <c r="Q139" s="14"/>
      <c r="R139" s="44"/>
    </row>
    <row r="140" spans="1:23" hidden="1">
      <c r="A140" s="14"/>
      <c r="B140" s="109">
        <f>'Description Sheet'!B139</f>
        <v>12.4</v>
      </c>
      <c r="C140" s="111" t="str">
        <f>'Description Sheet'!C139</f>
        <v>Bin Room</v>
      </c>
      <c r="D140" s="107"/>
      <c r="E140" s="153" t="str">
        <f>IF('Maintenance Schedule'!V175="x","x","")</f>
        <v/>
      </c>
      <c r="F140" s="153" t="str">
        <f t="shared" si="65"/>
        <v/>
      </c>
      <c r="G140" s="154">
        <f t="shared" si="66"/>
        <v>0</v>
      </c>
      <c r="H140" s="155">
        <f>IF(E140="x",P140,0)</f>
        <v>0</v>
      </c>
      <c r="I140" s="156">
        <f>IF(E140="x",G140*H140,0)</f>
        <v>0</v>
      </c>
      <c r="J140" s="14"/>
      <c r="K140" s="15"/>
      <c r="L140" s="32"/>
      <c r="M140" s="67" t="str">
        <f>'Description Sheet'!K139</f>
        <v>No</v>
      </c>
      <c r="N140" s="67">
        <f>'Description Sheet'!L139</f>
        <v>0</v>
      </c>
      <c r="O140" s="73">
        <f>'Year (2028-2029)'!O140*(('Description Sheet'!M4)+1)</f>
        <v>6996.516194865515</v>
      </c>
      <c r="P140" s="68">
        <f>N140*O140</f>
        <v>0</v>
      </c>
      <c r="Q140" s="14"/>
      <c r="R140" s="44"/>
    </row>
    <row r="141" spans="1:23" hidden="1">
      <c r="A141" s="14"/>
      <c r="B141" s="109">
        <f>'Description Sheet'!B140</f>
        <v>12.5</v>
      </c>
      <c r="C141" s="111" t="str">
        <f>'Description Sheet'!C140</f>
        <v>Pool Area (Re-Surfacing)</v>
      </c>
      <c r="D141" s="107"/>
      <c r="E141" s="153" t="str">
        <f>IF('Maintenance Schedule'!V176="x","x","")</f>
        <v/>
      </c>
      <c r="F141" s="153" t="str">
        <f t="shared" si="65"/>
        <v/>
      </c>
      <c r="G141" s="154">
        <f t="shared" si="66"/>
        <v>0</v>
      </c>
      <c r="H141" s="155">
        <f>IF(E141="x",P141,0)</f>
        <v>0</v>
      </c>
      <c r="I141" s="156">
        <f>IF(E141="x",G141*H141,0)</f>
        <v>0</v>
      </c>
      <c r="J141" s="14"/>
      <c r="K141" s="15"/>
      <c r="L141" s="32"/>
      <c r="M141" s="67" t="str">
        <f>'Description Sheet'!K140</f>
        <v>No</v>
      </c>
      <c r="N141" s="67">
        <f>'Description Sheet'!L140</f>
        <v>0</v>
      </c>
      <c r="O141" s="73">
        <f>'Year (2028-2029)'!O141*(('Description Sheet'!M4)+1)</f>
        <v>31243.701949558177</v>
      </c>
      <c r="P141" s="68">
        <f>N141*O141</f>
        <v>0</v>
      </c>
      <c r="Q141" s="14"/>
      <c r="R141" s="44"/>
    </row>
    <row r="142" spans="1:23" hidden="1">
      <c r="A142" s="14"/>
      <c r="B142" s="109">
        <f>'Description Sheet'!B141</f>
        <v>12.6</v>
      </c>
      <c r="C142" s="111" t="str">
        <f>'Description Sheet'!C141</f>
        <v>Pool Area (Maintenance/Repairs Savings)</v>
      </c>
      <c r="D142" s="107"/>
      <c r="E142" s="153" t="str">
        <f>IF('Maintenance Schedule'!V177="x","x","")</f>
        <v/>
      </c>
      <c r="F142" s="153" t="str">
        <f t="shared" si="65"/>
        <v/>
      </c>
      <c r="G142" s="154">
        <f t="shared" si="66"/>
        <v>0</v>
      </c>
      <c r="H142" s="155">
        <f t="shared" ref="H142:H144" si="67">IF(E142="x",P142,0)</f>
        <v>0</v>
      </c>
      <c r="I142" s="156">
        <f t="shared" ref="I142:I144" si="68">IF(E142="x",G142*H142,0)</f>
        <v>0</v>
      </c>
      <c r="J142" s="14"/>
      <c r="K142" s="15"/>
      <c r="L142" s="32"/>
      <c r="M142" s="67" t="str">
        <f>'Description Sheet'!K141</f>
        <v>No</v>
      </c>
      <c r="N142" s="67">
        <f>'Description Sheet'!L141</f>
        <v>0</v>
      </c>
      <c r="O142" s="73">
        <f>'Year (2028-2029)'!O142*(('Description Sheet'!M4)+1)</f>
        <v>6811.4231738373282</v>
      </c>
      <c r="P142" s="68">
        <f t="shared" ref="P142:P144" si="69">N142*O142</f>
        <v>0</v>
      </c>
      <c r="Q142" s="14"/>
      <c r="R142" s="44"/>
    </row>
    <row r="143" spans="1:23" hidden="1">
      <c r="A143" s="14"/>
      <c r="B143" s="109">
        <f>'Description Sheet'!B142</f>
        <v>12.7</v>
      </c>
      <c r="C143" s="111" t="str">
        <f>'Description Sheet'!C142</f>
        <v>blank</v>
      </c>
      <c r="D143" s="107"/>
      <c r="E143" s="153" t="str">
        <f>IF('Maintenance Schedule'!V178="x","x","")</f>
        <v/>
      </c>
      <c r="F143" s="153" t="str">
        <f t="shared" si="65"/>
        <v/>
      </c>
      <c r="G143" s="154">
        <f t="shared" si="66"/>
        <v>0</v>
      </c>
      <c r="H143" s="155">
        <f t="shared" si="67"/>
        <v>0</v>
      </c>
      <c r="I143" s="156">
        <f t="shared" si="68"/>
        <v>0</v>
      </c>
      <c r="J143" s="14"/>
      <c r="K143" s="15"/>
      <c r="L143" s="32"/>
      <c r="M143" s="67" t="str">
        <f>'Description Sheet'!K142</f>
        <v>No</v>
      </c>
      <c r="N143" s="67">
        <f>'Description Sheet'!L142</f>
        <v>0</v>
      </c>
      <c r="O143" s="73">
        <f>'Year (2028-2029)'!O143*(('Description Sheet'!M4)+1)</f>
        <v>0</v>
      </c>
      <c r="P143" s="68">
        <f t="shared" si="69"/>
        <v>0</v>
      </c>
      <c r="Q143" s="14"/>
      <c r="R143" s="44"/>
    </row>
    <row r="144" spans="1:23" hidden="1">
      <c r="A144" s="14"/>
      <c r="B144" s="109">
        <f>'Description Sheet'!B143</f>
        <v>12.8</v>
      </c>
      <c r="C144" s="111" t="str">
        <f>'Description Sheet'!C143</f>
        <v>blank</v>
      </c>
      <c r="D144" s="107"/>
      <c r="E144" s="153" t="str">
        <f>IF('Maintenance Schedule'!V179="x","x","")</f>
        <v/>
      </c>
      <c r="F144" s="153" t="str">
        <f t="shared" si="65"/>
        <v/>
      </c>
      <c r="G144" s="154">
        <f t="shared" si="66"/>
        <v>0</v>
      </c>
      <c r="H144" s="155">
        <f t="shared" si="67"/>
        <v>0</v>
      </c>
      <c r="I144" s="156">
        <f t="shared" si="68"/>
        <v>0</v>
      </c>
      <c r="J144" s="14"/>
      <c r="K144" s="15"/>
      <c r="L144" s="32"/>
      <c r="M144" s="67" t="str">
        <f>'Description Sheet'!K143</f>
        <v>No</v>
      </c>
      <c r="N144" s="67">
        <f>'Description Sheet'!L143</f>
        <v>0</v>
      </c>
      <c r="O144" s="73">
        <f>'Year (2028-2029)'!O144*(('Description Sheet'!M4)+1)</f>
        <v>0</v>
      </c>
      <c r="P144" s="68">
        <f t="shared" si="69"/>
        <v>0</v>
      </c>
      <c r="Q144" s="14"/>
      <c r="R144" s="44"/>
    </row>
    <row r="145" spans="1:72" ht="17" thickBot="1">
      <c r="A145" s="14"/>
      <c r="B145" s="105"/>
      <c r="C145" s="111"/>
      <c r="D145" s="107"/>
      <c r="E145" s="153"/>
      <c r="F145" s="153" t="str">
        <f>IF(E145="x",M145,"")</f>
        <v/>
      </c>
      <c r="G145" s="154"/>
      <c r="H145" s="155"/>
      <c r="I145" s="166"/>
      <c r="J145" s="14"/>
      <c r="K145" s="15"/>
      <c r="L145" s="32"/>
      <c r="M145" s="67"/>
      <c r="N145" s="78"/>
      <c r="O145" s="77"/>
      <c r="P145" s="79"/>
      <c r="Q145" s="14"/>
      <c r="R145" s="44"/>
    </row>
    <row r="146" spans="1:72" s="4" customFormat="1" ht="15.75" customHeight="1" thickBot="1">
      <c r="A146" s="14"/>
      <c r="B146" s="105"/>
      <c r="C146" s="115"/>
      <c r="D146" s="107"/>
      <c r="E146" s="163"/>
      <c r="F146" s="528" t="s">
        <v>7</v>
      </c>
      <c r="G146" s="529"/>
      <c r="H146" s="530">
        <f>SUM(I137:I144)</f>
        <v>5552.7906308456468</v>
      </c>
      <c r="I146" s="531"/>
      <c r="J146" s="14"/>
      <c r="K146" s="15"/>
      <c r="L146" s="33"/>
      <c r="M146" s="508" t="s">
        <v>7</v>
      </c>
      <c r="N146" s="509"/>
      <c r="O146" s="510">
        <f>SUM(P137:P144)</f>
        <v>5552.7906308456468</v>
      </c>
      <c r="P146" s="511"/>
      <c r="Q146" s="14"/>
      <c r="R146" s="31"/>
    </row>
    <row r="147" spans="1:72" ht="7.5" customHeight="1" thickBot="1">
      <c r="A147" s="14" t="s">
        <v>57</v>
      </c>
      <c r="B147" s="105"/>
      <c r="C147" s="196"/>
      <c r="D147" s="197"/>
      <c r="E147" s="197"/>
      <c r="F147" s="197"/>
      <c r="G147" s="197"/>
      <c r="H147" s="197"/>
      <c r="I147" s="197"/>
      <c r="J147" s="197"/>
      <c r="K147" s="198"/>
      <c r="L147" s="199"/>
      <c r="M147" s="199"/>
      <c r="N147" s="199"/>
      <c r="O147" s="197"/>
      <c r="P147" s="200"/>
      <c r="Q147" s="14"/>
      <c r="R147" s="44"/>
    </row>
    <row r="148" spans="1:72" ht="17" thickBot="1">
      <c r="A148" s="14" t="s">
        <v>57</v>
      </c>
      <c r="B148" s="116"/>
      <c r="C148" s="167" t="s">
        <v>9</v>
      </c>
      <c r="D148" s="168"/>
      <c r="E148" s="553" t="s">
        <v>7</v>
      </c>
      <c r="F148" s="554"/>
      <c r="G148" s="555"/>
      <c r="H148" s="530">
        <f>H16+H26+H34+H41+H48+H68+H93+H111+H118+H128+H135++H146+H104</f>
        <v>295008.66063556756</v>
      </c>
      <c r="I148" s="531"/>
      <c r="J148" s="14"/>
      <c r="K148" s="35"/>
      <c r="L148" s="34"/>
      <c r="M148" s="87"/>
      <c r="N148" s="87"/>
      <c r="O148" s="87"/>
      <c r="P148" s="88"/>
      <c r="Q148" s="14"/>
      <c r="R148" s="44"/>
    </row>
    <row r="149" spans="1:72" ht="17.25" customHeight="1">
      <c r="A149" s="14"/>
      <c r="B149" s="478" t="str">
        <f>'Description Sheet'!B148</f>
        <v>Please Note: The above figures are estimates only based on our experience, measures taken and current rates.  An 8% escalation has been allowed for per anum .  This pricing includes 15% VAT.  Some rates have furthermore been adjusted to try and accommodate P&amp;G's.  An allowance for THC to undertake an annual inspection in order to update the maintenance plan and budget should be allowed for.</v>
      </c>
      <c r="C149" s="479"/>
      <c r="D149" s="479"/>
      <c r="E149" s="479"/>
      <c r="F149" s="479"/>
      <c r="G149" s="479"/>
      <c r="H149" s="479"/>
      <c r="I149" s="480"/>
      <c r="J149" s="14"/>
      <c r="K149" s="40"/>
      <c r="L149" s="14"/>
      <c r="M149" s="89"/>
      <c r="N149" s="89"/>
      <c r="O149" s="89"/>
      <c r="P149" s="89"/>
      <c r="Q149" s="14"/>
      <c r="R149" s="89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</row>
    <row r="150" spans="1:72">
      <c r="A150" s="14"/>
      <c r="B150" s="534"/>
      <c r="C150" s="535"/>
      <c r="D150" s="535"/>
      <c r="E150" s="535"/>
      <c r="F150" s="535"/>
      <c r="G150" s="535"/>
      <c r="H150" s="535"/>
      <c r="I150" s="536"/>
      <c r="J150" s="14"/>
      <c r="K150" s="40"/>
      <c r="L150" s="14"/>
      <c r="M150" s="89"/>
      <c r="N150" s="89"/>
      <c r="O150" s="89"/>
      <c r="P150" s="89"/>
      <c r="Q150" s="14"/>
      <c r="R150" s="89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</row>
    <row r="151" spans="1:72" ht="25.5" customHeight="1">
      <c r="A151" s="14"/>
      <c r="B151" s="534"/>
      <c r="C151" s="535"/>
      <c r="D151" s="535"/>
      <c r="E151" s="535"/>
      <c r="F151" s="535"/>
      <c r="G151" s="535"/>
      <c r="H151" s="535"/>
      <c r="I151" s="536"/>
      <c r="J151" s="14"/>
      <c r="K151" s="31"/>
      <c r="L151" s="14"/>
      <c r="M151" s="44"/>
      <c r="N151" s="44"/>
      <c r="O151" s="44"/>
      <c r="P151" s="44"/>
      <c r="Q151" s="14"/>
      <c r="R151" s="44"/>
    </row>
    <row r="152" spans="1:72">
      <c r="A152" s="44"/>
      <c r="B152" s="172"/>
      <c r="C152" s="117"/>
      <c r="D152" s="117"/>
      <c r="E152" s="139"/>
      <c r="F152" s="117"/>
      <c r="G152" s="117"/>
      <c r="H152" s="117"/>
      <c r="I152" s="117"/>
      <c r="J152" s="44"/>
      <c r="K152" s="31"/>
      <c r="L152" s="44"/>
      <c r="M152" s="44"/>
      <c r="N152" s="44"/>
      <c r="O152" s="44"/>
      <c r="P152" s="44"/>
      <c r="Q152" s="44"/>
      <c r="R152" s="44"/>
    </row>
  </sheetData>
  <sheetProtection algorithmName="SHA-512" hashValue="XvwnRhkVvKpdOIUMfWZ+HYgdf8VTutNbSUhW74axdgPIVWKVQNqB8mQsbrI8/YPhX6K7A+YhDPeQFauKuepV2g==" saltValue="ntqc9arKPCJvOYWJT+hEjA==" spinCount="100000" sheet="1" objects="1" scenarios="1"/>
  <mergeCells count="60">
    <mergeCell ref="F26:G26"/>
    <mergeCell ref="H26:I26"/>
    <mergeCell ref="B2:F3"/>
    <mergeCell ref="B4:I4"/>
    <mergeCell ref="E5:I5"/>
    <mergeCell ref="F16:G16"/>
    <mergeCell ref="H16:I16"/>
    <mergeCell ref="M26:N26"/>
    <mergeCell ref="O26:P26"/>
    <mergeCell ref="M2:P3"/>
    <mergeCell ref="M7:P7"/>
    <mergeCell ref="M16:N16"/>
    <mergeCell ref="O16:P16"/>
    <mergeCell ref="F104:G104"/>
    <mergeCell ref="H104:I104"/>
    <mergeCell ref="M104:N104"/>
    <mergeCell ref="O104:P104"/>
    <mergeCell ref="F93:G93"/>
    <mergeCell ref="H93:I93"/>
    <mergeCell ref="M93:N93"/>
    <mergeCell ref="O93:P93"/>
    <mergeCell ref="F34:G34"/>
    <mergeCell ref="H34:I34"/>
    <mergeCell ref="M34:N34"/>
    <mergeCell ref="O34:P34"/>
    <mergeCell ref="F41:G41"/>
    <mergeCell ref="H41:I41"/>
    <mergeCell ref="M41:N41"/>
    <mergeCell ref="O41:P41"/>
    <mergeCell ref="F48:G48"/>
    <mergeCell ref="H48:I48"/>
    <mergeCell ref="M48:N48"/>
    <mergeCell ref="O48:P48"/>
    <mergeCell ref="F68:G68"/>
    <mergeCell ref="H68:I68"/>
    <mergeCell ref="M68:N68"/>
    <mergeCell ref="O68:P68"/>
    <mergeCell ref="F111:G111"/>
    <mergeCell ref="H111:I111"/>
    <mergeCell ref="M111:N111"/>
    <mergeCell ref="O111:P111"/>
    <mergeCell ref="F118:G118"/>
    <mergeCell ref="H118:I118"/>
    <mergeCell ref="M118:N118"/>
    <mergeCell ref="O118:P118"/>
    <mergeCell ref="M146:N146"/>
    <mergeCell ref="O146:P146"/>
    <mergeCell ref="F128:G128"/>
    <mergeCell ref="H128:I128"/>
    <mergeCell ref="M128:N128"/>
    <mergeCell ref="O128:P128"/>
    <mergeCell ref="F135:G135"/>
    <mergeCell ref="H135:I135"/>
    <mergeCell ref="M135:N135"/>
    <mergeCell ref="O135:P135"/>
    <mergeCell ref="E148:G148"/>
    <mergeCell ref="H148:I148"/>
    <mergeCell ref="B149:I151"/>
    <mergeCell ref="F146:G146"/>
    <mergeCell ref="H146:I146"/>
  </mergeCells>
  <conditionalFormatting sqref="E18:E24 E9:E15">
    <cfRule type="expression" priority="1">
      <formula>$H$9:$H$10&gt;x</formula>
    </cfRule>
    <cfRule type="expression" priority="2">
      <formula>$H$9&lt;x</formula>
    </cfRule>
  </conditionalFormatting>
  <pageMargins left="0.70866141732283472" right="0.70866141732283472" top="0.74803149606299213" bottom="0.74803149606299213" header="0.31496062992125984" footer="0.31496062992125984"/>
  <pageSetup scale="69" orientation="portrait" horizontalDpi="429496729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pageSetUpPr fitToPage="1"/>
  </sheetPr>
  <dimension ref="A1:BT152"/>
  <sheetViews>
    <sheetView view="pageBreakPreview" zoomScale="70" zoomScaleNormal="70" zoomScaleSheetLayoutView="70" workbookViewId="0">
      <pane xSplit="16" ySplit="6" topLeftCell="Q7" activePane="bottomRight" state="frozen"/>
      <selection pane="topRight"/>
      <selection pane="bottomLeft"/>
      <selection pane="bottomRight" activeCell="Z42" sqref="Z42"/>
    </sheetView>
  </sheetViews>
  <sheetFormatPr baseColWidth="10" defaultColWidth="8.83203125" defaultRowHeight="16"/>
  <cols>
    <col min="1" max="1" width="2.33203125" customWidth="1"/>
    <col min="2" max="2" width="6.5" style="173" hidden="1" customWidth="1"/>
    <col min="3" max="3" width="62.5" style="169" customWidth="1"/>
    <col min="4" max="4" width="1.5" style="169" customWidth="1"/>
    <col min="5" max="5" width="12.83203125" style="170" hidden="1" customWidth="1"/>
    <col min="6" max="6" width="6.5" style="169" customWidth="1"/>
    <col min="7" max="7" width="11.33203125" style="169" customWidth="1"/>
    <col min="8" max="8" width="17.5" style="169" bestFit="1" customWidth="1"/>
    <col min="9" max="9" width="17.5" style="169" customWidth="1"/>
    <col min="10" max="10" width="2.33203125" customWidth="1"/>
    <col min="11" max="11" width="11" style="4" hidden="1" customWidth="1"/>
    <col min="12" max="12" width="20.1640625" hidden="1" customWidth="1"/>
    <col min="13" max="13" width="19.1640625" hidden="1" customWidth="1"/>
    <col min="14" max="14" width="13" hidden="1" customWidth="1"/>
    <col min="15" max="15" width="13.5" hidden="1" customWidth="1"/>
    <col min="16" max="16" width="15.6640625" hidden="1" customWidth="1"/>
    <col min="17" max="17" width="10" hidden="1" customWidth="1"/>
    <col min="18" max="18" width="9.1640625" customWidth="1"/>
    <col min="19" max="19" width="13.5" bestFit="1" customWidth="1"/>
  </cols>
  <sheetData>
    <row r="1" spans="1:18" ht="17" thickBot="1">
      <c r="A1" s="30"/>
      <c r="B1" s="171"/>
      <c r="C1" s="117"/>
      <c r="D1" s="118"/>
      <c r="E1" s="139"/>
      <c r="F1" s="117"/>
      <c r="G1" s="117"/>
      <c r="H1" s="117"/>
      <c r="I1" s="117"/>
      <c r="J1" s="30"/>
      <c r="K1" s="41"/>
      <c r="L1" s="30"/>
      <c r="M1" s="30"/>
      <c r="N1" s="44"/>
      <c r="O1" s="44"/>
      <c r="P1" s="44"/>
      <c r="Q1" s="30"/>
      <c r="R1" s="44"/>
    </row>
    <row r="2" spans="1:18" ht="15" customHeight="1">
      <c r="A2" s="34"/>
      <c r="B2" s="543" t="str">
        <f>'Maintenance Schedule'!D1</f>
        <v>KNIGHTSBRIDGE - DESK REVIEW MAINTENANCE SCHEDULE (2021)</v>
      </c>
      <c r="C2" s="544"/>
      <c r="D2" s="544"/>
      <c r="E2" s="544"/>
      <c r="F2" s="545"/>
      <c r="G2" s="140"/>
      <c r="H2" s="140"/>
      <c r="I2" s="140"/>
      <c r="J2" s="14"/>
      <c r="K2" s="15"/>
      <c r="L2" s="33"/>
      <c r="M2" s="537" t="s">
        <v>22</v>
      </c>
      <c r="N2" s="538"/>
      <c r="O2" s="538"/>
      <c r="P2" s="539"/>
      <c r="Q2" s="34"/>
      <c r="R2" s="44"/>
    </row>
    <row r="3" spans="1:18" ht="37.5" customHeight="1" thickBot="1">
      <c r="A3" s="38"/>
      <c r="B3" s="546"/>
      <c r="C3" s="547"/>
      <c r="D3" s="547"/>
      <c r="E3" s="547"/>
      <c r="F3" s="548"/>
      <c r="G3" s="141"/>
      <c r="H3" s="141"/>
      <c r="I3" s="141"/>
      <c r="J3" s="14"/>
      <c r="K3" s="15"/>
      <c r="L3" s="33"/>
      <c r="M3" s="540"/>
      <c r="N3" s="541"/>
      <c r="O3" s="541"/>
      <c r="P3" s="542"/>
      <c r="Q3" s="14"/>
      <c r="R3" s="44"/>
    </row>
    <row r="4" spans="1:18" ht="32.25" customHeight="1" thickBot="1">
      <c r="A4" s="14"/>
      <c r="B4" s="460" t="s">
        <v>1</v>
      </c>
      <c r="C4" s="461"/>
      <c r="D4" s="461"/>
      <c r="E4" s="461"/>
      <c r="F4" s="461"/>
      <c r="G4" s="461"/>
      <c r="H4" s="461"/>
      <c r="I4" s="549"/>
      <c r="J4" s="14"/>
      <c r="K4" s="40"/>
      <c r="L4" s="33"/>
      <c r="M4" s="51" t="s">
        <v>26</v>
      </c>
      <c r="N4" s="51"/>
      <c r="O4" s="51"/>
      <c r="P4" s="52"/>
      <c r="Q4" s="14"/>
      <c r="R4" s="44"/>
    </row>
    <row r="5" spans="1:18" ht="19" thickBot="1">
      <c r="A5" s="14"/>
      <c r="B5" s="105"/>
      <c r="C5" s="106" t="str">
        <f>'Maintenance Schedule'!E4</f>
        <v>WORK DUE IN FINANCIAL YEAR</v>
      </c>
      <c r="D5" s="107"/>
      <c r="E5" s="550" t="str">
        <f>'Maintenance Schedule'!X4</f>
        <v>2030/2031</v>
      </c>
      <c r="F5" s="551"/>
      <c r="G5" s="551"/>
      <c r="H5" s="551"/>
      <c r="I5" s="552"/>
      <c r="J5" s="14"/>
      <c r="K5" s="40"/>
      <c r="L5" s="33"/>
      <c r="M5" s="53"/>
      <c r="N5" s="53"/>
      <c r="O5" s="53"/>
      <c r="P5" s="54"/>
      <c r="Q5" s="14"/>
      <c r="R5" s="44"/>
    </row>
    <row r="6" spans="1:18" ht="18" thickBot="1">
      <c r="A6" s="14"/>
      <c r="B6" s="108" t="s">
        <v>19</v>
      </c>
      <c r="C6" s="142" t="s">
        <v>0</v>
      </c>
      <c r="D6" s="107"/>
      <c r="E6" s="143" t="s">
        <v>23</v>
      </c>
      <c r="F6" s="144" t="s">
        <v>2</v>
      </c>
      <c r="G6" s="145" t="s">
        <v>3</v>
      </c>
      <c r="H6" s="144" t="s">
        <v>4</v>
      </c>
      <c r="I6" s="144" t="s">
        <v>5</v>
      </c>
      <c r="J6" s="32"/>
      <c r="K6" s="40"/>
      <c r="L6" s="33"/>
      <c r="M6" s="59" t="s">
        <v>2</v>
      </c>
      <c r="N6" s="59" t="s">
        <v>3</v>
      </c>
      <c r="O6" s="59" t="s">
        <v>4</v>
      </c>
      <c r="P6" s="59" t="s">
        <v>5</v>
      </c>
      <c r="Q6" s="14"/>
      <c r="R6" s="44"/>
    </row>
    <row r="7" spans="1:18" ht="8.25" hidden="1" customHeight="1" thickBot="1">
      <c r="A7" s="14"/>
      <c r="B7" s="109"/>
      <c r="C7" s="146"/>
      <c r="D7" s="147"/>
      <c r="E7" s="148"/>
      <c r="F7" s="148"/>
      <c r="G7" s="148"/>
      <c r="H7" s="148"/>
      <c r="I7" s="149"/>
      <c r="J7" s="60"/>
      <c r="K7" s="84"/>
      <c r="L7" s="60"/>
      <c r="M7" s="505"/>
      <c r="N7" s="506"/>
      <c r="O7" s="506"/>
      <c r="P7" s="507"/>
      <c r="Q7" s="14"/>
      <c r="R7" s="44"/>
    </row>
    <row r="8" spans="1:18" ht="17" thickBot="1">
      <c r="A8" s="14"/>
      <c r="B8" s="108">
        <f>'Description Sheet'!B7</f>
        <v>1</v>
      </c>
      <c r="C8" s="150" t="str">
        <f>'Description Sheet'!C7</f>
        <v>Electrical Areas</v>
      </c>
      <c r="D8" s="107"/>
      <c r="E8" s="110"/>
      <c r="F8" s="110"/>
      <c r="G8" s="110"/>
      <c r="H8" s="110"/>
      <c r="I8" s="151"/>
      <c r="J8" s="32"/>
      <c r="K8" s="40"/>
      <c r="L8" s="33"/>
      <c r="M8" s="24"/>
      <c r="N8" s="25"/>
      <c r="O8" s="25"/>
      <c r="P8" s="63"/>
      <c r="Q8" s="14"/>
      <c r="R8" s="44"/>
    </row>
    <row r="9" spans="1:18">
      <c r="A9" s="14"/>
      <c r="B9" s="109">
        <f>'Description Sheet'!B8</f>
        <v>1.1000000000000001</v>
      </c>
      <c r="C9" s="152" t="str">
        <f>'Description Sheet'!C8</f>
        <v>General Electrics and Lighting (Replacement/Repairs)</v>
      </c>
      <c r="D9" s="107"/>
      <c r="E9" s="153" t="str">
        <f>IF('Maintenance Schedule'!X8="x","x","")</f>
        <v>x</v>
      </c>
      <c r="F9" s="153" t="str">
        <f>IF(E9="x","No","")</f>
        <v>No</v>
      </c>
      <c r="G9" s="154">
        <f>IF(E9="x",1,0)</f>
        <v>1</v>
      </c>
      <c r="H9" s="155">
        <f>IF(E9="x",P9,0)</f>
        <v>8995.5208219699471</v>
      </c>
      <c r="I9" s="156">
        <f>IF(E9="x",G9*H9,0)</f>
        <v>8995.5208219699471</v>
      </c>
      <c r="J9" s="14"/>
      <c r="K9" s="85"/>
      <c r="L9" s="32"/>
      <c r="M9" s="66" t="str">
        <f>'Description Sheet'!K8</f>
        <v>No</v>
      </c>
      <c r="N9" s="67">
        <f>'Description Sheet'!L8</f>
        <v>1</v>
      </c>
      <c r="O9" s="68">
        <f>'Year (2029-2030)'!O9*(('Description Sheet'!M4)+1)</f>
        <v>8995.5208219699471</v>
      </c>
      <c r="P9" s="69">
        <f>N9*O9</f>
        <v>8995.5208219699471</v>
      </c>
      <c r="Q9" s="14"/>
      <c r="R9" s="44"/>
    </row>
    <row r="10" spans="1:18" hidden="1">
      <c r="A10" s="14"/>
      <c r="B10" s="109">
        <f>'Description Sheet'!B9</f>
        <v>1.2</v>
      </c>
      <c r="C10" s="152" t="str">
        <f>'Description Sheet'!C9</f>
        <v>Generators (Maintenance Savings)</v>
      </c>
      <c r="D10" s="107"/>
      <c r="E10" s="153" t="str">
        <f>IF('Maintenance Schedule'!X9="x","x","")</f>
        <v/>
      </c>
      <c r="F10" s="153" t="str">
        <f t="shared" ref="F10:F14" si="0">IF(E10="x","No","")</f>
        <v/>
      </c>
      <c r="G10" s="154">
        <f t="shared" ref="G10:G14" si="1">IF(E10="x",1,0)</f>
        <v>0</v>
      </c>
      <c r="H10" s="155">
        <f>IF(E10="x",P10,0)</f>
        <v>0</v>
      </c>
      <c r="I10" s="156">
        <f>IF(E10="x",G10*H10,0)</f>
        <v>0</v>
      </c>
      <c r="J10" s="14"/>
      <c r="K10" s="85"/>
      <c r="L10" s="32"/>
      <c r="M10" s="66" t="str">
        <f>'Description Sheet'!K9</f>
        <v>No</v>
      </c>
      <c r="N10" s="67">
        <f>'Description Sheet'!L9</f>
        <v>0</v>
      </c>
      <c r="O10" s="68">
        <f>'Year (2029-2030)'!O10*(('Description Sheet'!M4)+1)</f>
        <v>9407.3157751534636</v>
      </c>
      <c r="P10" s="69">
        <f>N10*O10</f>
        <v>0</v>
      </c>
      <c r="Q10" s="14"/>
      <c r="R10" s="44"/>
    </row>
    <row r="11" spans="1:18">
      <c r="A11" s="14"/>
      <c r="B11" s="109">
        <f>'Description Sheet'!B10</f>
        <v>1.3</v>
      </c>
      <c r="C11" s="152" t="str">
        <f>'Description Sheet'!C10</f>
        <v>Main Gate &amp; Motor (Replacement Savings)</v>
      </c>
      <c r="D11" s="107"/>
      <c r="E11" s="153" t="str">
        <f>IF('Maintenance Schedule'!X10="x","x","")</f>
        <v>x</v>
      </c>
      <c r="F11" s="153" t="str">
        <f t="shared" si="0"/>
        <v>No</v>
      </c>
      <c r="G11" s="154">
        <f t="shared" si="1"/>
        <v>1</v>
      </c>
      <c r="H11" s="155">
        <f>IF(E11="x",P11,0)</f>
        <v>5879.072608314139</v>
      </c>
      <c r="I11" s="156">
        <f>IF(E11="x",G11*H11,0)</f>
        <v>5879.072608314139</v>
      </c>
      <c r="J11" s="14"/>
      <c r="K11" s="85"/>
      <c r="L11" s="32"/>
      <c r="M11" s="66" t="str">
        <f>'Description Sheet'!K10</f>
        <v>No</v>
      </c>
      <c r="N11" s="67">
        <f>'Description Sheet'!L10</f>
        <v>1</v>
      </c>
      <c r="O11" s="68">
        <f>'Year (2029-2030)'!O11*(('Description Sheet'!M4)+1)</f>
        <v>5879.072608314139</v>
      </c>
      <c r="P11" s="69">
        <f>N11*O11</f>
        <v>5879.072608314139</v>
      </c>
      <c r="Q11" s="14"/>
      <c r="R11" s="44"/>
    </row>
    <row r="12" spans="1:18" hidden="1">
      <c r="A12" s="14"/>
      <c r="B12" s="109">
        <f>'Description Sheet'!B11</f>
        <v>1.4</v>
      </c>
      <c r="C12" s="152" t="str">
        <f>'Description Sheet'!C11</f>
        <v>Tranformers (Service Interval 3 Years)</v>
      </c>
      <c r="D12" s="107"/>
      <c r="E12" s="153" t="str">
        <f>IF('Maintenance Schedule'!X11="x","x","")</f>
        <v/>
      </c>
      <c r="F12" s="153" t="str">
        <f t="shared" si="0"/>
        <v/>
      </c>
      <c r="G12" s="154">
        <f t="shared" si="1"/>
        <v>0</v>
      </c>
      <c r="H12" s="155">
        <f t="shared" ref="H12:H14" si="2">IF(E12="x",P12,0)</f>
        <v>0</v>
      </c>
      <c r="I12" s="156">
        <f t="shared" ref="I12:I14" si="3">IF(E12="x",G12*H12,0)</f>
        <v>0</v>
      </c>
      <c r="J12" s="14"/>
      <c r="K12" s="85"/>
      <c r="L12" s="32"/>
      <c r="M12" s="66" t="str">
        <f>'Description Sheet'!K11</f>
        <v>No</v>
      </c>
      <c r="N12" s="67">
        <f>'Description Sheet'!L11</f>
        <v>0</v>
      </c>
      <c r="O12" s="68">
        <f>'Year (2029-2030)'!O12*(('Description Sheet'!M4)+1)</f>
        <v>56563.834928547032</v>
      </c>
      <c r="P12" s="69">
        <f t="shared" ref="P12:P14" si="4">N12*O12</f>
        <v>0</v>
      </c>
      <c r="Q12" s="14"/>
      <c r="R12" s="44"/>
    </row>
    <row r="13" spans="1:18" hidden="1">
      <c r="A13" s="14"/>
      <c r="B13" s="109">
        <f>'Description Sheet'!B12</f>
        <v>1.5</v>
      </c>
      <c r="C13" s="152" t="str">
        <f>'Description Sheet'!C12</f>
        <v>blank</v>
      </c>
      <c r="D13" s="107"/>
      <c r="E13" s="153" t="str">
        <f>IF('Maintenance Schedule'!X12="x","x","")</f>
        <v/>
      </c>
      <c r="F13" s="153" t="str">
        <f t="shared" si="0"/>
        <v/>
      </c>
      <c r="G13" s="154">
        <f t="shared" si="1"/>
        <v>0</v>
      </c>
      <c r="H13" s="155">
        <f t="shared" si="2"/>
        <v>0</v>
      </c>
      <c r="I13" s="156">
        <f t="shared" si="3"/>
        <v>0</v>
      </c>
      <c r="J13" s="14"/>
      <c r="K13" s="85"/>
      <c r="L13" s="32"/>
      <c r="M13" s="66" t="str">
        <f>'Description Sheet'!K12</f>
        <v>No</v>
      </c>
      <c r="N13" s="67">
        <f>'Description Sheet'!L12</f>
        <v>0</v>
      </c>
      <c r="O13" s="68">
        <f>'Year (2029-2030)'!O13*(('Description Sheet'!M4)+1)</f>
        <v>0</v>
      </c>
      <c r="P13" s="69">
        <f t="shared" si="4"/>
        <v>0</v>
      </c>
      <c r="Q13" s="14"/>
      <c r="R13" s="44"/>
    </row>
    <row r="14" spans="1:18" hidden="1">
      <c r="A14" s="14"/>
      <c r="B14" s="109">
        <f>'Description Sheet'!B13</f>
        <v>1.6</v>
      </c>
      <c r="C14" s="152" t="str">
        <f>'Description Sheet'!C13</f>
        <v>blank</v>
      </c>
      <c r="D14" s="107"/>
      <c r="E14" s="153" t="str">
        <f>IF('Maintenance Schedule'!X13="x","x","")</f>
        <v/>
      </c>
      <c r="F14" s="153" t="str">
        <f t="shared" si="0"/>
        <v/>
      </c>
      <c r="G14" s="154">
        <f t="shared" si="1"/>
        <v>0</v>
      </c>
      <c r="H14" s="155">
        <f t="shared" si="2"/>
        <v>0</v>
      </c>
      <c r="I14" s="156">
        <f t="shared" si="3"/>
        <v>0</v>
      </c>
      <c r="J14" s="14"/>
      <c r="K14" s="85"/>
      <c r="L14" s="32"/>
      <c r="M14" s="66" t="str">
        <f>'Description Sheet'!K13</f>
        <v>No</v>
      </c>
      <c r="N14" s="67">
        <f>'Description Sheet'!L13</f>
        <v>0</v>
      </c>
      <c r="O14" s="68">
        <f>'Year (2029-2030)'!O14*(('Description Sheet'!M4)+1)</f>
        <v>0</v>
      </c>
      <c r="P14" s="69">
        <f t="shared" si="4"/>
        <v>0</v>
      </c>
      <c r="Q14" s="14"/>
      <c r="R14" s="44"/>
    </row>
    <row r="15" spans="1:18" ht="17" thickBot="1">
      <c r="A15" s="14"/>
      <c r="B15" s="109"/>
      <c r="C15" s="152"/>
      <c r="D15" s="107"/>
      <c r="E15" s="153"/>
      <c r="F15" s="153"/>
      <c r="G15" s="154"/>
      <c r="H15" s="155"/>
      <c r="I15" s="157"/>
      <c r="J15" s="14"/>
      <c r="K15" s="85"/>
      <c r="L15" s="32"/>
      <c r="M15" s="70"/>
      <c r="N15" s="67"/>
      <c r="O15" s="68"/>
      <c r="P15" s="73"/>
      <c r="Q15" s="14"/>
      <c r="R15" s="44"/>
    </row>
    <row r="16" spans="1:18" s="4" customFormat="1" ht="15.75" customHeight="1" thickBot="1">
      <c r="A16" s="14"/>
      <c r="B16" s="109"/>
      <c r="C16" s="158"/>
      <c r="D16" s="107"/>
      <c r="E16" s="159"/>
      <c r="F16" s="528" t="s">
        <v>7</v>
      </c>
      <c r="G16" s="529"/>
      <c r="H16" s="530">
        <f>SUM(I9:I14)</f>
        <v>14874.593430284087</v>
      </c>
      <c r="I16" s="531"/>
      <c r="J16" s="14"/>
      <c r="K16" s="15"/>
      <c r="L16" s="33"/>
      <c r="M16" s="508" t="s">
        <v>7</v>
      </c>
      <c r="N16" s="509"/>
      <c r="O16" s="510">
        <f>SUM(P9:P14)</f>
        <v>14874.593430284087</v>
      </c>
      <c r="P16" s="511"/>
      <c r="Q16" s="14"/>
      <c r="R16" s="31"/>
    </row>
    <row r="17" spans="1:18" ht="17" thickBot="1">
      <c r="A17" s="14"/>
      <c r="B17" s="109">
        <f>'Description Sheet'!B16</f>
        <v>2</v>
      </c>
      <c r="C17" s="113" t="str">
        <f>'Description Sheet'!C16</f>
        <v>External Plumbing Areas</v>
      </c>
      <c r="D17" s="107"/>
      <c r="E17" s="110"/>
      <c r="F17" s="110"/>
      <c r="G17" s="110"/>
      <c r="H17" s="110"/>
      <c r="I17" s="151"/>
      <c r="J17" s="32"/>
      <c r="K17" s="40"/>
      <c r="L17" s="33"/>
      <c r="M17" s="24"/>
      <c r="N17" s="25"/>
      <c r="O17" s="25"/>
      <c r="P17" s="63"/>
      <c r="Q17" s="14"/>
      <c r="R17" s="44"/>
    </row>
    <row r="18" spans="1:18">
      <c r="A18" s="14"/>
      <c r="B18" s="109">
        <f>'Description Sheet'!B17</f>
        <v>2.1</v>
      </c>
      <c r="C18" s="152" t="str">
        <f>'Description Sheet'!C17</f>
        <v>General Plumbing Repairs/Upgrade (Stacks, Valves etc.)</v>
      </c>
      <c r="D18" s="107"/>
      <c r="E18" s="153" t="str">
        <f>IF('Maintenance Schedule'!X20="x","x","")</f>
        <v>x</v>
      </c>
      <c r="F18" s="153" t="str">
        <f>IF(E18="x","No","")</f>
        <v>No</v>
      </c>
      <c r="G18" s="154">
        <f>IF(E18="x",1,0)</f>
        <v>1</v>
      </c>
      <c r="H18" s="155">
        <f t="shared" ref="H18:H24" si="5">IF(E18="x",P18,0)</f>
        <v>49975.115677610826</v>
      </c>
      <c r="I18" s="156">
        <f>IF(E18="x",G18*H18,0)</f>
        <v>49975.115677610826</v>
      </c>
      <c r="J18" s="14"/>
      <c r="K18" s="15"/>
      <c r="L18" s="32"/>
      <c r="M18" s="70" t="str">
        <f>'Description Sheet'!K17</f>
        <v>No</v>
      </c>
      <c r="N18" s="67">
        <f>'Description Sheet'!L17</f>
        <v>1</v>
      </c>
      <c r="O18" s="68">
        <f>'Year (2029-2030)'!O18*(('Description Sheet'!M4)+1)</f>
        <v>49975.115677610826</v>
      </c>
      <c r="P18" s="68">
        <f>N18*O18</f>
        <v>49975.115677610826</v>
      </c>
      <c r="Q18" s="14"/>
      <c r="R18" s="44"/>
    </row>
    <row r="19" spans="1:18" hidden="1">
      <c r="A19" s="14"/>
      <c r="B19" s="109">
        <f>'Description Sheet'!B18</f>
        <v>2.2000000000000002</v>
      </c>
      <c r="C19" s="152" t="str">
        <f>'Description Sheet'!C18</f>
        <v>Rectify Reticalation Connections at Fire Hydrants</v>
      </c>
      <c r="D19" s="107"/>
      <c r="E19" s="153" t="str">
        <f>IF('Maintenance Schedule'!X21="x","x","")</f>
        <v/>
      </c>
      <c r="F19" s="153" t="str">
        <f t="shared" ref="F19:F24" si="6">IF(E19="x","No","")</f>
        <v/>
      </c>
      <c r="G19" s="154">
        <f t="shared" ref="G19:G24" si="7">IF(E19="x",1,0)</f>
        <v>0</v>
      </c>
      <c r="H19" s="155">
        <f t="shared" si="5"/>
        <v>0</v>
      </c>
      <c r="I19" s="156">
        <f>IF(E19="x",G19*H19,0)</f>
        <v>0</v>
      </c>
      <c r="J19" s="14"/>
      <c r="K19" s="15"/>
      <c r="L19" s="32"/>
      <c r="M19" s="70" t="str">
        <f>'Description Sheet'!K18</f>
        <v>No</v>
      </c>
      <c r="N19" s="67">
        <f>'Description Sheet'!L18</f>
        <v>0</v>
      </c>
      <c r="O19" s="68">
        <f>'Year (2029-2030)'!O19*(('Description Sheet'!M4)+1)</f>
        <v>107946.24986363939</v>
      </c>
      <c r="P19" s="68">
        <f>N19*O19</f>
        <v>0</v>
      </c>
      <c r="Q19" s="14"/>
      <c r="R19" s="44"/>
    </row>
    <row r="20" spans="1:18" hidden="1">
      <c r="A20" s="14"/>
      <c r="B20" s="109">
        <f>'Description Sheet'!B19</f>
        <v>2.2999999999999998</v>
      </c>
      <c r="C20" s="152" t="str">
        <f>'Description Sheet'!C19</f>
        <v>Repairs to Storm Water Gullies</v>
      </c>
      <c r="D20" s="107"/>
      <c r="E20" s="153" t="str">
        <f>IF('Maintenance Schedule'!X22="x","x","")</f>
        <v/>
      </c>
      <c r="F20" s="153" t="str">
        <f t="shared" si="6"/>
        <v/>
      </c>
      <c r="G20" s="154">
        <f t="shared" si="7"/>
        <v>0</v>
      </c>
      <c r="H20" s="155">
        <f t="shared" si="5"/>
        <v>0</v>
      </c>
      <c r="I20" s="156">
        <f>IF(E20="x",G20*H20,0)</f>
        <v>0</v>
      </c>
      <c r="J20" s="14"/>
      <c r="K20" s="15"/>
      <c r="L20" s="32"/>
      <c r="M20" s="70" t="str">
        <f>'Description Sheet'!K19</f>
        <v>No</v>
      </c>
      <c r="N20" s="67">
        <f>'Description Sheet'!L19</f>
        <v>0</v>
      </c>
      <c r="O20" s="68">
        <f>'Year (2029-2030)'!O20*(('Description Sheet'!M4)+1)</f>
        <v>9715.1624877275426</v>
      </c>
      <c r="P20" s="68">
        <f>N20*O20</f>
        <v>0</v>
      </c>
      <c r="Q20" s="14"/>
      <c r="R20" s="44"/>
    </row>
    <row r="21" spans="1:18" hidden="1">
      <c r="A21" s="14"/>
      <c r="B21" s="109">
        <f>'Description Sheet'!B20</f>
        <v>2.4</v>
      </c>
      <c r="C21" s="152" t="str">
        <f>'Description Sheet'!C20</f>
        <v>Servicing of Full-Bore Piping</v>
      </c>
      <c r="D21" s="107"/>
      <c r="E21" s="153" t="str">
        <f>IF('Maintenance Schedule'!X23="x","x","")</f>
        <v/>
      </c>
      <c r="F21" s="153" t="str">
        <f t="shared" si="6"/>
        <v/>
      </c>
      <c r="G21" s="154">
        <f t="shared" si="7"/>
        <v>0</v>
      </c>
      <c r="H21" s="155">
        <f t="shared" si="5"/>
        <v>0</v>
      </c>
      <c r="I21" s="156">
        <f>IF(E21="x",G21*H21,0)</f>
        <v>0</v>
      </c>
      <c r="J21" s="14"/>
      <c r="K21" s="15"/>
      <c r="L21" s="32"/>
      <c r="M21" s="70" t="str">
        <f>'Description Sheet'!K20</f>
        <v>No</v>
      </c>
      <c r="N21" s="67">
        <f>'Description Sheet'!L20</f>
        <v>1</v>
      </c>
      <c r="O21" s="68">
        <f>'Year (2029-2030)'!O21*(('Description Sheet'!M4)+1)</f>
        <v>9407.3157751534636</v>
      </c>
      <c r="P21" s="68">
        <f>O21*N21</f>
        <v>9407.3157751534636</v>
      </c>
      <c r="Q21" s="14"/>
      <c r="R21" s="44"/>
    </row>
    <row r="22" spans="1:18" hidden="1">
      <c r="A22" s="14"/>
      <c r="B22" s="109">
        <f>'Description Sheet'!B21</f>
        <v>2.5</v>
      </c>
      <c r="C22" s="152" t="str">
        <f>'Description Sheet'!C21</f>
        <v>Replacing of Cast Iron Stack Pipes with PVC</v>
      </c>
      <c r="D22" s="107"/>
      <c r="E22" s="153" t="str">
        <f>IF('Maintenance Schedule'!X24="x","x","")</f>
        <v/>
      </c>
      <c r="F22" s="153" t="str">
        <f t="shared" si="6"/>
        <v/>
      </c>
      <c r="G22" s="154">
        <f t="shared" si="7"/>
        <v>0</v>
      </c>
      <c r="H22" s="155">
        <f t="shared" si="5"/>
        <v>0</v>
      </c>
      <c r="I22" s="156">
        <f t="shared" ref="I22:I24" si="8">IF(E22="x",G22*H22,0)</f>
        <v>0</v>
      </c>
      <c r="J22" s="14"/>
      <c r="K22" s="15"/>
      <c r="L22" s="33"/>
      <c r="M22" s="70" t="str">
        <f>'Description Sheet'!K21</f>
        <v>lm</v>
      </c>
      <c r="N22" s="67">
        <f>'Description Sheet'!L21</f>
        <v>1</v>
      </c>
      <c r="O22" s="68">
        <f>'Year (2029-2030)'!O22*(('Description Sheet'!M4)+1)</f>
        <v>223448.73721773355</v>
      </c>
      <c r="P22" s="68">
        <f t="shared" ref="P22:P24" si="9">O22*N22</f>
        <v>223448.73721773355</v>
      </c>
      <c r="Q22" s="14"/>
      <c r="R22" s="44"/>
    </row>
    <row r="23" spans="1:18" hidden="1">
      <c r="A23" s="14"/>
      <c r="B23" s="109">
        <f>'Description Sheet'!B22</f>
        <v>2.6</v>
      </c>
      <c r="C23" s="152" t="str">
        <f>'Description Sheet'!C22</f>
        <v>Water Tanks and Pumps (Maintenance/Repairs Savings)</v>
      </c>
      <c r="D23" s="107"/>
      <c r="E23" s="153" t="str">
        <f>IF('Maintenance Schedule'!X25="x","x","")</f>
        <v/>
      </c>
      <c r="F23" s="153" t="str">
        <f t="shared" si="6"/>
        <v/>
      </c>
      <c r="G23" s="154">
        <f t="shared" si="7"/>
        <v>0</v>
      </c>
      <c r="H23" s="155">
        <f t="shared" si="5"/>
        <v>0</v>
      </c>
      <c r="I23" s="156">
        <f t="shared" si="8"/>
        <v>0</v>
      </c>
      <c r="J23" s="14"/>
      <c r="K23" s="15"/>
      <c r="L23" s="33"/>
      <c r="M23" s="70" t="str">
        <f>'Description Sheet'!K22</f>
        <v>No</v>
      </c>
      <c r="N23" s="67">
        <f>'Description Sheet'!L22</f>
        <v>0</v>
      </c>
      <c r="O23" s="68">
        <f>'Year (2029-2030)'!O23*(('Description Sheet'!M4)+1)</f>
        <v>21589.249972727885</v>
      </c>
      <c r="P23" s="68">
        <f t="shared" si="9"/>
        <v>0</v>
      </c>
      <c r="Q23" s="14"/>
      <c r="R23" s="44"/>
    </row>
    <row r="24" spans="1:18" hidden="1">
      <c r="A24" s="14"/>
      <c r="B24" s="109">
        <f>'Description Sheet'!B23</f>
        <v>2.7</v>
      </c>
      <c r="C24" s="152" t="str">
        <f>'Description Sheet'!C23</f>
        <v>Asbestos Water Tanks (Replace)</v>
      </c>
      <c r="D24" s="107"/>
      <c r="E24" s="153" t="str">
        <f>IF('Maintenance Schedule'!X26="x","x","")</f>
        <v/>
      </c>
      <c r="F24" s="153" t="str">
        <f t="shared" si="6"/>
        <v/>
      </c>
      <c r="G24" s="154">
        <f t="shared" si="7"/>
        <v>0</v>
      </c>
      <c r="H24" s="155">
        <f t="shared" si="5"/>
        <v>0</v>
      </c>
      <c r="I24" s="156">
        <f t="shared" si="8"/>
        <v>0</v>
      </c>
      <c r="J24" s="14"/>
      <c r="K24" s="15"/>
      <c r="L24" s="33"/>
      <c r="M24" s="70" t="str">
        <f>'Description Sheet'!K23</f>
        <v>No</v>
      </c>
      <c r="N24" s="67">
        <f>'Description Sheet'!L23</f>
        <v>0</v>
      </c>
      <c r="O24" s="68">
        <f>'Year (2029-2030)'!O24*(('Description Sheet'!M4)+1)</f>
        <v>62025.115569796362</v>
      </c>
      <c r="P24" s="68">
        <f t="shared" si="9"/>
        <v>0</v>
      </c>
      <c r="Q24" s="14"/>
      <c r="R24" s="44"/>
    </row>
    <row r="25" spans="1:18" ht="17" thickBot="1">
      <c r="A25" s="14"/>
      <c r="B25" s="109"/>
      <c r="C25" s="152"/>
      <c r="D25" s="107"/>
      <c r="E25" s="160"/>
      <c r="F25" s="161"/>
      <c r="G25" s="161"/>
      <c r="H25" s="155"/>
      <c r="I25" s="155"/>
      <c r="J25" s="14"/>
      <c r="K25" s="15"/>
      <c r="L25" s="33"/>
      <c r="M25" s="76"/>
      <c r="N25" s="76"/>
      <c r="O25" s="77"/>
      <c r="P25" s="77"/>
      <c r="Q25" s="14"/>
      <c r="R25" s="44"/>
    </row>
    <row r="26" spans="1:18" s="4" customFormat="1" ht="15.75" customHeight="1" thickBot="1">
      <c r="A26" s="14"/>
      <c r="B26" s="109"/>
      <c r="C26" s="152"/>
      <c r="D26" s="107"/>
      <c r="E26" s="159"/>
      <c r="F26" s="532" t="s">
        <v>7</v>
      </c>
      <c r="G26" s="533"/>
      <c r="H26" s="530">
        <f>SUM(I18:I24)</f>
        <v>49975.115677610826</v>
      </c>
      <c r="I26" s="531"/>
      <c r="J26" s="14"/>
      <c r="K26" s="15"/>
      <c r="L26" s="33"/>
      <c r="M26" s="508" t="s">
        <v>7</v>
      </c>
      <c r="N26" s="509"/>
      <c r="O26" s="510">
        <f>SUM(P18:P24)</f>
        <v>282831.16867049783</v>
      </c>
      <c r="P26" s="511"/>
      <c r="Q26" s="14"/>
      <c r="R26" s="31"/>
    </row>
    <row r="27" spans="1:18" ht="17" hidden="1" thickBot="1">
      <c r="A27" s="14"/>
      <c r="B27" s="109">
        <f>'Description Sheet'!B26</f>
        <v>3</v>
      </c>
      <c r="C27" s="113" t="str">
        <f>'Description Sheet'!C26</f>
        <v>Heating and Cooling Systems</v>
      </c>
      <c r="D27" s="107"/>
      <c r="E27" s="110"/>
      <c r="F27" s="110"/>
      <c r="G27" s="110"/>
      <c r="H27" s="110"/>
      <c r="I27" s="151"/>
      <c r="J27" s="32"/>
      <c r="K27" s="40"/>
      <c r="L27" s="33"/>
      <c r="M27" s="24"/>
      <c r="N27" s="25"/>
      <c r="O27" s="25"/>
      <c r="P27" s="63"/>
      <c r="Q27" s="14"/>
      <c r="R27" s="44"/>
    </row>
    <row r="28" spans="1:18" hidden="1">
      <c r="A28" s="14"/>
      <c r="B28" s="109">
        <f>'Description Sheet'!B27</f>
        <v>3.1</v>
      </c>
      <c r="C28" s="152" t="str">
        <f>'Description Sheet'!C27</f>
        <v>Ventilation Shafts (Maintenance &amp; Upgrade Savings)</v>
      </c>
      <c r="D28" s="107"/>
      <c r="E28" s="153" t="str">
        <f>IF('Maintenance Schedule'!X33="x","x","")</f>
        <v/>
      </c>
      <c r="F28" s="153" t="str">
        <f>IF(E28="x","No","")</f>
        <v/>
      </c>
      <c r="G28" s="154">
        <f>IF(E28="x",1,0)</f>
        <v>0</v>
      </c>
      <c r="H28" s="155">
        <f t="shared" ref="H28:H32" si="10">IF(E28="x",P28,0)</f>
        <v>0</v>
      </c>
      <c r="I28" s="156">
        <f>IF(E28="x",G28*H28,0)</f>
        <v>0</v>
      </c>
      <c r="J28" s="14"/>
      <c r="K28" s="15"/>
      <c r="L28" s="32"/>
      <c r="M28" s="70" t="str">
        <f>'Description Sheet'!K27</f>
        <v>No</v>
      </c>
      <c r="N28" s="67">
        <f>'Description Sheet'!L27</f>
        <v>0</v>
      </c>
      <c r="O28" s="68">
        <f>'Year (2029-2030)'!O28*(('Description Sheet'!M4)+1)</f>
        <v>11760.144221255381</v>
      </c>
      <c r="P28" s="68">
        <f>N28*O28</f>
        <v>0</v>
      </c>
      <c r="Q28" s="14"/>
      <c r="R28" s="44"/>
    </row>
    <row r="29" spans="1:18" hidden="1">
      <c r="A29" s="14"/>
      <c r="B29" s="109">
        <f>'Description Sheet'!B28</f>
        <v>3.2</v>
      </c>
      <c r="C29" s="152" t="str">
        <f>'Description Sheet'!C28</f>
        <v>Air Conditioning Units (Maintenance &amp; Upgrade Savings)</v>
      </c>
      <c r="D29" s="107"/>
      <c r="E29" s="153" t="str">
        <f>IF('Maintenance Schedule'!X34="x","x","")</f>
        <v/>
      </c>
      <c r="F29" s="153" t="str">
        <f>IF(E29="x","No","")</f>
        <v/>
      </c>
      <c r="G29" s="154">
        <f>IF(E29="x",1,0)</f>
        <v>0</v>
      </c>
      <c r="H29" s="155">
        <f t="shared" si="10"/>
        <v>0</v>
      </c>
      <c r="I29" s="156">
        <f>IF(E29="x",G29*H29,0)</f>
        <v>0</v>
      </c>
      <c r="J29" s="14"/>
      <c r="K29" s="15"/>
      <c r="L29" s="32"/>
      <c r="M29" s="70" t="str">
        <f>'Description Sheet'!K28</f>
        <v>No</v>
      </c>
      <c r="N29" s="67">
        <f>'Description Sheet'!L28</f>
        <v>0</v>
      </c>
      <c r="O29" s="73">
        <f>'Year (2029-2030)'!O29*(('Description Sheet'!M4)+1)</f>
        <v>23520.288442510762</v>
      </c>
      <c r="P29" s="68">
        <f>N29*O29</f>
        <v>0</v>
      </c>
      <c r="Q29" s="14"/>
      <c r="R29" s="44"/>
    </row>
    <row r="30" spans="1:18" hidden="1">
      <c r="A30" s="14"/>
      <c r="B30" s="109">
        <f>'Description Sheet'!B29</f>
        <v>3.3</v>
      </c>
      <c r="C30" s="152" t="str">
        <f>'Description Sheet'!C29</f>
        <v>Solar Panels (Maintenance &amp; Upgrade Savings)</v>
      </c>
      <c r="D30" s="107"/>
      <c r="E30" s="153" t="str">
        <f>IF('Maintenance Schedule'!X35="x","x","")</f>
        <v/>
      </c>
      <c r="F30" s="153" t="str">
        <f t="shared" ref="F30:F32" si="11">IF(E30="x","No","")</f>
        <v/>
      </c>
      <c r="G30" s="154">
        <f t="shared" ref="G30:G32" si="12">IF(E30="x",1,0)</f>
        <v>0</v>
      </c>
      <c r="H30" s="155">
        <f t="shared" si="10"/>
        <v>0</v>
      </c>
      <c r="I30" s="156">
        <f t="shared" ref="I30:I32" si="13">IF(E30="x",G30*H30,0)</f>
        <v>0</v>
      </c>
      <c r="J30" s="14"/>
      <c r="K30" s="15"/>
      <c r="L30" s="32"/>
      <c r="M30" s="70" t="str">
        <f>'Description Sheet'!K29</f>
        <v>No</v>
      </c>
      <c r="N30" s="67">
        <f>'Description Sheet'!L29</f>
        <v>0</v>
      </c>
      <c r="O30" s="73">
        <f>'Year (2029-2030)'!O30*(('Description Sheet'!M4)+1)</f>
        <v>12993.530076178817</v>
      </c>
      <c r="P30" s="68">
        <f t="shared" ref="P30:P32" si="14">N30*O30</f>
        <v>0</v>
      </c>
      <c r="Q30" s="14"/>
      <c r="R30" s="44"/>
    </row>
    <row r="31" spans="1:18" hidden="1">
      <c r="A31" s="14"/>
      <c r="B31" s="109">
        <f>'Description Sheet'!B30</f>
        <v>3.4</v>
      </c>
      <c r="C31" s="152" t="str">
        <f>'Description Sheet'!C30</f>
        <v>blank</v>
      </c>
      <c r="D31" s="107"/>
      <c r="E31" s="153" t="str">
        <f>IF('Maintenance Schedule'!X36="x","x","")</f>
        <v/>
      </c>
      <c r="F31" s="153" t="str">
        <f t="shared" si="11"/>
        <v/>
      </c>
      <c r="G31" s="154">
        <f t="shared" si="12"/>
        <v>0</v>
      </c>
      <c r="H31" s="155">
        <f t="shared" si="10"/>
        <v>0</v>
      </c>
      <c r="I31" s="156">
        <f t="shared" si="13"/>
        <v>0</v>
      </c>
      <c r="J31" s="14"/>
      <c r="K31" s="15"/>
      <c r="L31" s="32"/>
      <c r="M31" s="70" t="str">
        <f>'Description Sheet'!K30</f>
        <v>No</v>
      </c>
      <c r="N31" s="67">
        <f>'Description Sheet'!L30</f>
        <v>0</v>
      </c>
      <c r="O31" s="73">
        <f>'Year (2029-2030)'!O31*(('Description Sheet'!M4)+1)</f>
        <v>0</v>
      </c>
      <c r="P31" s="68">
        <f t="shared" si="14"/>
        <v>0</v>
      </c>
      <c r="Q31" s="14"/>
      <c r="R31" s="44"/>
    </row>
    <row r="32" spans="1:18" hidden="1">
      <c r="A32" s="14"/>
      <c r="B32" s="109">
        <f>'Description Sheet'!B31</f>
        <v>3.5</v>
      </c>
      <c r="C32" s="152" t="str">
        <f>'Description Sheet'!C31</f>
        <v>blank</v>
      </c>
      <c r="D32" s="107"/>
      <c r="E32" s="153" t="str">
        <f>IF('Maintenance Schedule'!X37="x","x","")</f>
        <v/>
      </c>
      <c r="F32" s="153" t="str">
        <f t="shared" si="11"/>
        <v/>
      </c>
      <c r="G32" s="154">
        <f t="shared" si="12"/>
        <v>0</v>
      </c>
      <c r="H32" s="155">
        <f t="shared" si="10"/>
        <v>0</v>
      </c>
      <c r="I32" s="156">
        <f t="shared" si="13"/>
        <v>0</v>
      </c>
      <c r="J32" s="14"/>
      <c r="K32" s="15"/>
      <c r="L32" s="32"/>
      <c r="M32" s="70" t="str">
        <f>'Description Sheet'!K31</f>
        <v>No</v>
      </c>
      <c r="N32" s="67">
        <f>'Description Sheet'!L31</f>
        <v>0</v>
      </c>
      <c r="O32" s="73">
        <f>'Year (2029-2030)'!O32*(('Description Sheet'!M4)+1)</f>
        <v>0</v>
      </c>
      <c r="P32" s="68">
        <f t="shared" si="14"/>
        <v>0</v>
      </c>
      <c r="Q32" s="14"/>
      <c r="R32" s="44"/>
    </row>
    <row r="33" spans="1:18" ht="17" hidden="1" thickBot="1">
      <c r="A33" s="14"/>
      <c r="B33" s="109"/>
      <c r="C33" s="152"/>
      <c r="D33" s="107"/>
      <c r="E33" s="162"/>
      <c r="F33" s="154"/>
      <c r="G33" s="154"/>
      <c r="H33" s="155"/>
      <c r="I33" s="155"/>
      <c r="J33" s="14"/>
      <c r="K33" s="15"/>
      <c r="L33" s="32"/>
      <c r="M33" s="67"/>
      <c r="N33" s="67"/>
      <c r="O33" s="73"/>
      <c r="P33" s="68"/>
      <c r="Q33" s="14"/>
      <c r="R33" s="44"/>
    </row>
    <row r="34" spans="1:18" s="4" customFormat="1" ht="15.75" hidden="1" customHeight="1" thickBot="1">
      <c r="A34" s="14"/>
      <c r="B34" s="109"/>
      <c r="C34" s="152"/>
      <c r="D34" s="107"/>
      <c r="E34" s="159"/>
      <c r="F34" s="528" t="s">
        <v>7</v>
      </c>
      <c r="G34" s="529"/>
      <c r="H34" s="530">
        <f>SUM(I28:I32)</f>
        <v>0</v>
      </c>
      <c r="I34" s="531"/>
      <c r="J34" s="14"/>
      <c r="K34" s="15"/>
      <c r="L34" s="33"/>
      <c r="M34" s="508" t="s">
        <v>7</v>
      </c>
      <c r="N34" s="509"/>
      <c r="O34" s="510">
        <f>SUM(P28:P33)</f>
        <v>0</v>
      </c>
      <c r="P34" s="511"/>
      <c r="Q34" s="14"/>
      <c r="R34" s="31"/>
    </row>
    <row r="35" spans="1:18" ht="17" hidden="1" thickBot="1">
      <c r="A35" s="14"/>
      <c r="B35" s="109">
        <f>'Description Sheet'!B34</f>
        <v>4</v>
      </c>
      <c r="C35" s="113" t="str">
        <f>'Description Sheet'!C34</f>
        <v>Lifts</v>
      </c>
      <c r="D35" s="107"/>
      <c r="E35" s="110"/>
      <c r="F35" s="110"/>
      <c r="G35" s="110"/>
      <c r="H35" s="110"/>
      <c r="I35" s="151"/>
      <c r="J35" s="32"/>
      <c r="K35" s="40"/>
      <c r="L35" s="33"/>
      <c r="M35" s="24"/>
      <c r="N35" s="25"/>
      <c r="O35" s="25"/>
      <c r="P35" s="63"/>
      <c r="Q35" s="14"/>
      <c r="R35" s="44"/>
    </row>
    <row r="36" spans="1:18" hidden="1">
      <c r="A36" s="14"/>
      <c r="B36" s="109">
        <f>'Description Sheet'!B35</f>
        <v>4.0999999999999996</v>
      </c>
      <c r="C36" s="152" t="str">
        <f>'Description Sheet'!C35</f>
        <v>Lift Upgrade Savings</v>
      </c>
      <c r="D36" s="107"/>
      <c r="E36" s="153" t="str">
        <f>IF('Maintenance Schedule'!X44="x","x","")</f>
        <v/>
      </c>
      <c r="F36" s="153" t="str">
        <f>IF(E36="x","No","")</f>
        <v/>
      </c>
      <c r="G36" s="154">
        <f>IF(E36="x",1,0)</f>
        <v>0</v>
      </c>
      <c r="H36" s="155">
        <f t="shared" ref="H36:H39" si="15">IF(E36="x",P36,0)</f>
        <v>0</v>
      </c>
      <c r="I36" s="156">
        <f>IF(E36="x",G36*H36,0)</f>
        <v>0</v>
      </c>
      <c r="J36" s="14"/>
      <c r="K36" s="15"/>
      <c r="L36" s="32"/>
      <c r="M36" s="70" t="str">
        <f>'Description Sheet'!K35</f>
        <v>No</v>
      </c>
      <c r="N36" s="67">
        <f>'Description Sheet'!L35</f>
        <v>1</v>
      </c>
      <c r="O36" s="73">
        <f>'Year (2029-2030)'!O36*(('Description Sheet'!M4)+1)</f>
        <v>176406.16132808494</v>
      </c>
      <c r="P36" s="68">
        <f>N36*O36</f>
        <v>176406.16132808494</v>
      </c>
      <c r="Q36" s="14"/>
      <c r="R36" s="44"/>
    </row>
    <row r="37" spans="1:18" hidden="1">
      <c r="A37" s="14"/>
      <c r="B37" s="109">
        <f>'Description Sheet'!B36</f>
        <v>4.2</v>
      </c>
      <c r="C37" s="152" t="str">
        <f>'Description Sheet'!C36</f>
        <v>Lift Replacement (Only in 12-15 years)</v>
      </c>
      <c r="D37" s="107"/>
      <c r="E37" s="153" t="str">
        <f>IF('Maintenance Schedule'!X45="x","x","")</f>
        <v/>
      </c>
      <c r="F37" s="153" t="str">
        <f t="shared" ref="F37:F39" si="16">IF(E37="x","No","")</f>
        <v/>
      </c>
      <c r="G37" s="154">
        <f t="shared" ref="G37:G39" si="17">IF(E37="x",1,0)</f>
        <v>0</v>
      </c>
      <c r="H37" s="155">
        <f t="shared" si="15"/>
        <v>0</v>
      </c>
      <c r="I37" s="156">
        <f t="shared" ref="I37:I39" si="18">IF(E37="x",G37*H37,0)</f>
        <v>0</v>
      </c>
      <c r="J37" s="14"/>
      <c r="K37" s="15"/>
      <c r="L37" s="32"/>
      <c r="M37" s="70" t="str">
        <f>'Description Sheet'!K36</f>
        <v>No</v>
      </c>
      <c r="N37" s="67">
        <f>'Description Sheet'!L36</f>
        <v>0</v>
      </c>
      <c r="O37" s="73">
        <f>'Year (2029-2030)'!O37*(('Description Sheet'!M4)+1)</f>
        <v>1633830.4598342495</v>
      </c>
      <c r="P37" s="68">
        <f t="shared" ref="P37:P39" si="19">N37*O37</f>
        <v>0</v>
      </c>
      <c r="Q37" s="14"/>
      <c r="R37" s="44"/>
    </row>
    <row r="38" spans="1:18" hidden="1">
      <c r="A38" s="14"/>
      <c r="B38" s="109">
        <f>'Description Sheet'!B37</f>
        <v>4.3</v>
      </c>
      <c r="C38" s="152" t="str">
        <f>'Description Sheet'!C37</f>
        <v>blank</v>
      </c>
      <c r="D38" s="107"/>
      <c r="E38" s="153" t="str">
        <f>IF('Maintenance Schedule'!X46="x","x","")</f>
        <v/>
      </c>
      <c r="F38" s="153" t="str">
        <f t="shared" si="16"/>
        <v/>
      </c>
      <c r="G38" s="154">
        <f t="shared" si="17"/>
        <v>0</v>
      </c>
      <c r="H38" s="155">
        <f t="shared" si="15"/>
        <v>0</v>
      </c>
      <c r="I38" s="156">
        <f t="shared" si="18"/>
        <v>0</v>
      </c>
      <c r="J38" s="14"/>
      <c r="K38" s="15"/>
      <c r="L38" s="32"/>
      <c r="M38" s="70" t="str">
        <f>'Description Sheet'!K37</f>
        <v>No</v>
      </c>
      <c r="N38" s="67">
        <f>'Description Sheet'!L37</f>
        <v>0</v>
      </c>
      <c r="O38" s="73">
        <f>'Year (2029-2030)'!O38*(('Description Sheet'!M4)+1)</f>
        <v>0</v>
      </c>
      <c r="P38" s="68">
        <f t="shared" si="19"/>
        <v>0</v>
      </c>
      <c r="Q38" s="14"/>
      <c r="R38" s="44"/>
    </row>
    <row r="39" spans="1:18" hidden="1">
      <c r="A39" s="14"/>
      <c r="B39" s="109">
        <f>'Description Sheet'!B38</f>
        <v>4.4000000000000004</v>
      </c>
      <c r="C39" s="152" t="str">
        <f>'Description Sheet'!C38</f>
        <v>blank</v>
      </c>
      <c r="D39" s="107"/>
      <c r="E39" s="153" t="str">
        <f>IF('Maintenance Schedule'!X47="x","x","")</f>
        <v/>
      </c>
      <c r="F39" s="153" t="str">
        <f t="shared" si="16"/>
        <v/>
      </c>
      <c r="G39" s="154">
        <f t="shared" si="17"/>
        <v>0</v>
      </c>
      <c r="H39" s="155">
        <f t="shared" si="15"/>
        <v>0</v>
      </c>
      <c r="I39" s="156">
        <f t="shared" si="18"/>
        <v>0</v>
      </c>
      <c r="J39" s="14"/>
      <c r="K39" s="15"/>
      <c r="L39" s="32"/>
      <c r="M39" s="70" t="str">
        <f>'Description Sheet'!K38</f>
        <v>No</v>
      </c>
      <c r="N39" s="67">
        <f>'Description Sheet'!L38</f>
        <v>0</v>
      </c>
      <c r="O39" s="73">
        <f>'Year (2029-2030)'!O39*(('Description Sheet'!M4)+1)</f>
        <v>0</v>
      </c>
      <c r="P39" s="68">
        <f t="shared" si="19"/>
        <v>0</v>
      </c>
      <c r="Q39" s="14"/>
      <c r="R39" s="44"/>
    </row>
    <row r="40" spans="1:18" ht="17" hidden="1" thickBot="1">
      <c r="A40" s="14"/>
      <c r="B40" s="109"/>
      <c r="C40" s="152"/>
      <c r="D40" s="107"/>
      <c r="E40" s="162"/>
      <c r="F40" s="154"/>
      <c r="G40" s="154"/>
      <c r="H40" s="155"/>
      <c r="I40" s="155"/>
      <c r="J40" s="14"/>
      <c r="K40" s="15"/>
      <c r="L40" s="32"/>
      <c r="M40" s="67"/>
      <c r="N40" s="67"/>
      <c r="O40" s="73"/>
      <c r="P40" s="68"/>
      <c r="Q40" s="14"/>
      <c r="R40" s="44"/>
    </row>
    <row r="41" spans="1:18" s="4" customFormat="1" ht="15.75" hidden="1" customHeight="1" thickBot="1">
      <c r="A41" s="14"/>
      <c r="B41" s="109"/>
      <c r="C41" s="152"/>
      <c r="D41" s="107"/>
      <c r="E41" s="159"/>
      <c r="F41" s="528" t="s">
        <v>7</v>
      </c>
      <c r="G41" s="529"/>
      <c r="H41" s="530">
        <f>SUM(I36:I40)</f>
        <v>0</v>
      </c>
      <c r="I41" s="531"/>
      <c r="J41" s="14"/>
      <c r="K41" s="15"/>
      <c r="L41" s="33"/>
      <c r="M41" s="508" t="s">
        <v>7</v>
      </c>
      <c r="N41" s="509"/>
      <c r="O41" s="510">
        <f>SUM(P36:P40)</f>
        <v>176406.16132808494</v>
      </c>
      <c r="P41" s="511"/>
      <c r="Q41" s="14"/>
      <c r="R41" s="31"/>
    </row>
    <row r="42" spans="1:18" ht="17" thickBot="1">
      <c r="A42" s="14"/>
      <c r="B42" s="109">
        <f>'Description Sheet'!B41</f>
        <v>5</v>
      </c>
      <c r="C42" s="150" t="str">
        <f>'Description Sheet'!C41</f>
        <v>Carpeting and Furnishing</v>
      </c>
      <c r="D42" s="107"/>
      <c r="E42" s="110"/>
      <c r="F42" s="110"/>
      <c r="G42" s="110"/>
      <c r="H42" s="110"/>
      <c r="I42" s="151"/>
      <c r="J42" s="32"/>
      <c r="K42" s="40"/>
      <c r="L42" s="33"/>
      <c r="M42" s="24"/>
      <c r="N42" s="25"/>
      <c r="O42" s="25"/>
      <c r="P42" s="63"/>
      <c r="Q42" s="14"/>
      <c r="R42" s="44"/>
    </row>
    <row r="43" spans="1:18">
      <c r="A43" s="14"/>
      <c r="B43" s="109">
        <f>'Description Sheet'!B42</f>
        <v>5.0999999999999996</v>
      </c>
      <c r="C43" s="152" t="str">
        <f>'Description Sheet'!C42</f>
        <v>Common Area Equipment/Furnishings (Replacement/Maintenance)</v>
      </c>
      <c r="D43" s="107"/>
      <c r="E43" s="153" t="str">
        <f>IF('Maintenance Schedule'!X54="x","x","")</f>
        <v>x</v>
      </c>
      <c r="F43" s="153" t="str">
        <f>IF(E43="x","No","")</f>
        <v>No</v>
      </c>
      <c r="G43" s="154">
        <f>IF(E43="x",1,0)</f>
        <v>1</v>
      </c>
      <c r="H43" s="155">
        <f t="shared" ref="H43:H46" si="20">IF(E43="x",P43,0)</f>
        <v>6996.5161948655159</v>
      </c>
      <c r="I43" s="156">
        <f>IF(E43="x",G43*H43,0)</f>
        <v>6996.5161948655159</v>
      </c>
      <c r="J43" s="14"/>
      <c r="K43" s="15"/>
      <c r="L43" s="32"/>
      <c r="M43" s="70" t="str">
        <f>'Description Sheet'!K42</f>
        <v>No</v>
      </c>
      <c r="N43" s="67">
        <f>'Description Sheet'!L42</f>
        <v>1</v>
      </c>
      <c r="O43" s="73">
        <f>'Year (2029-2030)'!O43*(('Description Sheet'!M4)+1)</f>
        <v>6996.5161948655159</v>
      </c>
      <c r="P43" s="68">
        <f>N43*O43</f>
        <v>6996.5161948655159</v>
      </c>
      <c r="Q43" s="14"/>
      <c r="R43" s="44"/>
    </row>
    <row r="44" spans="1:18" hidden="1">
      <c r="A44" s="14"/>
      <c r="B44" s="109">
        <f>'Description Sheet'!B43</f>
        <v>5.2</v>
      </c>
      <c r="C44" s="152" t="str">
        <f>'Description Sheet'!C43</f>
        <v>blank</v>
      </c>
      <c r="D44" s="107"/>
      <c r="E44" s="153" t="str">
        <f>IF('Maintenance Schedule'!X55="x","x","")</f>
        <v/>
      </c>
      <c r="F44" s="153" t="str">
        <f t="shared" ref="F44:F46" si="21">IF(E44="x","No","")</f>
        <v/>
      </c>
      <c r="G44" s="154">
        <f t="shared" ref="G44:G46" si="22">IF(E44="x",1,0)</f>
        <v>0</v>
      </c>
      <c r="H44" s="155">
        <f t="shared" si="20"/>
        <v>0</v>
      </c>
      <c r="I44" s="156">
        <f t="shared" ref="I44:I46" si="23">IF(E44="x",G44*H44,0)</f>
        <v>0</v>
      </c>
      <c r="J44" s="14"/>
      <c r="K44" s="15"/>
      <c r="L44" s="32"/>
      <c r="M44" s="70" t="str">
        <f>'Description Sheet'!K43</f>
        <v>No</v>
      </c>
      <c r="N44" s="67">
        <f>'Description Sheet'!L43</f>
        <v>0</v>
      </c>
      <c r="O44" s="73">
        <f>'Year (2029-2030)'!O44*(('Description Sheet'!M4)+1)</f>
        <v>0</v>
      </c>
      <c r="P44" s="68">
        <f t="shared" ref="P44:P46" si="24">N44*O44</f>
        <v>0</v>
      </c>
      <c r="Q44" s="14"/>
      <c r="R44" s="44"/>
    </row>
    <row r="45" spans="1:18" hidden="1">
      <c r="A45" s="14"/>
      <c r="B45" s="109">
        <f>'Description Sheet'!B44</f>
        <v>5.3</v>
      </c>
      <c r="C45" s="152" t="str">
        <f>'Description Sheet'!C44</f>
        <v>blank</v>
      </c>
      <c r="D45" s="107"/>
      <c r="E45" s="153" t="str">
        <f>IF('Maintenance Schedule'!X56="x","x","")</f>
        <v/>
      </c>
      <c r="F45" s="153" t="str">
        <f t="shared" si="21"/>
        <v/>
      </c>
      <c r="G45" s="154">
        <f t="shared" si="22"/>
        <v>0</v>
      </c>
      <c r="H45" s="155">
        <f t="shared" si="20"/>
        <v>0</v>
      </c>
      <c r="I45" s="156">
        <f t="shared" si="23"/>
        <v>0</v>
      </c>
      <c r="J45" s="14"/>
      <c r="K45" s="15"/>
      <c r="L45" s="32"/>
      <c r="M45" s="70" t="str">
        <f>'Description Sheet'!K44</f>
        <v>No</v>
      </c>
      <c r="N45" s="67">
        <f>'Description Sheet'!L44</f>
        <v>0</v>
      </c>
      <c r="O45" s="73">
        <f>'Year (2029-2030)'!O45*(('Description Sheet'!M4)+1)</f>
        <v>0</v>
      </c>
      <c r="P45" s="68">
        <f t="shared" si="24"/>
        <v>0</v>
      </c>
      <c r="Q45" s="14"/>
      <c r="R45" s="44"/>
    </row>
    <row r="46" spans="1:18" hidden="1">
      <c r="A46" s="14"/>
      <c r="B46" s="109">
        <f>'Description Sheet'!B45</f>
        <v>5.4</v>
      </c>
      <c r="C46" s="152" t="str">
        <f>'Description Sheet'!C45</f>
        <v>blank</v>
      </c>
      <c r="D46" s="107"/>
      <c r="E46" s="153" t="str">
        <f>IF('Maintenance Schedule'!X57="x","x","")</f>
        <v/>
      </c>
      <c r="F46" s="153" t="str">
        <f t="shared" si="21"/>
        <v/>
      </c>
      <c r="G46" s="154">
        <f t="shared" si="22"/>
        <v>0</v>
      </c>
      <c r="H46" s="155">
        <f t="shared" si="20"/>
        <v>0</v>
      </c>
      <c r="I46" s="156">
        <f t="shared" si="23"/>
        <v>0</v>
      </c>
      <c r="J46" s="14"/>
      <c r="K46" s="15"/>
      <c r="L46" s="32"/>
      <c r="M46" s="70" t="str">
        <f>'Description Sheet'!K45</f>
        <v>No</v>
      </c>
      <c r="N46" s="67">
        <f>'Description Sheet'!L45</f>
        <v>0</v>
      </c>
      <c r="O46" s="73">
        <f>'Year (2029-2030)'!O46*(('Description Sheet'!M4)+1)</f>
        <v>0</v>
      </c>
      <c r="P46" s="68">
        <f t="shared" si="24"/>
        <v>0</v>
      </c>
      <c r="Q46" s="14"/>
      <c r="R46" s="44"/>
    </row>
    <row r="47" spans="1:18" ht="17" thickBot="1">
      <c r="A47" s="14"/>
      <c r="B47" s="109"/>
      <c r="C47" s="152"/>
      <c r="D47" s="107"/>
      <c r="E47" s="162"/>
      <c r="F47" s="154"/>
      <c r="G47" s="154"/>
      <c r="H47" s="155"/>
      <c r="I47" s="155"/>
      <c r="J47" s="14"/>
      <c r="K47" s="15"/>
      <c r="L47" s="32"/>
      <c r="M47" s="67"/>
      <c r="N47" s="67"/>
      <c r="O47" s="73"/>
      <c r="P47" s="68"/>
      <c r="Q47" s="14"/>
      <c r="R47" s="44"/>
    </row>
    <row r="48" spans="1:18" s="4" customFormat="1" ht="15.75" customHeight="1" thickBot="1">
      <c r="A48" s="14"/>
      <c r="B48" s="109"/>
      <c r="C48" s="115"/>
      <c r="D48" s="107"/>
      <c r="E48" s="159"/>
      <c r="F48" s="528" t="s">
        <v>7</v>
      </c>
      <c r="G48" s="529"/>
      <c r="H48" s="530">
        <f>SUM(I43:I47)</f>
        <v>6996.5161948655159</v>
      </c>
      <c r="I48" s="531"/>
      <c r="J48" s="14"/>
      <c r="K48" s="15"/>
      <c r="L48" s="33"/>
      <c r="M48" s="508" t="s">
        <v>7</v>
      </c>
      <c r="N48" s="509"/>
      <c r="O48" s="510">
        <f>SUM(P43:P47)</f>
        <v>6996.5161948655159</v>
      </c>
      <c r="P48" s="511"/>
      <c r="Q48" s="14"/>
      <c r="R48" s="31"/>
    </row>
    <row r="49" spans="1:18" ht="17" thickBot="1">
      <c r="A49" s="14"/>
      <c r="B49" s="109">
        <f>'Description Sheet'!B48</f>
        <v>6</v>
      </c>
      <c r="C49" s="113" t="str">
        <f>'Description Sheet'!C48</f>
        <v>Roof  Areas</v>
      </c>
      <c r="D49" s="107"/>
      <c r="E49" s="110"/>
      <c r="F49" s="110"/>
      <c r="G49" s="110"/>
      <c r="H49" s="110"/>
      <c r="I49" s="151"/>
      <c r="J49" s="32"/>
      <c r="K49" s="40"/>
      <c r="L49" s="33"/>
      <c r="M49" s="24"/>
      <c r="N49" s="25"/>
      <c r="O49" s="25"/>
      <c r="P49" s="63"/>
      <c r="Q49" s="14"/>
      <c r="R49" s="44"/>
    </row>
    <row r="50" spans="1:18" hidden="1">
      <c r="A50" s="14"/>
      <c r="B50" s="109">
        <f>'Description Sheet'!B49</f>
        <v>6.1</v>
      </c>
      <c r="C50" s="152" t="str">
        <f>'Description Sheet'!C49</f>
        <v xml:space="preserve">Flashings/Counter Flashings </v>
      </c>
      <c r="D50" s="107"/>
      <c r="E50" s="153" t="str">
        <f>IF('Maintenance Schedule'!X64="x","x","")</f>
        <v/>
      </c>
      <c r="F50" s="153" t="str">
        <f>IF(E50="x","No","")</f>
        <v/>
      </c>
      <c r="G50" s="154">
        <f>IF(E50="x",1,0)</f>
        <v>0</v>
      </c>
      <c r="H50" s="155">
        <f t="shared" ref="H50:H66" si="25">IF(E50="x",P50,0)</f>
        <v>0</v>
      </c>
      <c r="I50" s="156">
        <f t="shared" ref="I50:I66" si="26">IF(E50="x",G50*H50,0)</f>
        <v>0</v>
      </c>
      <c r="J50" s="14"/>
      <c r="K50" s="15"/>
      <c r="L50" s="32"/>
      <c r="M50" s="67" t="str">
        <f>'Description Sheet'!K49</f>
        <v>No</v>
      </c>
      <c r="N50" s="67">
        <f>'Description Sheet'!L49</f>
        <v>0</v>
      </c>
      <c r="O50" s="73">
        <f>'Year (2029-2030)'!O50*(('Description Sheet'!M4)+1)</f>
        <v>19430.324975455085</v>
      </c>
      <c r="P50" s="69">
        <f t="shared" ref="P50:P66" si="27">N50*O50</f>
        <v>0</v>
      </c>
      <c r="Q50" s="14"/>
      <c r="R50" s="44"/>
    </row>
    <row r="51" spans="1:18" hidden="1">
      <c r="A51" s="14"/>
      <c r="B51" s="109">
        <f>'Description Sheet'!B50</f>
        <v>6.2</v>
      </c>
      <c r="C51" s="152" t="str">
        <f>'Description Sheet'!C50</f>
        <v>General Roof Repairs</v>
      </c>
      <c r="D51" s="107"/>
      <c r="E51" s="153" t="str">
        <f>IF('Maintenance Schedule'!X65="x","x","")</f>
        <v/>
      </c>
      <c r="F51" s="153" t="str">
        <f t="shared" ref="F51:F62" si="28">IF(E51="x","No","")</f>
        <v/>
      </c>
      <c r="G51" s="154">
        <f t="shared" ref="G51:G66" si="29">IF(E51="x",1,0)</f>
        <v>0</v>
      </c>
      <c r="H51" s="155">
        <f t="shared" si="25"/>
        <v>0</v>
      </c>
      <c r="I51" s="156">
        <f t="shared" si="26"/>
        <v>0</v>
      </c>
      <c r="J51" s="14"/>
      <c r="K51" s="15"/>
      <c r="L51" s="32"/>
      <c r="M51" s="67" t="str">
        <f>'Description Sheet'!K50</f>
        <v>No</v>
      </c>
      <c r="N51" s="67">
        <f>'Description Sheet'!L50</f>
        <v>0</v>
      </c>
      <c r="O51" s="73">
        <f>'Year (2029-2030)'!O51*(('Description Sheet'!M4)+1)</f>
        <v>21.589249972727885</v>
      </c>
      <c r="P51" s="69">
        <f t="shared" si="27"/>
        <v>0</v>
      </c>
      <c r="Q51" s="14"/>
      <c r="R51" s="44"/>
    </row>
    <row r="52" spans="1:18">
      <c r="A52" s="14"/>
      <c r="B52" s="109">
        <f>'Description Sheet'!B51</f>
        <v>6.3</v>
      </c>
      <c r="C52" s="152" t="str">
        <f>'Description Sheet'!C51</f>
        <v>Cleaning &amp; Maintenance &amp; Repairs of Gutters and Downpipes</v>
      </c>
      <c r="D52" s="107"/>
      <c r="E52" s="153" t="str">
        <f>IF('Maintenance Schedule'!X66="x","x","")</f>
        <v>x</v>
      </c>
      <c r="F52" s="153" t="str">
        <f t="shared" si="28"/>
        <v>No</v>
      </c>
      <c r="G52" s="154">
        <f t="shared" si="29"/>
        <v>1</v>
      </c>
      <c r="H52" s="155">
        <f t="shared" si="25"/>
        <v>6376.8247604631424</v>
      </c>
      <c r="I52" s="156">
        <f t="shared" si="26"/>
        <v>6376.8247604631424</v>
      </c>
      <c r="J52" s="14"/>
      <c r="K52" s="15"/>
      <c r="L52" s="32"/>
      <c r="M52" s="67" t="str">
        <f>'Description Sheet'!K51</f>
        <v>lm</v>
      </c>
      <c r="N52" s="67">
        <f>'Description Sheet'!L51</f>
        <v>110</v>
      </c>
      <c r="O52" s="73">
        <f>'Year (2029-2030)'!O52*(('Description Sheet'!M4)+1)</f>
        <v>57.971134186028564</v>
      </c>
      <c r="P52" s="69">
        <f t="shared" si="27"/>
        <v>6376.8247604631424</v>
      </c>
      <c r="Q52" s="14"/>
      <c r="R52" s="44"/>
    </row>
    <row r="53" spans="1:18" hidden="1">
      <c r="A53" s="14"/>
      <c r="B53" s="109">
        <f>'Description Sheet'!B52</f>
        <v>6.4</v>
      </c>
      <c r="C53" s="152" t="str">
        <f>'Description Sheet'!C52</f>
        <v xml:space="preserve">Painting &amp; Repair of Metal Roof Areas </v>
      </c>
      <c r="D53" s="107"/>
      <c r="E53" s="153" t="str">
        <f>IF('Maintenance Schedule'!X67="x","x","")</f>
        <v/>
      </c>
      <c r="F53" s="153" t="str">
        <f>IF(E53="x","item","")</f>
        <v/>
      </c>
      <c r="G53" s="154">
        <f t="shared" si="29"/>
        <v>0</v>
      </c>
      <c r="H53" s="155">
        <f t="shared" si="25"/>
        <v>0</v>
      </c>
      <c r="I53" s="156">
        <f t="shared" si="26"/>
        <v>0</v>
      </c>
      <c r="J53" s="14"/>
      <c r="K53" s="15"/>
      <c r="L53" s="32"/>
      <c r="M53" s="67" t="str">
        <f>'Description Sheet'!K52</f>
        <v>m2</v>
      </c>
      <c r="N53" s="67">
        <f>'Description Sheet'!L52</f>
        <v>0</v>
      </c>
      <c r="O53" s="73">
        <f>'Year (2029-2030)'!O53*(('Description Sheet'!M4)+1)</f>
        <v>333.83377272644037</v>
      </c>
      <c r="P53" s="69">
        <f t="shared" si="27"/>
        <v>0</v>
      </c>
      <c r="Q53" s="14"/>
      <c r="R53" s="44"/>
    </row>
    <row r="54" spans="1:18" hidden="1">
      <c r="A54" s="14"/>
      <c r="B54" s="109">
        <f>'Description Sheet'!B53</f>
        <v>6.5</v>
      </c>
      <c r="C54" s="152" t="str">
        <f>'Description Sheet'!C53</f>
        <v xml:space="preserve">Painting &amp; Repair of Tile Roof Areas </v>
      </c>
      <c r="D54" s="107"/>
      <c r="E54" s="153" t="str">
        <f>IF('Maintenance Schedule'!X68="x","x","")</f>
        <v/>
      </c>
      <c r="F54" s="153" t="str">
        <f>IF(E54="x","item","")</f>
        <v/>
      </c>
      <c r="G54" s="154">
        <f t="shared" si="29"/>
        <v>0</v>
      </c>
      <c r="H54" s="155">
        <f t="shared" si="25"/>
        <v>0</v>
      </c>
      <c r="I54" s="156">
        <f t="shared" si="26"/>
        <v>0</v>
      </c>
      <c r="J54" s="14"/>
      <c r="K54" s="15"/>
      <c r="L54" s="32"/>
      <c r="M54" s="67" t="str">
        <f>'Description Sheet'!K53</f>
        <v>m2</v>
      </c>
      <c r="N54" s="67">
        <f>'Description Sheet'!L53</f>
        <v>0</v>
      </c>
      <c r="O54" s="73">
        <f>'Year (2029-2030)'!O54*(('Description Sheet'!M4)+1)</f>
        <v>181.9094210665034</v>
      </c>
      <c r="P54" s="69">
        <f t="shared" si="27"/>
        <v>0</v>
      </c>
      <c r="Q54" s="14"/>
      <c r="R54" s="44"/>
    </row>
    <row r="55" spans="1:18" hidden="1">
      <c r="A55" s="14"/>
      <c r="B55" s="109">
        <f>'Description Sheet'!B54</f>
        <v>6.6</v>
      </c>
      <c r="C55" s="152" t="str">
        <f>'Description Sheet'!C54</f>
        <v xml:space="preserve">Painting &amp; Repairs of Asbestos Roof Areas </v>
      </c>
      <c r="D55" s="107"/>
      <c r="E55" s="153" t="str">
        <f>IF('Maintenance Schedule'!X69="x","x","")</f>
        <v/>
      </c>
      <c r="F55" s="153" t="str">
        <f t="shared" si="28"/>
        <v/>
      </c>
      <c r="G55" s="154">
        <f t="shared" si="29"/>
        <v>0</v>
      </c>
      <c r="H55" s="155">
        <f t="shared" si="25"/>
        <v>0</v>
      </c>
      <c r="I55" s="156">
        <f t="shared" si="26"/>
        <v>0</v>
      </c>
      <c r="J55" s="14"/>
      <c r="K55" s="15"/>
      <c r="L55" s="32"/>
      <c r="M55" s="67" t="str">
        <f>'Description Sheet'!K54</f>
        <v>m2</v>
      </c>
      <c r="N55" s="67">
        <f>'Description Sheet'!L54</f>
        <v>0</v>
      </c>
      <c r="O55" s="73">
        <f>'Year (2029-2030)'!O55*(('Description Sheet'!M4)+1)</f>
        <v>377.81187452273787</v>
      </c>
      <c r="P55" s="69">
        <f t="shared" si="27"/>
        <v>0</v>
      </c>
      <c r="Q55" s="14"/>
      <c r="R55" s="44"/>
    </row>
    <row r="56" spans="1:18" hidden="1">
      <c r="A56" s="14"/>
      <c r="B56" s="109">
        <f>'Description Sheet'!B55</f>
        <v>6.7</v>
      </c>
      <c r="C56" s="152" t="str">
        <f>'Description Sheet'!C55</f>
        <v xml:space="preserve">Painting &amp; Repairs of Fibre Cement Roof Areas </v>
      </c>
      <c r="D56" s="107"/>
      <c r="E56" s="153" t="str">
        <f>IF('Maintenance Schedule'!X70="x","x","")</f>
        <v/>
      </c>
      <c r="F56" s="153" t="str">
        <f>IF(E56="x","item","")</f>
        <v/>
      </c>
      <c r="G56" s="154">
        <f t="shared" si="29"/>
        <v>0</v>
      </c>
      <c r="H56" s="155">
        <f t="shared" si="25"/>
        <v>0</v>
      </c>
      <c r="I56" s="156">
        <f t="shared" si="26"/>
        <v>0</v>
      </c>
      <c r="J56" s="14"/>
      <c r="K56" s="15"/>
      <c r="L56" s="32"/>
      <c r="M56" s="67" t="str">
        <f>'Description Sheet'!K55</f>
        <v>m2</v>
      </c>
      <c r="N56" s="67">
        <f>'Description Sheet'!L55</f>
        <v>0</v>
      </c>
      <c r="O56" s="73">
        <f>'Year (2029-2030)'!O56*(('Description Sheet'!M4)+1)</f>
        <v>355.82282362458915</v>
      </c>
      <c r="P56" s="69">
        <f t="shared" si="27"/>
        <v>0</v>
      </c>
      <c r="Q56" s="14"/>
      <c r="R56" s="44"/>
    </row>
    <row r="57" spans="1:18" hidden="1">
      <c r="A57" s="14"/>
      <c r="B57" s="109">
        <f>'Description Sheet'!B56</f>
        <v>6.8</v>
      </c>
      <c r="C57" s="152" t="str">
        <f>'Description Sheet'!C56</f>
        <v>Servicing of Roof Screws</v>
      </c>
      <c r="D57" s="107"/>
      <c r="E57" s="153" t="str">
        <f>IF('Maintenance Schedule'!X71="x","x","")</f>
        <v/>
      </c>
      <c r="F57" s="153" t="str">
        <f t="shared" ref="F57:F59" si="30">IF(E57="x","item","")</f>
        <v/>
      </c>
      <c r="G57" s="154">
        <f t="shared" si="29"/>
        <v>0</v>
      </c>
      <c r="H57" s="155">
        <f t="shared" si="25"/>
        <v>0</v>
      </c>
      <c r="I57" s="156">
        <f t="shared" si="26"/>
        <v>0</v>
      </c>
      <c r="J57" s="14"/>
      <c r="K57" s="15"/>
      <c r="L57" s="32"/>
      <c r="M57" s="67" t="str">
        <f>'Description Sheet'!K56</f>
        <v>No</v>
      </c>
      <c r="N57" s="67">
        <f>'Description Sheet'!L56</f>
        <v>0</v>
      </c>
      <c r="O57" s="73">
        <f>'Year (2029-2030)'!O57*(('Description Sheet'!M4)+1)</f>
        <v>12953.549983636727</v>
      </c>
      <c r="P57" s="69">
        <f t="shared" si="27"/>
        <v>0</v>
      </c>
      <c r="Q57" s="14"/>
      <c r="R57" s="44"/>
    </row>
    <row r="58" spans="1:18" hidden="1">
      <c r="A58" s="14"/>
      <c r="B58" s="109">
        <f>'Description Sheet'!B57</f>
        <v>6.9</v>
      </c>
      <c r="C58" s="152" t="str">
        <f>'Description Sheet'!C57</f>
        <v xml:space="preserve">Servicing and Re-lignment of Gutters </v>
      </c>
      <c r="D58" s="107"/>
      <c r="E58" s="153" t="str">
        <f>IF('Maintenance Schedule'!X72="x","x","")</f>
        <v/>
      </c>
      <c r="F58" s="153" t="str">
        <f t="shared" si="30"/>
        <v/>
      </c>
      <c r="G58" s="154">
        <f t="shared" si="29"/>
        <v>0</v>
      </c>
      <c r="H58" s="155">
        <f t="shared" si="25"/>
        <v>0</v>
      </c>
      <c r="I58" s="156">
        <f t="shared" si="26"/>
        <v>0</v>
      </c>
      <c r="J58" s="14"/>
      <c r="K58" s="15"/>
      <c r="L58" s="32"/>
      <c r="M58" s="67" t="str">
        <f>'Description Sheet'!K57</f>
        <v>item</v>
      </c>
      <c r="N58" s="67">
        <f>'Description Sheet'!L57</f>
        <v>0</v>
      </c>
      <c r="O58" s="73">
        <f>'Year (2029-2030)'!O58*(('Description Sheet'!M4)+1)</f>
        <v>7556.2374904547569</v>
      </c>
      <c r="P58" s="69">
        <f t="shared" si="27"/>
        <v>0</v>
      </c>
      <c r="Q58" s="14"/>
      <c r="R58" s="44"/>
    </row>
    <row r="59" spans="1:18" hidden="1">
      <c r="A59" s="14"/>
      <c r="B59" s="112">
        <f>'Description Sheet'!B58</f>
        <v>6.1</v>
      </c>
      <c r="C59" s="152" t="str">
        <f>'Description Sheet'!C58</f>
        <v>Replacement of Damaged Metal Roof Sheeting</v>
      </c>
      <c r="D59" s="107"/>
      <c r="E59" s="153" t="str">
        <f>IF('Maintenance Schedule'!X73="x","x","")</f>
        <v/>
      </c>
      <c r="F59" s="153" t="str">
        <f t="shared" si="30"/>
        <v/>
      </c>
      <c r="G59" s="154">
        <f t="shared" si="29"/>
        <v>0</v>
      </c>
      <c r="H59" s="155">
        <f t="shared" si="25"/>
        <v>0</v>
      </c>
      <c r="I59" s="156">
        <f t="shared" si="26"/>
        <v>0</v>
      </c>
      <c r="J59" s="14"/>
      <c r="K59" s="15"/>
      <c r="L59" s="32"/>
      <c r="M59" s="67" t="str">
        <f>'Description Sheet'!K58</f>
        <v>m2</v>
      </c>
      <c r="N59" s="67">
        <f>'Description Sheet'!L58</f>
        <v>0</v>
      </c>
      <c r="O59" s="73">
        <f>'Year (2029-2030)'!O59*(('Description Sheet'!M4)+1)</f>
        <v>971.51624877275458</v>
      </c>
      <c r="P59" s="69">
        <f t="shared" si="27"/>
        <v>0</v>
      </c>
      <c r="Q59" s="14"/>
      <c r="R59" s="44"/>
    </row>
    <row r="60" spans="1:18" hidden="1">
      <c r="A60" s="14"/>
      <c r="B60" s="112">
        <f>'Description Sheet'!B59</f>
        <v>6.11</v>
      </c>
      <c r="C60" s="152" t="str">
        <f>'Description Sheet'!C59</f>
        <v>Replacement of Polycarbonate Roof Sheeting</v>
      </c>
      <c r="D60" s="107"/>
      <c r="E60" s="153" t="str">
        <f>IF('Maintenance Schedule'!X74="x","x","")</f>
        <v/>
      </c>
      <c r="F60" s="153" t="str">
        <f t="shared" si="28"/>
        <v/>
      </c>
      <c r="G60" s="154">
        <f t="shared" si="29"/>
        <v>0</v>
      </c>
      <c r="H60" s="155">
        <f t="shared" si="25"/>
        <v>0</v>
      </c>
      <c r="I60" s="156">
        <f t="shared" si="26"/>
        <v>0</v>
      </c>
      <c r="J60" s="14"/>
      <c r="K60" s="15"/>
      <c r="L60" s="32"/>
      <c r="M60" s="67" t="str">
        <f>'Description Sheet'!K59</f>
        <v>m2</v>
      </c>
      <c r="N60" s="67">
        <f>'Description Sheet'!L59</f>
        <v>0</v>
      </c>
      <c r="O60" s="73">
        <f>'Year (2029-2030)'!O60*(('Description Sheet'!M4)+1)</f>
        <v>1079.462498636394</v>
      </c>
      <c r="P60" s="69">
        <f t="shared" si="27"/>
        <v>0</v>
      </c>
      <c r="Q60" s="14"/>
      <c r="R60" s="44"/>
    </row>
    <row r="61" spans="1:18" hidden="1">
      <c r="A61" s="14"/>
      <c r="B61" s="112">
        <f>'Description Sheet'!B60</f>
        <v>6.12</v>
      </c>
      <c r="C61" s="152" t="str">
        <f>'Description Sheet'!C60</f>
        <v>Replacement of Tile Roofs</v>
      </c>
      <c r="D61" s="107"/>
      <c r="E61" s="153" t="str">
        <f>IF('Maintenance Schedule'!X75="x","x","")</f>
        <v/>
      </c>
      <c r="F61" s="153" t="str">
        <f t="shared" si="28"/>
        <v/>
      </c>
      <c r="G61" s="154">
        <f t="shared" si="29"/>
        <v>0</v>
      </c>
      <c r="H61" s="155">
        <f t="shared" si="25"/>
        <v>0</v>
      </c>
      <c r="I61" s="156">
        <f t="shared" si="26"/>
        <v>0</v>
      </c>
      <c r="J61" s="14"/>
      <c r="K61" s="15"/>
      <c r="L61" s="32"/>
      <c r="M61" s="67" t="str">
        <f>'Description Sheet'!K60</f>
        <v>m2</v>
      </c>
      <c r="N61" s="67">
        <f>'Description Sheet'!L60</f>
        <v>0</v>
      </c>
      <c r="O61" s="73">
        <f>'Year (2029-2030)'!O61*(('Description Sheet'!M4)+1)</f>
        <v>1467.2693962946539</v>
      </c>
      <c r="P61" s="69">
        <f t="shared" si="27"/>
        <v>0</v>
      </c>
      <c r="Q61" s="14"/>
      <c r="R61" s="44"/>
    </row>
    <row r="62" spans="1:18" hidden="1">
      <c r="A62" s="14"/>
      <c r="B62" s="112">
        <f>'Description Sheet'!B61</f>
        <v>6.13</v>
      </c>
      <c r="C62" s="152" t="str">
        <f>'Description Sheet'!C61</f>
        <v>Replacement of Tile Roof and Structure</v>
      </c>
      <c r="D62" s="107"/>
      <c r="E62" s="153" t="str">
        <f>IF('Maintenance Schedule'!X76="x","x","")</f>
        <v/>
      </c>
      <c r="F62" s="153" t="str">
        <f t="shared" si="28"/>
        <v/>
      </c>
      <c r="G62" s="154">
        <f t="shared" si="29"/>
        <v>0</v>
      </c>
      <c r="H62" s="155">
        <f t="shared" si="25"/>
        <v>0</v>
      </c>
      <c r="I62" s="156">
        <f t="shared" si="26"/>
        <v>0</v>
      </c>
      <c r="J62" s="14"/>
      <c r="K62" s="15"/>
      <c r="L62" s="32"/>
      <c r="M62" s="67" t="str">
        <f>'Description Sheet'!K61</f>
        <v>m2</v>
      </c>
      <c r="N62" s="67">
        <f>'Description Sheet'!L61</f>
        <v>0</v>
      </c>
      <c r="O62" s="73">
        <f>'Year (2029-2030)'!O62*(('Description Sheet'!M4)+1)</f>
        <v>1815.096201410825</v>
      </c>
      <c r="P62" s="69">
        <f t="shared" si="27"/>
        <v>0</v>
      </c>
      <c r="Q62" s="14"/>
      <c r="R62" s="44"/>
    </row>
    <row r="63" spans="1:18" hidden="1">
      <c r="A63" s="14"/>
      <c r="B63" s="112">
        <f>'Description Sheet'!B62</f>
        <v>6.14</v>
      </c>
      <c r="C63" s="152" t="str">
        <f>'Description Sheet'!C62</f>
        <v>Replacement of Fibre Cement Roof</v>
      </c>
      <c r="D63" s="107"/>
      <c r="E63" s="153" t="str">
        <f>IF('Maintenance Schedule'!X77="x","x","")</f>
        <v/>
      </c>
      <c r="F63" s="153" t="str">
        <f t="shared" ref="F63:F66" si="31">IF(E63="x","item","")</f>
        <v/>
      </c>
      <c r="G63" s="154">
        <f t="shared" si="29"/>
        <v>0</v>
      </c>
      <c r="H63" s="155">
        <f t="shared" si="25"/>
        <v>0</v>
      </c>
      <c r="I63" s="156">
        <f t="shared" si="26"/>
        <v>0</v>
      </c>
      <c r="J63" s="14"/>
      <c r="K63" s="15"/>
      <c r="L63" s="32"/>
      <c r="M63" s="67" t="str">
        <f>'Description Sheet'!K62</f>
        <v>m2</v>
      </c>
      <c r="N63" s="67">
        <f>'Description Sheet'!L62</f>
        <v>0</v>
      </c>
      <c r="O63" s="73">
        <f>'Year (2029-2030)'!O63*(('Description Sheet'!M4)+1)</f>
        <v>1403.301248227312</v>
      </c>
      <c r="P63" s="69">
        <f t="shared" si="27"/>
        <v>0</v>
      </c>
      <c r="Q63" s="14"/>
      <c r="R63" s="44"/>
    </row>
    <row r="64" spans="1:18" hidden="1">
      <c r="A64" s="14"/>
      <c r="B64" s="112">
        <f>'Description Sheet'!B63</f>
        <v>6.15</v>
      </c>
      <c r="C64" s="152" t="str">
        <f>'Description Sheet'!C63</f>
        <v>blank</v>
      </c>
      <c r="D64" s="107"/>
      <c r="E64" s="153" t="str">
        <f>IF('Maintenance Schedule'!X78="x","x","")</f>
        <v/>
      </c>
      <c r="F64" s="153" t="str">
        <f t="shared" si="31"/>
        <v/>
      </c>
      <c r="G64" s="154">
        <f t="shared" si="29"/>
        <v>0</v>
      </c>
      <c r="H64" s="155">
        <f t="shared" si="25"/>
        <v>0</v>
      </c>
      <c r="I64" s="156">
        <f t="shared" si="26"/>
        <v>0</v>
      </c>
      <c r="J64" s="14"/>
      <c r="K64" s="15"/>
      <c r="L64" s="32"/>
      <c r="M64" s="67" t="str">
        <f>'Description Sheet'!K63</f>
        <v>item</v>
      </c>
      <c r="N64" s="67">
        <f>'Description Sheet'!L63</f>
        <v>0</v>
      </c>
      <c r="O64" s="73">
        <f>'Year (2029-2030)'!O64*(('Description Sheet'!M4)+1)</f>
        <v>0</v>
      </c>
      <c r="P64" s="69">
        <f t="shared" si="27"/>
        <v>0</v>
      </c>
      <c r="Q64" s="14"/>
      <c r="R64" s="44"/>
    </row>
    <row r="65" spans="1:19" hidden="1">
      <c r="A65" s="14"/>
      <c r="B65" s="112">
        <f>'Description Sheet'!B64</f>
        <v>6.17</v>
      </c>
      <c r="C65" s="152" t="str">
        <f>'Description Sheet'!C64</f>
        <v>blank</v>
      </c>
      <c r="D65" s="107"/>
      <c r="E65" s="153" t="str">
        <f>IF('Maintenance Schedule'!X79="x","x","")</f>
        <v/>
      </c>
      <c r="F65" s="153" t="str">
        <f t="shared" si="31"/>
        <v/>
      </c>
      <c r="G65" s="154">
        <f t="shared" si="29"/>
        <v>0</v>
      </c>
      <c r="H65" s="155">
        <f t="shared" si="25"/>
        <v>0</v>
      </c>
      <c r="I65" s="156">
        <f t="shared" si="26"/>
        <v>0</v>
      </c>
      <c r="J65" s="14"/>
      <c r="K65" s="15"/>
      <c r="L65" s="32"/>
      <c r="M65" s="67" t="str">
        <f>'Description Sheet'!K64</f>
        <v>item</v>
      </c>
      <c r="N65" s="67">
        <f>'Description Sheet'!L64</f>
        <v>0</v>
      </c>
      <c r="O65" s="73">
        <f>'Year (2029-2030)'!O65*(('Description Sheet'!M4)+1)</f>
        <v>0</v>
      </c>
      <c r="P65" s="69">
        <f t="shared" si="27"/>
        <v>0</v>
      </c>
      <c r="Q65" s="14"/>
      <c r="R65" s="44"/>
    </row>
    <row r="66" spans="1:19" hidden="1">
      <c r="A66" s="14"/>
      <c r="B66" s="112">
        <f>'Description Sheet'!B65</f>
        <v>6.18</v>
      </c>
      <c r="C66" s="152" t="str">
        <f>'Description Sheet'!C65</f>
        <v>blank</v>
      </c>
      <c r="D66" s="107"/>
      <c r="E66" s="153" t="str">
        <f>IF('Maintenance Schedule'!X80="x","x","")</f>
        <v/>
      </c>
      <c r="F66" s="153" t="str">
        <f t="shared" si="31"/>
        <v/>
      </c>
      <c r="G66" s="154">
        <f t="shared" si="29"/>
        <v>0</v>
      </c>
      <c r="H66" s="155">
        <f t="shared" si="25"/>
        <v>0</v>
      </c>
      <c r="I66" s="156">
        <f t="shared" si="26"/>
        <v>0</v>
      </c>
      <c r="J66" s="14"/>
      <c r="K66" s="15"/>
      <c r="L66" s="32"/>
      <c r="M66" s="67" t="str">
        <f>'Description Sheet'!K65</f>
        <v>item</v>
      </c>
      <c r="N66" s="67">
        <f>'Description Sheet'!L65</f>
        <v>0</v>
      </c>
      <c r="O66" s="73">
        <f>'Year (2029-2030)'!O66*(('Description Sheet'!M4)+1)</f>
        <v>0</v>
      </c>
      <c r="P66" s="69">
        <f t="shared" si="27"/>
        <v>0</v>
      </c>
      <c r="Q66" s="14"/>
      <c r="R66" s="44"/>
    </row>
    <row r="67" spans="1:19" ht="17" thickBot="1">
      <c r="A67" s="14"/>
      <c r="B67" s="109"/>
      <c r="C67" s="152"/>
      <c r="D67" s="107"/>
      <c r="E67" s="153"/>
      <c r="F67" s="153"/>
      <c r="G67" s="154"/>
      <c r="H67" s="155"/>
      <c r="I67" s="155"/>
      <c r="J67" s="14"/>
      <c r="K67" s="15"/>
      <c r="L67" s="32"/>
      <c r="M67" s="70"/>
      <c r="N67" s="67"/>
      <c r="O67" s="73"/>
      <c r="P67" s="79"/>
      <c r="Q67" s="14"/>
      <c r="R67" s="44"/>
    </row>
    <row r="68" spans="1:19" s="4" customFormat="1" ht="15.75" customHeight="1" thickBot="1">
      <c r="A68" s="14"/>
      <c r="B68" s="109"/>
      <c r="C68" s="115"/>
      <c r="D68" s="107"/>
      <c r="E68" s="159"/>
      <c r="F68" s="528" t="s">
        <v>7</v>
      </c>
      <c r="G68" s="529"/>
      <c r="H68" s="530">
        <f>SUM(I50:I67)</f>
        <v>6376.8247604631424</v>
      </c>
      <c r="I68" s="531"/>
      <c r="J68" s="14"/>
      <c r="K68" s="15"/>
      <c r="L68" s="33"/>
      <c r="M68" s="508" t="s">
        <v>7</v>
      </c>
      <c r="N68" s="509"/>
      <c r="O68" s="510">
        <f>SUM(P50:P67)</f>
        <v>6376.8247604631424</v>
      </c>
      <c r="P68" s="511"/>
      <c r="Q68" s="14"/>
      <c r="R68" s="31"/>
    </row>
    <row r="69" spans="1:19" ht="17" thickBot="1">
      <c r="A69" s="14"/>
      <c r="B69" s="109">
        <f>'Description Sheet'!B68</f>
        <v>7</v>
      </c>
      <c r="C69" s="113" t="str">
        <f>'Description Sheet'!C68</f>
        <v>Painting and Repairs</v>
      </c>
      <c r="D69" s="107"/>
      <c r="E69" s="110"/>
      <c r="F69" s="110"/>
      <c r="G69" s="110"/>
      <c r="H69" s="110"/>
      <c r="I69" s="151"/>
      <c r="J69" s="32"/>
      <c r="K69" s="40"/>
      <c r="L69" s="33"/>
      <c r="M69" s="24"/>
      <c r="N69" s="25"/>
      <c r="O69" s="25"/>
      <c r="P69" s="63"/>
      <c r="Q69" s="14"/>
      <c r="R69" s="44"/>
    </row>
    <row r="70" spans="1:19">
      <c r="A70" s="14"/>
      <c r="B70" s="109">
        <f>'Description Sheet'!B69</f>
        <v>7.1</v>
      </c>
      <c r="C70" s="152" t="str">
        <f>'Description Sheet'!C69</f>
        <v>External  Painting and Remedial Repairs</v>
      </c>
      <c r="D70" s="107"/>
      <c r="E70" s="153" t="str">
        <f>IF('Maintenance Schedule'!X87="x","x","")</f>
        <v>x</v>
      </c>
      <c r="F70" s="153" t="str">
        <f t="shared" ref="F70:F91" si="32">IF(E70="x","No","")</f>
        <v>No</v>
      </c>
      <c r="G70" s="154">
        <f>IF(E70="x",1,0)</f>
        <v>1</v>
      </c>
      <c r="H70" s="155">
        <f t="shared" ref="H70:H91" si="33">IF(E70="x",P70,0)</f>
        <v>3684662.880104694</v>
      </c>
      <c r="I70" s="156">
        <f>IF(E70="x",G70*H70,0)</f>
        <v>3684662.880104694</v>
      </c>
      <c r="J70" s="14"/>
      <c r="K70" s="15"/>
      <c r="L70" s="32"/>
      <c r="M70" s="67" t="str">
        <f>'Description Sheet'!K69</f>
        <v>m2</v>
      </c>
      <c r="N70" s="67">
        <f>'Description Sheet'!L69</f>
        <v>1</v>
      </c>
      <c r="O70" s="73">
        <f>'Year (2029-2030)'!O70*(('Description Sheet'!M4)+1)</f>
        <v>3684662.880104694</v>
      </c>
      <c r="P70" s="68">
        <f t="shared" ref="P70:P78" si="34">N70*O70</f>
        <v>3684662.880104694</v>
      </c>
      <c r="Q70" s="14"/>
      <c r="R70" s="44"/>
    </row>
    <row r="71" spans="1:19" hidden="1">
      <c r="A71" s="14"/>
      <c r="B71" s="109">
        <f>'Description Sheet'!B70</f>
        <v>7.2</v>
      </c>
      <c r="C71" s="152" t="str">
        <f>'Description Sheet'!C70</f>
        <v>Internal Repairs to Apartments 505, 405, 305</v>
      </c>
      <c r="D71" s="107"/>
      <c r="E71" s="153" t="str">
        <f>IF('Maintenance Schedule'!X88="x","x","")</f>
        <v/>
      </c>
      <c r="F71" s="153" t="str">
        <f t="shared" si="32"/>
        <v/>
      </c>
      <c r="G71" s="154">
        <f t="shared" ref="G71:G91" si="35">IF(E71="x",1,0)</f>
        <v>0</v>
      </c>
      <c r="H71" s="155">
        <f t="shared" si="33"/>
        <v>0</v>
      </c>
      <c r="I71" s="156">
        <f t="shared" ref="I71:I91" si="36">IF(E71="x",G71*H71,0)</f>
        <v>0</v>
      </c>
      <c r="J71" s="14"/>
      <c r="K71" s="15"/>
      <c r="L71" s="32"/>
      <c r="M71" s="67" t="str">
        <f>'Description Sheet'!K70</f>
        <v>m2</v>
      </c>
      <c r="N71" s="67">
        <f>'Description Sheet'!L70</f>
        <v>1</v>
      </c>
      <c r="O71" s="73">
        <f>'Year (2029-2030)'!O71*(('Description Sheet'!M4)+1)</f>
        <v>310345.4683579632</v>
      </c>
      <c r="P71" s="68">
        <f t="shared" si="34"/>
        <v>310345.4683579632</v>
      </c>
      <c r="Q71" s="14"/>
      <c r="R71" s="44"/>
    </row>
    <row r="72" spans="1:19" hidden="1">
      <c r="A72" s="14"/>
      <c r="B72" s="109">
        <f>'Description Sheet'!B71</f>
        <v>7.3</v>
      </c>
      <c r="C72" s="152" t="str">
        <f>'Description Sheet'!C71</f>
        <v>Exposed Tops</v>
      </c>
      <c r="D72" s="107"/>
      <c r="E72" s="153" t="str">
        <f>IF('Maintenance Schedule'!X89="x","x","")</f>
        <v/>
      </c>
      <c r="F72" s="153" t="str">
        <f t="shared" si="32"/>
        <v/>
      </c>
      <c r="G72" s="154">
        <f t="shared" si="35"/>
        <v>0</v>
      </c>
      <c r="H72" s="155">
        <f t="shared" si="33"/>
        <v>0</v>
      </c>
      <c r="I72" s="156">
        <f t="shared" si="36"/>
        <v>0</v>
      </c>
      <c r="J72" s="14"/>
      <c r="K72" s="15"/>
      <c r="L72" s="32"/>
      <c r="M72" s="67" t="str">
        <f>'Description Sheet'!K71</f>
        <v>m2</v>
      </c>
      <c r="N72" s="67">
        <f>'Description Sheet'!L71</f>
        <v>0</v>
      </c>
      <c r="O72" s="73">
        <f>'Year (2029-2030)'!O72*(('Description Sheet'!M4)+1)</f>
        <v>247.87657376094975</v>
      </c>
      <c r="P72" s="68">
        <f t="shared" si="34"/>
        <v>0</v>
      </c>
      <c r="Q72" s="14"/>
      <c r="R72" s="44"/>
    </row>
    <row r="73" spans="1:19" hidden="1">
      <c r="A73" s="14"/>
      <c r="B73" s="109">
        <f>'Description Sheet'!B72</f>
        <v>7.4</v>
      </c>
      <c r="C73" s="152" t="str">
        <f>'Description Sheet'!C72</f>
        <v>Wall to Frame Sealant (Exposed)</v>
      </c>
      <c r="D73" s="107"/>
      <c r="E73" s="153" t="str">
        <f>IF('Maintenance Schedule'!X90="x","x","")</f>
        <v/>
      </c>
      <c r="F73" s="153" t="str">
        <f>IF(E73="x","All","")</f>
        <v/>
      </c>
      <c r="G73" s="154">
        <f t="shared" si="35"/>
        <v>0</v>
      </c>
      <c r="H73" s="155">
        <f t="shared" si="33"/>
        <v>0</v>
      </c>
      <c r="I73" s="156">
        <f t="shared" si="36"/>
        <v>0</v>
      </c>
      <c r="J73" s="14"/>
      <c r="K73" s="15"/>
      <c r="L73" s="32"/>
      <c r="M73" s="67" t="str">
        <f>'Description Sheet'!K72</f>
        <v>lm</v>
      </c>
      <c r="N73" s="67">
        <f>'Description Sheet'!L72</f>
        <v>0</v>
      </c>
      <c r="O73" s="73">
        <f>'Year (2029-2030)'!O73*(('Description Sheet'!M4)+1)</f>
        <v>139.93032389731033</v>
      </c>
      <c r="P73" s="68">
        <f t="shared" si="34"/>
        <v>0</v>
      </c>
      <c r="Q73" s="14"/>
      <c r="R73" s="44"/>
    </row>
    <row r="74" spans="1:19" hidden="1">
      <c r="A74" s="14"/>
      <c r="B74" s="109">
        <f>'Description Sheet'!B73</f>
        <v>7.5</v>
      </c>
      <c r="C74" s="152" t="str">
        <f>'Description Sheet'!C73</f>
        <v>Glass to Frame Sealant (Skylights)</v>
      </c>
      <c r="D74" s="107"/>
      <c r="E74" s="153" t="str">
        <f>IF('Maintenance Schedule'!X91="x","x","")</f>
        <v/>
      </c>
      <c r="F74" s="153" t="str">
        <f>IF(E74="x","All","")</f>
        <v/>
      </c>
      <c r="G74" s="154">
        <f t="shared" si="35"/>
        <v>0</v>
      </c>
      <c r="H74" s="155">
        <f t="shared" si="33"/>
        <v>0</v>
      </c>
      <c r="I74" s="156">
        <f t="shared" si="36"/>
        <v>0</v>
      </c>
      <c r="J74" s="14"/>
      <c r="K74" s="15"/>
      <c r="L74" s="32"/>
      <c r="M74" s="67" t="str">
        <f>'Description Sheet'!K73</f>
        <v>All</v>
      </c>
      <c r="N74" s="67">
        <f>'Description Sheet'!L73</f>
        <v>0</v>
      </c>
      <c r="O74" s="73">
        <f>'Year (2029-2030)'!O74*(('Description Sheet'!M4)+1)</f>
        <v>32383.874959091823</v>
      </c>
      <c r="P74" s="68">
        <f>N74*O74</f>
        <v>0</v>
      </c>
      <c r="Q74" s="14"/>
      <c r="R74" s="44"/>
    </row>
    <row r="75" spans="1:19" hidden="1">
      <c r="A75" s="14"/>
      <c r="B75" s="109">
        <f>'Description Sheet'!B74</f>
        <v>7.6</v>
      </c>
      <c r="C75" s="152" t="str">
        <f>'Description Sheet'!C74</f>
        <v>Metal Windows and Putty Repairs</v>
      </c>
      <c r="D75" s="107"/>
      <c r="E75" s="153" t="str">
        <f>IF('Maintenance Schedule'!X92="x","x","")</f>
        <v/>
      </c>
      <c r="F75" s="153" t="str">
        <f t="shared" si="32"/>
        <v/>
      </c>
      <c r="G75" s="154">
        <f t="shared" si="35"/>
        <v>0</v>
      </c>
      <c r="H75" s="155">
        <f t="shared" si="33"/>
        <v>0</v>
      </c>
      <c r="I75" s="156">
        <f t="shared" si="36"/>
        <v>0</v>
      </c>
      <c r="J75" s="14"/>
      <c r="K75" s="15"/>
      <c r="L75" s="32"/>
      <c r="M75" s="67" t="str">
        <f>'Description Sheet'!K74</f>
        <v>m2</v>
      </c>
      <c r="N75" s="67">
        <f>'Description Sheet'!L74</f>
        <v>1</v>
      </c>
      <c r="O75" s="73">
        <f>'Year (2029-2030)'!O75*(('Description Sheet'!M4)+1)</f>
        <v>19990.046271044335</v>
      </c>
      <c r="P75" s="68">
        <f t="shared" si="34"/>
        <v>19990.046271044335</v>
      </c>
      <c r="Q75" s="14"/>
      <c r="R75" s="44"/>
      <c r="S75" s="2"/>
    </row>
    <row r="76" spans="1:19" hidden="1">
      <c r="A76" s="14"/>
      <c r="B76" s="109">
        <f>'Description Sheet'!B75</f>
        <v>7.7</v>
      </c>
      <c r="C76" s="152" t="str">
        <f>'Description Sheet'!C75</f>
        <v xml:space="preserve">External Woodwork </v>
      </c>
      <c r="D76" s="107"/>
      <c r="E76" s="153" t="str">
        <f>IF('Maintenance Schedule'!X93="x","x","")</f>
        <v/>
      </c>
      <c r="F76" s="153" t="str">
        <f t="shared" si="32"/>
        <v/>
      </c>
      <c r="G76" s="154">
        <f t="shared" si="35"/>
        <v>0</v>
      </c>
      <c r="H76" s="155">
        <f t="shared" si="33"/>
        <v>0</v>
      </c>
      <c r="I76" s="156">
        <f t="shared" si="36"/>
        <v>0</v>
      </c>
      <c r="J76" s="14"/>
      <c r="K76" s="15"/>
      <c r="L76" s="32"/>
      <c r="M76" s="67" t="str">
        <f>'Description Sheet'!K75</f>
        <v>m2</v>
      </c>
      <c r="N76" s="67">
        <f>'Description Sheet'!L75</f>
        <v>160</v>
      </c>
      <c r="O76" s="73">
        <f>'Year (2029-2030)'!O76*(('Description Sheet'!M4)+1)</f>
        <v>409.79594855640886</v>
      </c>
      <c r="P76" s="68">
        <f t="shared" si="34"/>
        <v>65567.351769025423</v>
      </c>
      <c r="Q76" s="14"/>
      <c r="R76" s="44"/>
    </row>
    <row r="77" spans="1:19" hidden="1">
      <c r="A77" s="14"/>
      <c r="B77" s="109">
        <f>'Description Sheet'!B76</f>
        <v>7.8</v>
      </c>
      <c r="C77" s="152" t="str">
        <f>'Description Sheet'!C76</f>
        <v xml:space="preserve">External Steelwork </v>
      </c>
      <c r="D77" s="107"/>
      <c r="E77" s="153" t="str">
        <f>IF('Maintenance Schedule'!X94="x","x","")</f>
        <v/>
      </c>
      <c r="F77" s="153" t="str">
        <f t="shared" si="32"/>
        <v/>
      </c>
      <c r="G77" s="154">
        <f t="shared" si="35"/>
        <v>0</v>
      </c>
      <c r="H77" s="155">
        <f t="shared" si="33"/>
        <v>0</v>
      </c>
      <c r="I77" s="156">
        <f t="shared" si="36"/>
        <v>0</v>
      </c>
      <c r="J77" s="14"/>
      <c r="K77" s="15"/>
      <c r="L77" s="32"/>
      <c r="M77" s="67" t="str">
        <f>'Description Sheet'!K76</f>
        <v>m2</v>
      </c>
      <c r="N77" s="67">
        <f>'Description Sheet'!L76</f>
        <v>40</v>
      </c>
      <c r="O77" s="73">
        <f>'Year (2029-2030)'!O77*(('Description Sheet'!M4)+1)</f>
        <v>457.77205960691526</v>
      </c>
      <c r="P77" s="68">
        <f t="shared" si="34"/>
        <v>18310.882384276611</v>
      </c>
      <c r="Q77" s="14"/>
      <c r="R77" s="44"/>
    </row>
    <row r="78" spans="1:19" hidden="1">
      <c r="A78" s="14"/>
      <c r="B78" s="109">
        <f>'Description Sheet'!B77</f>
        <v>7.9</v>
      </c>
      <c r="C78" s="152" t="str">
        <f>'Description Sheet'!C77</f>
        <v xml:space="preserve">Pointing &amp; Brickwork Repairs </v>
      </c>
      <c r="D78" s="107"/>
      <c r="E78" s="153" t="str">
        <f>IF('Maintenance Schedule'!X95="x","x","")</f>
        <v/>
      </c>
      <c r="F78" s="153" t="str">
        <f t="shared" si="32"/>
        <v/>
      </c>
      <c r="G78" s="154">
        <f t="shared" si="35"/>
        <v>0</v>
      </c>
      <c r="H78" s="155">
        <f t="shared" si="33"/>
        <v>0</v>
      </c>
      <c r="I78" s="156">
        <f t="shared" si="36"/>
        <v>0</v>
      </c>
      <c r="J78" s="14"/>
      <c r="K78" s="15"/>
      <c r="L78" s="32"/>
      <c r="M78" s="67" t="str">
        <f>'Description Sheet'!K77</f>
        <v>m2</v>
      </c>
      <c r="N78" s="67">
        <f>'Description Sheet'!L77</f>
        <v>0</v>
      </c>
      <c r="O78" s="73">
        <f>'Year (2029-2030)'!O78*(('Description Sheet'!M4)+1)</f>
        <v>97151.624877275477</v>
      </c>
      <c r="P78" s="68">
        <f t="shared" si="34"/>
        <v>0</v>
      </c>
      <c r="Q78" s="14"/>
      <c r="R78" s="44"/>
    </row>
    <row r="79" spans="1:19" hidden="1">
      <c r="A79" s="14"/>
      <c r="B79" s="112">
        <f>'Description Sheet'!B78</f>
        <v>7.1</v>
      </c>
      <c r="C79" s="152" t="str">
        <f>'Description Sheet'!C78</f>
        <v>Brickwork Repairs</v>
      </c>
      <c r="D79" s="107"/>
      <c r="E79" s="153" t="str">
        <f>IF('Maintenance Schedule'!X96="x","x","")</f>
        <v/>
      </c>
      <c r="F79" s="153" t="str">
        <f t="shared" si="32"/>
        <v/>
      </c>
      <c r="G79" s="154">
        <f t="shared" si="35"/>
        <v>0</v>
      </c>
      <c r="H79" s="155">
        <f t="shared" si="33"/>
        <v>0</v>
      </c>
      <c r="I79" s="156">
        <f t="shared" si="36"/>
        <v>0</v>
      </c>
      <c r="J79" s="14"/>
      <c r="K79" s="15"/>
      <c r="L79" s="32"/>
      <c r="M79" s="67" t="str">
        <f>'Description Sheet'!K78</f>
        <v>m2</v>
      </c>
      <c r="N79" s="67">
        <f>'Description Sheet'!L78</f>
        <v>1</v>
      </c>
      <c r="O79" s="73">
        <f>'Year (2029-2030)'!O79*(('Description Sheet'!M4)+1)</f>
        <v>8231.9010544160556</v>
      </c>
      <c r="P79" s="68">
        <f>N79*O79</f>
        <v>8231.9010544160556</v>
      </c>
      <c r="Q79" s="14"/>
      <c r="R79" s="44"/>
    </row>
    <row r="80" spans="1:19" hidden="1">
      <c r="A80" s="14"/>
      <c r="B80" s="112">
        <f>'Description Sheet'!B79</f>
        <v>7.11</v>
      </c>
      <c r="C80" s="152" t="str">
        <f>'Description Sheet'!C79</f>
        <v>Painted Floors</v>
      </c>
      <c r="D80" s="107"/>
      <c r="E80" s="153" t="str">
        <f>IF('Maintenance Schedule'!X97="x","x","")</f>
        <v/>
      </c>
      <c r="F80" s="153" t="str">
        <f t="shared" si="32"/>
        <v/>
      </c>
      <c r="G80" s="154">
        <f t="shared" si="35"/>
        <v>0</v>
      </c>
      <c r="H80" s="155">
        <f t="shared" si="33"/>
        <v>0</v>
      </c>
      <c r="I80" s="156">
        <f t="shared" si="36"/>
        <v>0</v>
      </c>
      <c r="J80" s="14"/>
      <c r="K80" s="15"/>
      <c r="L80" s="32"/>
      <c r="M80" s="67" t="str">
        <f>'Description Sheet'!K79</f>
        <v>m2</v>
      </c>
      <c r="N80" s="67">
        <f>'Description Sheet'!L79</f>
        <v>680</v>
      </c>
      <c r="O80" s="73">
        <f>'Year (2029-2030)'!O80*(('Description Sheet'!M4)+1)</f>
        <v>303.84870331987389</v>
      </c>
      <c r="P80" s="68">
        <f>N80*O80</f>
        <v>206617.11825751426</v>
      </c>
      <c r="Q80" s="14"/>
      <c r="R80" s="44"/>
    </row>
    <row r="81" spans="1:18" hidden="1">
      <c r="A81" s="14"/>
      <c r="B81" s="112">
        <f>'Description Sheet'!B80</f>
        <v>7.12</v>
      </c>
      <c r="C81" s="152" t="str">
        <f>'Description Sheet'!C80</f>
        <v>Nutec Walls</v>
      </c>
      <c r="D81" s="107"/>
      <c r="E81" s="153" t="str">
        <f>IF('Maintenance Schedule'!X98="x","x","")</f>
        <v/>
      </c>
      <c r="F81" s="153" t="str">
        <f t="shared" si="32"/>
        <v/>
      </c>
      <c r="G81" s="154">
        <f t="shared" si="35"/>
        <v>0</v>
      </c>
      <c r="H81" s="155">
        <f t="shared" si="33"/>
        <v>0</v>
      </c>
      <c r="I81" s="156">
        <f t="shared" si="36"/>
        <v>0</v>
      </c>
      <c r="J81" s="14"/>
      <c r="K81" s="15"/>
      <c r="L81" s="32"/>
      <c r="M81" s="67" t="str">
        <f>'Description Sheet'!K80</f>
        <v>m2</v>
      </c>
      <c r="N81" s="67">
        <f>'Description Sheet'!L80</f>
        <v>390</v>
      </c>
      <c r="O81" s="73">
        <f>'Year (2029-2030)'!O81*(('Description Sheet'!M4)+1)</f>
        <v>221.88951360859213</v>
      </c>
      <c r="P81" s="68">
        <f>N81*O81</f>
        <v>86536.910307350932</v>
      </c>
      <c r="Q81" s="14"/>
      <c r="R81" s="44"/>
    </row>
    <row r="82" spans="1:18" hidden="1">
      <c r="A82" s="14"/>
      <c r="B82" s="112">
        <f>'Description Sheet'!B81</f>
        <v>7.13</v>
      </c>
      <c r="C82" s="152" t="str">
        <f>'Description Sheet'!C81</f>
        <v xml:space="preserve">Basement Parking Walls and Soffits Areas </v>
      </c>
      <c r="D82" s="107"/>
      <c r="E82" s="153" t="str">
        <f>IF('Maintenance Schedule'!X99="x","x","")</f>
        <v/>
      </c>
      <c r="F82" s="153" t="str">
        <f t="shared" si="32"/>
        <v/>
      </c>
      <c r="G82" s="154">
        <f t="shared" si="35"/>
        <v>0</v>
      </c>
      <c r="H82" s="155">
        <f t="shared" si="33"/>
        <v>0</v>
      </c>
      <c r="I82" s="156">
        <f t="shared" si="36"/>
        <v>0</v>
      </c>
      <c r="J82" s="14"/>
      <c r="K82" s="15"/>
      <c r="L82" s="32"/>
      <c r="M82" s="67" t="str">
        <f>'Description Sheet'!K81</f>
        <v>m2</v>
      </c>
      <c r="N82" s="67">
        <f>'Description Sheet'!L81</f>
        <v>0</v>
      </c>
      <c r="O82" s="73">
        <f>'Year (2029-2030)'!O82*(('Description Sheet'!M4)+1)</f>
        <v>293.85368018435167</v>
      </c>
      <c r="P82" s="68">
        <f>N82*O82</f>
        <v>0</v>
      </c>
      <c r="Q82" s="14"/>
      <c r="R82" s="44"/>
    </row>
    <row r="83" spans="1:18" hidden="1">
      <c r="A83" s="14"/>
      <c r="B83" s="112">
        <f>'Description Sheet'!B82</f>
        <v>7.14</v>
      </c>
      <c r="C83" s="152" t="str">
        <f>'Description Sheet'!C82</f>
        <v>Internal Common Walls and Soffit Areas</v>
      </c>
      <c r="D83" s="107"/>
      <c r="E83" s="153" t="str">
        <f>IF('Maintenance Schedule'!X100="x","x","")</f>
        <v/>
      </c>
      <c r="F83" s="153" t="str">
        <f t="shared" si="32"/>
        <v/>
      </c>
      <c r="G83" s="154">
        <f t="shared" si="35"/>
        <v>0</v>
      </c>
      <c r="H83" s="155">
        <f t="shared" si="33"/>
        <v>0</v>
      </c>
      <c r="I83" s="156">
        <f t="shared" si="36"/>
        <v>0</v>
      </c>
      <c r="J83" s="14"/>
      <c r="K83" s="15"/>
      <c r="L83" s="32"/>
      <c r="M83" s="67" t="str">
        <f>'Description Sheet'!K82</f>
        <v>m2</v>
      </c>
      <c r="N83" s="67">
        <f>'Description Sheet'!L82</f>
        <v>0</v>
      </c>
      <c r="O83" s="73">
        <f>'Year (2029-2030)'!O83*(('Description Sheet'!M4)+1)</f>
        <v>303.84870331987389</v>
      </c>
      <c r="P83" s="68">
        <f t="shared" ref="P83:P91" si="37">N83*O83</f>
        <v>0</v>
      </c>
      <c r="Q83" s="14"/>
      <c r="R83" s="44"/>
    </row>
    <row r="84" spans="1:18" hidden="1">
      <c r="A84" s="14"/>
      <c r="B84" s="112">
        <f>'Description Sheet'!B83</f>
        <v>7.15</v>
      </c>
      <c r="C84" s="152" t="str">
        <f>'Description Sheet'!C83</f>
        <v xml:space="preserve">Basement Parking Walls and Soffits Areas </v>
      </c>
      <c r="D84" s="107"/>
      <c r="E84" s="153" t="str">
        <f>IF('Maintenance Schedule'!X101="x","x","")</f>
        <v/>
      </c>
      <c r="F84" s="153" t="str">
        <f t="shared" si="32"/>
        <v/>
      </c>
      <c r="G84" s="154">
        <f t="shared" si="35"/>
        <v>0</v>
      </c>
      <c r="H84" s="155">
        <f t="shared" si="33"/>
        <v>0</v>
      </c>
      <c r="I84" s="156">
        <f t="shared" si="36"/>
        <v>0</v>
      </c>
      <c r="J84" s="14"/>
      <c r="K84" s="15"/>
      <c r="L84" s="32"/>
      <c r="M84" s="67" t="str">
        <f>'Description Sheet'!K83</f>
        <v>m2</v>
      </c>
      <c r="N84" s="67">
        <f>'Description Sheet'!L83</f>
        <v>0</v>
      </c>
      <c r="O84" s="73">
        <f>'Year (2029-2030)'!O84*(('Description Sheet'!M4)+1)</f>
        <v>293.85368018435167</v>
      </c>
      <c r="P84" s="68">
        <f t="shared" si="37"/>
        <v>0</v>
      </c>
      <c r="Q84" s="14"/>
      <c r="R84" s="44"/>
    </row>
    <row r="85" spans="1:18" hidden="1">
      <c r="A85" s="14"/>
      <c r="B85" s="112">
        <f>'Description Sheet'!B84</f>
        <v>7.16</v>
      </c>
      <c r="C85" s="152" t="str">
        <f>'Description Sheet'!C84</f>
        <v>Cleaning of Cladding Panels</v>
      </c>
      <c r="D85" s="107"/>
      <c r="E85" s="153" t="str">
        <f>IF('Maintenance Schedule'!X102="x","x","")</f>
        <v/>
      </c>
      <c r="F85" s="153" t="str">
        <f t="shared" si="32"/>
        <v/>
      </c>
      <c r="G85" s="154">
        <f t="shared" si="35"/>
        <v>0</v>
      </c>
      <c r="H85" s="155">
        <f t="shared" si="33"/>
        <v>0</v>
      </c>
      <c r="I85" s="156">
        <f t="shared" si="36"/>
        <v>0</v>
      </c>
      <c r="J85" s="14"/>
      <c r="K85" s="15"/>
      <c r="L85" s="32"/>
      <c r="M85" s="67" t="str">
        <f>'Description Sheet'!K84</f>
        <v>m2</v>
      </c>
      <c r="N85" s="67">
        <f>'Description Sheet'!L84</f>
        <v>0</v>
      </c>
      <c r="O85" s="73">
        <f>'Year (2029-2030)'!O85*(('Description Sheet'!M4)+1)</f>
        <v>203.8984719646522</v>
      </c>
      <c r="P85" s="68">
        <f t="shared" si="37"/>
        <v>0</v>
      </c>
      <c r="Q85" s="14"/>
      <c r="R85" s="44"/>
    </row>
    <row r="86" spans="1:18" hidden="1">
      <c r="A86" s="14"/>
      <c r="B86" s="112">
        <f>'Description Sheet'!B85</f>
        <v>7.17</v>
      </c>
      <c r="C86" s="152" t="str">
        <f>'Description Sheet'!C85</f>
        <v>Painting of Facais and Barge Boarding</v>
      </c>
      <c r="D86" s="107"/>
      <c r="E86" s="153" t="str">
        <f>IF('Maintenance Schedule'!X103="x","x","")</f>
        <v/>
      </c>
      <c r="F86" s="153" t="str">
        <f t="shared" si="32"/>
        <v/>
      </c>
      <c r="G86" s="154">
        <f t="shared" si="35"/>
        <v>0</v>
      </c>
      <c r="H86" s="155">
        <f t="shared" si="33"/>
        <v>0</v>
      </c>
      <c r="I86" s="156">
        <f t="shared" si="36"/>
        <v>0</v>
      </c>
      <c r="J86" s="14"/>
      <c r="K86" s="15"/>
      <c r="L86" s="32"/>
      <c r="M86" s="67" t="str">
        <f>'Description Sheet'!K85</f>
        <v>m2</v>
      </c>
      <c r="N86" s="67">
        <f>'Description Sheet'!L85</f>
        <v>0</v>
      </c>
      <c r="O86" s="73">
        <f>'Year (2029-2030)'!O86*(('Description Sheet'!M4)+1)</f>
        <v>269.8656246590985</v>
      </c>
      <c r="P86" s="68">
        <f t="shared" si="37"/>
        <v>0</v>
      </c>
      <c r="Q86" s="14"/>
      <c r="R86" s="44"/>
    </row>
    <row r="87" spans="1:18" hidden="1">
      <c r="A87" s="14"/>
      <c r="B87" s="112">
        <f>'Description Sheet'!B86</f>
        <v>7.18</v>
      </c>
      <c r="C87" s="152" t="str">
        <f>'Description Sheet'!C86</f>
        <v>Painting External Wooden Soffits</v>
      </c>
      <c r="D87" s="107"/>
      <c r="E87" s="153" t="str">
        <f>IF('Maintenance Schedule'!X104="x","x","")</f>
        <v/>
      </c>
      <c r="F87" s="153" t="str">
        <f t="shared" si="32"/>
        <v/>
      </c>
      <c r="G87" s="154">
        <f t="shared" si="35"/>
        <v>0</v>
      </c>
      <c r="H87" s="155">
        <f t="shared" si="33"/>
        <v>0</v>
      </c>
      <c r="I87" s="156">
        <f t="shared" si="36"/>
        <v>0</v>
      </c>
      <c r="J87" s="14"/>
      <c r="K87" s="15"/>
      <c r="L87" s="32"/>
      <c r="M87" s="67" t="str">
        <f>'Description Sheet'!K86</f>
        <v>m2</v>
      </c>
      <c r="N87" s="67">
        <f>'Description Sheet'!L86</f>
        <v>0</v>
      </c>
      <c r="O87" s="73">
        <f>'Year (2029-2030)'!O87*(('Description Sheet'!M4)+1)</f>
        <v>139.93032389731033</v>
      </c>
      <c r="P87" s="68">
        <f t="shared" si="37"/>
        <v>0</v>
      </c>
      <c r="Q87" s="14"/>
      <c r="R87" s="44"/>
    </row>
    <row r="88" spans="1:18" hidden="1">
      <c r="A88" s="14"/>
      <c r="B88" s="112">
        <f>'Description Sheet'!B87</f>
        <v>7.19</v>
      </c>
      <c r="C88" s="152" t="str">
        <f>'Description Sheet'!C87</f>
        <v>Painting of Palisade Fencing</v>
      </c>
      <c r="D88" s="107"/>
      <c r="E88" s="153" t="str">
        <f>IF('Maintenance Schedule'!X105="x","x","")</f>
        <v/>
      </c>
      <c r="F88" s="153" t="str">
        <f t="shared" si="32"/>
        <v/>
      </c>
      <c r="G88" s="154">
        <f t="shared" si="35"/>
        <v>0</v>
      </c>
      <c r="H88" s="155">
        <f t="shared" si="33"/>
        <v>0</v>
      </c>
      <c r="I88" s="156">
        <f t="shared" si="36"/>
        <v>0</v>
      </c>
      <c r="J88" s="14"/>
      <c r="K88" s="15"/>
      <c r="L88" s="32"/>
      <c r="M88" s="67" t="str">
        <f>'Description Sheet'!K87</f>
        <v>m2</v>
      </c>
      <c r="N88" s="67">
        <f>'Description Sheet'!L87</f>
        <v>0</v>
      </c>
      <c r="O88" s="73">
        <f>'Year (2029-2030)'!O88*(('Description Sheet'!M4)+1)</f>
        <v>139.93032389731033</v>
      </c>
      <c r="P88" s="68">
        <f t="shared" si="37"/>
        <v>0</v>
      </c>
      <c r="Q88" s="14"/>
      <c r="R88" s="44"/>
    </row>
    <row r="89" spans="1:18" hidden="1">
      <c r="A89" s="14"/>
      <c r="B89" s="112">
        <f>'Description Sheet'!B88</f>
        <v>7.2</v>
      </c>
      <c r="C89" s="152" t="str">
        <f>'Description Sheet'!C88</f>
        <v>blank</v>
      </c>
      <c r="D89" s="107"/>
      <c r="E89" s="153" t="str">
        <f>IF('Maintenance Schedule'!X106="x","x","")</f>
        <v/>
      </c>
      <c r="F89" s="153" t="str">
        <f t="shared" si="32"/>
        <v/>
      </c>
      <c r="G89" s="154">
        <f t="shared" si="35"/>
        <v>0</v>
      </c>
      <c r="H89" s="155">
        <f t="shared" si="33"/>
        <v>0</v>
      </c>
      <c r="I89" s="156">
        <f t="shared" si="36"/>
        <v>0</v>
      </c>
      <c r="J89" s="14"/>
      <c r="K89" s="15"/>
      <c r="L89" s="32"/>
      <c r="M89" s="67" t="str">
        <f>'Description Sheet'!K88</f>
        <v>m3</v>
      </c>
      <c r="N89" s="67">
        <f>'Description Sheet'!L88</f>
        <v>0</v>
      </c>
      <c r="O89" s="73">
        <f>'Year (2029-2030)'!O89*(('Description Sheet'!M4)+1)</f>
        <v>355.82282362458915</v>
      </c>
      <c r="P89" s="68">
        <f t="shared" si="37"/>
        <v>0</v>
      </c>
      <c r="Q89" s="14"/>
      <c r="R89" s="44"/>
    </row>
    <row r="90" spans="1:18" hidden="1">
      <c r="A90" s="14"/>
      <c r="B90" s="112">
        <f>'Description Sheet'!B89</f>
        <v>7.21</v>
      </c>
      <c r="C90" s="152" t="str">
        <f>'Description Sheet'!C89</f>
        <v>blank</v>
      </c>
      <c r="D90" s="107"/>
      <c r="E90" s="153" t="str">
        <f>IF('Maintenance Schedule'!X107="x","x","")</f>
        <v/>
      </c>
      <c r="F90" s="153" t="str">
        <f t="shared" si="32"/>
        <v/>
      </c>
      <c r="G90" s="154">
        <f t="shared" si="35"/>
        <v>0</v>
      </c>
      <c r="H90" s="155">
        <f t="shared" si="33"/>
        <v>0</v>
      </c>
      <c r="I90" s="156">
        <f t="shared" si="36"/>
        <v>0</v>
      </c>
      <c r="J90" s="14"/>
      <c r="K90" s="15"/>
      <c r="L90" s="32"/>
      <c r="M90" s="67" t="str">
        <f>'Description Sheet'!K89</f>
        <v>m3</v>
      </c>
      <c r="N90" s="67">
        <f>'Description Sheet'!L89</f>
        <v>0</v>
      </c>
      <c r="O90" s="73">
        <f>'Year (2029-2030)'!O90*(('Description Sheet'!M4)+1)</f>
        <v>20509.787474091489</v>
      </c>
      <c r="P90" s="68">
        <f t="shared" si="37"/>
        <v>0</v>
      </c>
      <c r="Q90" s="14"/>
      <c r="R90" s="44"/>
    </row>
    <row r="91" spans="1:18" hidden="1">
      <c r="A91" s="14"/>
      <c r="B91" s="112">
        <f>'Description Sheet'!B90</f>
        <v>7.22</v>
      </c>
      <c r="C91" s="152" t="str">
        <f>'Description Sheet'!C90</f>
        <v>blank</v>
      </c>
      <c r="D91" s="107"/>
      <c r="E91" s="153" t="str">
        <f>IF('Maintenance Schedule'!X108="x","x","")</f>
        <v/>
      </c>
      <c r="F91" s="153" t="str">
        <f t="shared" si="32"/>
        <v/>
      </c>
      <c r="G91" s="154">
        <f t="shared" si="35"/>
        <v>0</v>
      </c>
      <c r="H91" s="155">
        <f t="shared" si="33"/>
        <v>0</v>
      </c>
      <c r="I91" s="156">
        <f t="shared" si="36"/>
        <v>0</v>
      </c>
      <c r="J91" s="14"/>
      <c r="K91" s="15"/>
      <c r="L91" s="32"/>
      <c r="M91" s="67" t="str">
        <f>'Description Sheet'!K90</f>
        <v>m3</v>
      </c>
      <c r="N91" s="67">
        <f>'Description Sheet'!L90</f>
        <v>0</v>
      </c>
      <c r="O91" s="73">
        <f>'Year (2029-2030)'!O91*(('Description Sheet'!M4)+1)</f>
        <v>0</v>
      </c>
      <c r="P91" s="68">
        <f t="shared" si="37"/>
        <v>0</v>
      </c>
      <c r="Q91" s="14"/>
      <c r="R91" s="44"/>
    </row>
    <row r="92" spans="1:18" ht="17" thickBot="1">
      <c r="A92" s="14"/>
      <c r="B92" s="109"/>
      <c r="C92" s="152"/>
      <c r="D92" s="107"/>
      <c r="E92" s="153"/>
      <c r="F92" s="153" t="str">
        <f>IF(E92="x",M92,"")</f>
        <v/>
      </c>
      <c r="G92" s="154"/>
      <c r="H92" s="155"/>
      <c r="I92" s="156"/>
      <c r="J92" s="14"/>
      <c r="K92" s="15"/>
      <c r="L92" s="32"/>
      <c r="M92" s="70"/>
      <c r="N92" s="67"/>
      <c r="O92" s="73"/>
      <c r="P92" s="68"/>
      <c r="Q92" s="14"/>
      <c r="R92" s="44"/>
    </row>
    <row r="93" spans="1:18" s="4" customFormat="1" ht="15.75" customHeight="1" thickBot="1">
      <c r="A93" s="14"/>
      <c r="B93" s="109"/>
      <c r="C93" s="115"/>
      <c r="D93" s="107"/>
      <c r="E93" s="163"/>
      <c r="F93" s="528" t="s">
        <v>7</v>
      </c>
      <c r="G93" s="529"/>
      <c r="H93" s="530">
        <f>SUM(I70:I92)</f>
        <v>3684662.880104694</v>
      </c>
      <c r="I93" s="531"/>
      <c r="J93" s="14"/>
      <c r="K93" s="15"/>
      <c r="L93" s="33"/>
      <c r="M93" s="508" t="s">
        <v>7</v>
      </c>
      <c r="N93" s="509"/>
      <c r="O93" s="510">
        <f>SUM(P70:P92)</f>
        <v>4400262.5585062839</v>
      </c>
      <c r="P93" s="511"/>
      <c r="Q93" s="14"/>
      <c r="R93" s="31"/>
    </row>
    <row r="94" spans="1:18" ht="18" hidden="1" thickBot="1">
      <c r="A94" s="14"/>
      <c r="B94" s="179" t="s">
        <v>41</v>
      </c>
      <c r="C94" s="113" t="str">
        <f>'Description Sheet'!C93</f>
        <v xml:space="preserve">Waterproofing </v>
      </c>
      <c r="D94" s="107"/>
      <c r="E94" s="110"/>
      <c r="F94" s="110"/>
      <c r="G94" s="110"/>
      <c r="H94" s="110"/>
      <c r="I94" s="151"/>
      <c r="J94" s="32"/>
      <c r="K94" s="40"/>
      <c r="L94" s="33"/>
      <c r="M94" s="24"/>
      <c r="N94" s="25"/>
      <c r="O94" s="25"/>
      <c r="P94" s="63"/>
      <c r="Q94" s="14"/>
      <c r="R94" s="44"/>
    </row>
    <row r="95" spans="1:18" hidden="1">
      <c r="A95" s="14"/>
      <c r="B95" s="112">
        <f>'Description Sheet'!B94</f>
        <v>7.23</v>
      </c>
      <c r="C95" s="152" t="str">
        <f>'Description Sheet'!C94</f>
        <v>Waterproofing of Walkways</v>
      </c>
      <c r="D95" s="107"/>
      <c r="E95" s="153" t="str">
        <f>IF('Maintenance Schedule'!X115="x","x","")</f>
        <v/>
      </c>
      <c r="F95" s="153" t="str">
        <f t="shared" ref="F95:F102" si="38">IF(E95="x","No","")</f>
        <v/>
      </c>
      <c r="G95" s="154">
        <f>IF(E95="x",1,0)</f>
        <v>0</v>
      </c>
      <c r="H95" s="155">
        <f t="shared" ref="H95" si="39">IF(E95="x",P95,0)</f>
        <v>0</v>
      </c>
      <c r="I95" s="156">
        <f>IF(E95="x",G95*H95,0)</f>
        <v>0</v>
      </c>
      <c r="J95" s="14"/>
      <c r="K95" s="15"/>
      <c r="L95" s="32"/>
      <c r="M95" s="86" t="str">
        <f>'Description Sheet'!K94</f>
        <v>m2</v>
      </c>
      <c r="N95" s="67">
        <f>'Description Sheet'!L94</f>
        <v>1</v>
      </c>
      <c r="O95" s="73">
        <f>'Year (2029-2030)'!O95*(('Description Sheet'!M4)+1)</f>
        <v>323628.25440368406</v>
      </c>
      <c r="P95" s="69">
        <f>N95*O95</f>
        <v>323628.25440368406</v>
      </c>
      <c r="Q95" s="14"/>
      <c r="R95" s="44"/>
    </row>
    <row r="96" spans="1:18" hidden="1">
      <c r="A96" s="14"/>
      <c r="B96" s="112">
        <f>'Description Sheet'!B95</f>
        <v>7.24</v>
      </c>
      <c r="C96" s="152" t="str">
        <f>'Description Sheet'!C95</f>
        <v>Roof Repairs (Phase 2)</v>
      </c>
      <c r="D96" s="107"/>
      <c r="E96" s="153" t="str">
        <f>IF('Maintenance Schedule'!X116="x","x","")</f>
        <v/>
      </c>
      <c r="F96" s="153" t="str">
        <f t="shared" si="38"/>
        <v/>
      </c>
      <c r="G96" s="154">
        <f t="shared" ref="G96:G102" si="40">IF(E96="x",1,0)</f>
        <v>0</v>
      </c>
      <c r="H96" s="155">
        <f>IF(E96="x",P96,0)</f>
        <v>0</v>
      </c>
      <c r="I96" s="156">
        <f>IF(E96="x",G96*H96,0)</f>
        <v>0</v>
      </c>
      <c r="J96" s="14"/>
      <c r="K96" s="15"/>
      <c r="L96" s="32"/>
      <c r="M96" s="86" t="str">
        <f>'Description Sheet'!K95</f>
        <v>m2</v>
      </c>
      <c r="N96" s="67">
        <f>'Description Sheet'!L95</f>
        <v>1</v>
      </c>
      <c r="O96" s="73">
        <f>'Year (2029-2030)'!O96*(('Description Sheet'!M4)+1)</f>
        <v>999502.31355221663</v>
      </c>
      <c r="P96" s="69">
        <f>N96*O96</f>
        <v>999502.31355221663</v>
      </c>
      <c r="Q96" s="14"/>
      <c r="R96" s="44"/>
    </row>
    <row r="97" spans="1:18" hidden="1">
      <c r="A97" s="14"/>
      <c r="B97" s="112">
        <f>'Description Sheet'!B96</f>
        <v>7.25</v>
      </c>
      <c r="C97" s="152" t="str">
        <f>'Description Sheet'!C96</f>
        <v xml:space="preserve">Flat Roof Service </v>
      </c>
      <c r="D97" s="107"/>
      <c r="E97" s="153" t="str">
        <f>IF('Maintenance Schedule'!X117="x","x","")</f>
        <v/>
      </c>
      <c r="F97" s="153" t="str">
        <f t="shared" si="38"/>
        <v/>
      </c>
      <c r="G97" s="154">
        <f t="shared" si="40"/>
        <v>0</v>
      </c>
      <c r="H97" s="155">
        <f>IF(E97="x",P97,0)</f>
        <v>0</v>
      </c>
      <c r="I97" s="156">
        <f>IF(E97="x",G97*H97,0)</f>
        <v>0</v>
      </c>
      <c r="J97" s="14"/>
      <c r="K97" s="15"/>
      <c r="L97" s="32"/>
      <c r="M97" s="86" t="str">
        <f>'Description Sheet'!K96</f>
        <v>m2</v>
      </c>
      <c r="N97" s="67">
        <f>'Description Sheet'!L96</f>
        <v>895</v>
      </c>
      <c r="O97" s="73">
        <f>'Year (2029-2030)'!O97*(('Description Sheet'!M4)+1)</f>
        <v>129.93530076178811</v>
      </c>
      <c r="P97" s="69">
        <f>N97*O97</f>
        <v>116292.09418180036</v>
      </c>
      <c r="Q97" s="14"/>
      <c r="R97" s="44"/>
    </row>
    <row r="98" spans="1:18" hidden="1">
      <c r="A98" s="14"/>
      <c r="B98" s="112">
        <f>'Description Sheet'!B97</f>
        <v>7.26</v>
      </c>
      <c r="C98" s="152" t="str">
        <f>'Description Sheet'!C97</f>
        <v>Flat Roof Replacement</v>
      </c>
      <c r="D98" s="107"/>
      <c r="E98" s="153" t="str">
        <f>IF('Maintenance Schedule'!X118="x","x","")</f>
        <v/>
      </c>
      <c r="F98" s="153" t="str">
        <f t="shared" si="38"/>
        <v/>
      </c>
      <c r="G98" s="154">
        <f t="shared" si="40"/>
        <v>0</v>
      </c>
      <c r="H98" s="155">
        <f>IF(E98="x",P98,0)</f>
        <v>0</v>
      </c>
      <c r="I98" s="156">
        <f>IF(E98="x",G98*H98,0)</f>
        <v>0</v>
      </c>
      <c r="J98" s="14"/>
      <c r="K98" s="15"/>
      <c r="L98" s="32"/>
      <c r="M98" s="86" t="str">
        <f>'Description Sheet'!K97</f>
        <v>m2</v>
      </c>
      <c r="N98" s="67">
        <f>'Description Sheet'!L97</f>
        <v>1</v>
      </c>
      <c r="O98" s="73">
        <f>'Year (2029-2030)'!O98*(('Description Sheet'!M4)+1)</f>
        <v>1293649.8474167525</v>
      </c>
      <c r="P98" s="69">
        <f>N98*O98</f>
        <v>1293649.8474167525</v>
      </c>
      <c r="Q98" s="14"/>
      <c r="R98" s="44"/>
    </row>
    <row r="99" spans="1:18" hidden="1">
      <c r="A99" s="14"/>
      <c r="B99" s="112">
        <f>'Description Sheet'!B98</f>
        <v>7.27</v>
      </c>
      <c r="C99" s="152" t="str">
        <f>'Description Sheet'!C98</f>
        <v xml:space="preserve">Walkway and Staircases (Cementitious Waterproofing) </v>
      </c>
      <c r="D99" s="107"/>
      <c r="E99" s="153" t="str">
        <f>IF('Maintenance Schedule'!X119="x","x","")</f>
        <v/>
      </c>
      <c r="F99" s="153" t="str">
        <f t="shared" si="38"/>
        <v/>
      </c>
      <c r="G99" s="154">
        <f t="shared" si="40"/>
        <v>0</v>
      </c>
      <c r="H99" s="155">
        <f>IF(E99="x",P99,0)</f>
        <v>0</v>
      </c>
      <c r="I99" s="156">
        <f>IF(E99="x",G99*H99,0)</f>
        <v>0</v>
      </c>
      <c r="J99" s="14"/>
      <c r="K99" s="15"/>
      <c r="L99" s="32"/>
      <c r="M99" s="86" t="str">
        <f>'Description Sheet'!K98</f>
        <v>m2</v>
      </c>
      <c r="N99" s="67">
        <f>'Description Sheet'!L98</f>
        <v>0</v>
      </c>
      <c r="O99" s="73">
        <f>'Year (2029-2030)'!O99*(('Description Sheet'!M4)+1)</f>
        <v>819.59189711281772</v>
      </c>
      <c r="P99" s="69">
        <f>N99*O99</f>
        <v>0</v>
      </c>
      <c r="Q99" s="14"/>
      <c r="R99" s="44"/>
    </row>
    <row r="100" spans="1:18" hidden="1">
      <c r="A100" s="14"/>
      <c r="B100" s="112">
        <f>'Description Sheet'!B99</f>
        <v>7.28</v>
      </c>
      <c r="C100" s="152" t="str">
        <f>'Description Sheet'!C99</f>
        <v>Waterproofing Servicing of Parapets</v>
      </c>
      <c r="D100" s="107"/>
      <c r="E100" s="153" t="str">
        <f>IF('Maintenance Schedule'!X120="x","x","")</f>
        <v/>
      </c>
      <c r="F100" s="153" t="str">
        <f t="shared" si="38"/>
        <v/>
      </c>
      <c r="G100" s="154">
        <f t="shared" si="40"/>
        <v>0</v>
      </c>
      <c r="H100" s="155">
        <f t="shared" ref="H100:H102" si="41">IF(E100="x",P100,0)</f>
        <v>0</v>
      </c>
      <c r="I100" s="156">
        <f t="shared" ref="I100:I102" si="42">IF(E100="x",G100*H100,0)</f>
        <v>0</v>
      </c>
      <c r="J100" s="14"/>
      <c r="K100" s="15"/>
      <c r="L100" s="32"/>
      <c r="M100" s="86" t="str">
        <f>'Description Sheet'!K99</f>
        <v>m2</v>
      </c>
      <c r="N100" s="67">
        <f>'Description Sheet'!L99</f>
        <v>0</v>
      </c>
      <c r="O100" s="73">
        <f>'Year (2029-2030)'!O100*(('Description Sheet'!M4)+1)</f>
        <v>203.8984719646522</v>
      </c>
      <c r="P100" s="69">
        <f t="shared" ref="P100:P102" si="43">N100*O100</f>
        <v>0</v>
      </c>
      <c r="Q100" s="14"/>
      <c r="R100" s="44"/>
    </row>
    <row r="101" spans="1:18" hidden="1">
      <c r="A101" s="14"/>
      <c r="B101" s="112">
        <f>'Description Sheet'!B100</f>
        <v>7.29</v>
      </c>
      <c r="C101" s="152" t="str">
        <f>'Description Sheet'!C100</f>
        <v>blank</v>
      </c>
      <c r="D101" s="107"/>
      <c r="E101" s="153" t="str">
        <f>IF('Maintenance Schedule'!X121="x","x","")</f>
        <v/>
      </c>
      <c r="F101" s="153" t="str">
        <f t="shared" si="38"/>
        <v/>
      </c>
      <c r="G101" s="154">
        <f t="shared" si="40"/>
        <v>0</v>
      </c>
      <c r="H101" s="155">
        <f t="shared" si="41"/>
        <v>0</v>
      </c>
      <c r="I101" s="156">
        <f t="shared" si="42"/>
        <v>0</v>
      </c>
      <c r="J101" s="14"/>
      <c r="K101" s="15"/>
      <c r="L101" s="32"/>
      <c r="M101" s="86" t="str">
        <f>'Description Sheet'!K100</f>
        <v>m2</v>
      </c>
      <c r="N101" s="67">
        <f>'Description Sheet'!L100</f>
        <v>0</v>
      </c>
      <c r="O101" s="73">
        <f>'Year (2029-2030)'!O101*(('Description Sheet'!M4)+1)</f>
        <v>0</v>
      </c>
      <c r="P101" s="69">
        <f t="shared" si="43"/>
        <v>0</v>
      </c>
      <c r="Q101" s="14"/>
      <c r="R101" s="44"/>
    </row>
    <row r="102" spans="1:18" hidden="1">
      <c r="A102" s="14"/>
      <c r="B102" s="112">
        <f>'Description Sheet'!B101</f>
        <v>7.3</v>
      </c>
      <c r="C102" s="152" t="str">
        <f>'Description Sheet'!C101</f>
        <v>blank</v>
      </c>
      <c r="D102" s="107"/>
      <c r="E102" s="153" t="str">
        <f>IF('Maintenance Schedule'!X122="x","x","")</f>
        <v/>
      </c>
      <c r="F102" s="153" t="str">
        <f t="shared" si="38"/>
        <v/>
      </c>
      <c r="G102" s="154">
        <f t="shared" si="40"/>
        <v>0</v>
      </c>
      <c r="H102" s="155">
        <f t="shared" si="41"/>
        <v>0</v>
      </c>
      <c r="I102" s="156">
        <f t="shared" si="42"/>
        <v>0</v>
      </c>
      <c r="J102" s="14"/>
      <c r="K102" s="15"/>
      <c r="L102" s="32"/>
      <c r="M102" s="86" t="str">
        <f>'Description Sheet'!K101</f>
        <v>m2</v>
      </c>
      <c r="N102" s="67">
        <f>'Description Sheet'!L101</f>
        <v>0</v>
      </c>
      <c r="O102" s="73">
        <f>'Year (2029-2030)'!O102*(('Description Sheet'!M4)+1)</f>
        <v>0</v>
      </c>
      <c r="P102" s="69">
        <f t="shared" si="43"/>
        <v>0</v>
      </c>
      <c r="Q102" s="14"/>
      <c r="R102" s="44"/>
    </row>
    <row r="103" spans="1:18" ht="17" hidden="1" thickBot="1">
      <c r="A103" s="14"/>
      <c r="B103" s="109"/>
      <c r="C103" s="152"/>
      <c r="D103" s="107"/>
      <c r="E103" s="153"/>
      <c r="F103" s="154"/>
      <c r="G103" s="154"/>
      <c r="H103" s="155"/>
      <c r="I103" s="156"/>
      <c r="J103" s="14"/>
      <c r="K103" s="15"/>
      <c r="L103" s="32"/>
      <c r="M103" s="70"/>
      <c r="N103" s="67"/>
      <c r="O103" s="68"/>
      <c r="P103" s="69"/>
      <c r="Q103" s="14"/>
      <c r="R103" s="44"/>
    </row>
    <row r="104" spans="1:18" s="4" customFormat="1" ht="15.75" hidden="1" customHeight="1" thickBot="1">
      <c r="A104" s="14"/>
      <c r="B104" s="109"/>
      <c r="C104" s="115"/>
      <c r="D104" s="107"/>
      <c r="E104" s="159"/>
      <c r="F104" s="528" t="s">
        <v>7</v>
      </c>
      <c r="G104" s="529"/>
      <c r="H104" s="530">
        <f>SUM(I95:I102)</f>
        <v>0</v>
      </c>
      <c r="I104" s="531"/>
      <c r="J104" s="14"/>
      <c r="K104" s="15"/>
      <c r="L104" s="33"/>
      <c r="M104" s="508" t="s">
        <v>7</v>
      </c>
      <c r="N104" s="509"/>
      <c r="O104" s="510">
        <f>SUM(P95:P103)</f>
        <v>2733072.5095544532</v>
      </c>
      <c r="P104" s="511"/>
      <c r="Q104" s="14"/>
      <c r="R104" s="31"/>
    </row>
    <row r="105" spans="1:18" ht="17" thickBot="1">
      <c r="A105" s="14"/>
      <c r="B105" s="109">
        <f>'Description Sheet'!B104</f>
        <v>8</v>
      </c>
      <c r="C105" s="113" t="str">
        <f>'Description Sheet'!C104</f>
        <v>Communication and Service Supply Systems</v>
      </c>
      <c r="D105" s="107"/>
      <c r="E105" s="110"/>
      <c r="F105" s="110"/>
      <c r="G105" s="110"/>
      <c r="H105" s="110"/>
      <c r="I105" s="151"/>
      <c r="J105" s="32"/>
      <c r="K105" s="40"/>
      <c r="L105" s="33"/>
      <c r="M105" s="24"/>
      <c r="N105" s="25"/>
      <c r="O105" s="25"/>
      <c r="P105" s="63"/>
      <c r="Q105" s="14"/>
      <c r="R105" s="44"/>
    </row>
    <row r="106" spans="1:18" ht="17" hidden="1">
      <c r="A106" s="14"/>
      <c r="B106" s="109">
        <f>'Description Sheet'!B105</f>
        <v>8.1</v>
      </c>
      <c r="C106" s="164" t="str">
        <f>'Description Sheet'!C105</f>
        <v>Communication Systems (Service &amp; Upgrade Savings)</v>
      </c>
      <c r="D106" s="107"/>
      <c r="E106" s="153" t="str">
        <f>IF('Maintenance Schedule'!X129="x","x","")</f>
        <v/>
      </c>
      <c r="F106" s="153" t="str">
        <f>IF(E106="x","No","")</f>
        <v/>
      </c>
      <c r="G106" s="154">
        <f>IF(E106="x",1,0)</f>
        <v>0</v>
      </c>
      <c r="H106" s="155">
        <f t="shared" ref="H106:H109" si="44">IF(E106="x",P106,0)</f>
        <v>0</v>
      </c>
      <c r="I106" s="156">
        <f>IF(E106="x",G106*H106,0)</f>
        <v>0</v>
      </c>
      <c r="J106" s="14"/>
      <c r="K106" s="15"/>
      <c r="L106" s="32"/>
      <c r="M106" s="67" t="str">
        <f>'Description Sheet'!K105</f>
        <v>No</v>
      </c>
      <c r="N106" s="67">
        <f>'Description Sheet'!L105</f>
        <v>0</v>
      </c>
      <c r="O106" s="73">
        <f>'Year (2029-2030)'!O106*(('Description Sheet'!M4)+1)</f>
        <v>5879.072608314139</v>
      </c>
      <c r="P106" s="69">
        <f>N106*O106</f>
        <v>0</v>
      </c>
      <c r="Q106" s="14"/>
      <c r="R106" s="44"/>
    </row>
    <row r="107" spans="1:18" ht="17">
      <c r="A107" s="14"/>
      <c r="B107" s="109">
        <f>'Description Sheet'!B106</f>
        <v>8.1999999999999993</v>
      </c>
      <c r="C107" s="164" t="str">
        <f>'Description Sheet'!C106</f>
        <v>Intercom Systems (Replacement Maintenance/Savings)</v>
      </c>
      <c r="D107" s="107"/>
      <c r="E107" s="153" t="str">
        <f>IF('Maintenance Schedule'!X130="x","x","")</f>
        <v>x</v>
      </c>
      <c r="F107" s="153" t="str">
        <f t="shared" ref="F107:F109" si="45">IF(E107="x","No","")</f>
        <v>No</v>
      </c>
      <c r="G107" s="154">
        <f t="shared" ref="G107:G109" si="46">IF(E107="x",1,0)</f>
        <v>1</v>
      </c>
      <c r="H107" s="155">
        <f t="shared" si="44"/>
        <v>8231.9010544160556</v>
      </c>
      <c r="I107" s="156">
        <f t="shared" ref="I107:I109" si="47">IF(E107="x",G107*H107,0)</f>
        <v>8231.9010544160556</v>
      </c>
      <c r="J107" s="14"/>
      <c r="K107" s="15"/>
      <c r="L107" s="32"/>
      <c r="M107" s="67" t="str">
        <f>'Description Sheet'!K106</f>
        <v>No</v>
      </c>
      <c r="N107" s="67">
        <f>'Description Sheet'!L106</f>
        <v>1</v>
      </c>
      <c r="O107" s="73">
        <f>'Year (2029-2030)'!O107*(('Description Sheet'!M4)+1)</f>
        <v>8231.9010544160556</v>
      </c>
      <c r="P107" s="69">
        <f t="shared" ref="P107:P109" si="48">N107*O107</f>
        <v>8231.9010544160556</v>
      </c>
      <c r="Q107" s="14"/>
      <c r="R107" s="44"/>
    </row>
    <row r="108" spans="1:18" ht="17" hidden="1">
      <c r="A108" s="14"/>
      <c r="B108" s="109">
        <f>'Description Sheet'!B107</f>
        <v>8.3000000000000007</v>
      </c>
      <c r="C108" s="164" t="str">
        <f>'Description Sheet'!C107</f>
        <v xml:space="preserve">Intercom System Replacement </v>
      </c>
      <c r="D108" s="107"/>
      <c r="E108" s="153" t="str">
        <f>IF('Maintenance Schedule'!X131="x","x","")</f>
        <v/>
      </c>
      <c r="F108" s="153" t="str">
        <f t="shared" si="45"/>
        <v/>
      </c>
      <c r="G108" s="154">
        <f t="shared" si="46"/>
        <v>0</v>
      </c>
      <c r="H108" s="155">
        <f t="shared" si="44"/>
        <v>0</v>
      </c>
      <c r="I108" s="156">
        <f t="shared" si="47"/>
        <v>0</v>
      </c>
      <c r="J108" s="14"/>
      <c r="K108" s="15"/>
      <c r="L108" s="32"/>
      <c r="M108" s="67" t="str">
        <f>'Description Sheet'!K107</f>
        <v>No</v>
      </c>
      <c r="N108" s="67">
        <f>'Description Sheet'!L107</f>
        <v>1</v>
      </c>
      <c r="O108" s="73">
        <f>'Year (2029-2030)'!O108*(('Description Sheet'!M4)+1)</f>
        <v>83958.194338386194</v>
      </c>
      <c r="P108" s="69">
        <f t="shared" si="48"/>
        <v>83958.194338386194</v>
      </c>
      <c r="Q108" s="14"/>
      <c r="R108" s="44"/>
    </row>
    <row r="109" spans="1:18" ht="17" hidden="1">
      <c r="A109" s="14"/>
      <c r="B109" s="109">
        <f>'Description Sheet'!B108</f>
        <v>8.4</v>
      </c>
      <c r="C109" s="164" t="str">
        <f>'Description Sheet'!C108</f>
        <v>blank</v>
      </c>
      <c r="D109" s="107"/>
      <c r="E109" s="153" t="str">
        <f>IF('Maintenance Schedule'!X132="x","x","")</f>
        <v/>
      </c>
      <c r="F109" s="153" t="str">
        <f t="shared" si="45"/>
        <v/>
      </c>
      <c r="G109" s="154">
        <f t="shared" si="46"/>
        <v>0</v>
      </c>
      <c r="H109" s="155">
        <f t="shared" si="44"/>
        <v>0</v>
      </c>
      <c r="I109" s="156">
        <f t="shared" si="47"/>
        <v>0</v>
      </c>
      <c r="J109" s="14"/>
      <c r="K109" s="15"/>
      <c r="L109" s="32"/>
      <c r="M109" s="67" t="str">
        <f>'Description Sheet'!K108</f>
        <v>No</v>
      </c>
      <c r="N109" s="67">
        <f>'Description Sheet'!L108</f>
        <v>0</v>
      </c>
      <c r="O109" s="73">
        <f>'Year (2029-2030)'!O109*(('Description Sheet'!M4)+1)</f>
        <v>0</v>
      </c>
      <c r="P109" s="69">
        <f t="shared" si="48"/>
        <v>0</v>
      </c>
      <c r="Q109" s="14"/>
      <c r="R109" s="44"/>
    </row>
    <row r="110" spans="1:18" ht="17" thickBot="1">
      <c r="A110" s="14"/>
      <c r="B110" s="109"/>
      <c r="C110" s="164"/>
      <c r="D110" s="107"/>
      <c r="E110" s="162"/>
      <c r="F110" s="154"/>
      <c r="G110" s="154"/>
      <c r="H110" s="155"/>
      <c r="I110" s="155"/>
      <c r="J110" s="14"/>
      <c r="K110" s="15"/>
      <c r="L110" s="32"/>
      <c r="M110" s="67"/>
      <c r="N110" s="67"/>
      <c r="O110" s="73"/>
      <c r="P110" s="68"/>
      <c r="Q110" s="14"/>
      <c r="R110" s="44"/>
    </row>
    <row r="111" spans="1:18" s="4" customFormat="1" ht="15.75" customHeight="1" thickBot="1">
      <c r="A111" s="14"/>
      <c r="B111" s="109"/>
      <c r="C111" s="158"/>
      <c r="D111" s="107"/>
      <c r="E111" s="159"/>
      <c r="F111" s="528" t="s">
        <v>7</v>
      </c>
      <c r="G111" s="529"/>
      <c r="H111" s="530">
        <f>SUM(I106:I110)</f>
        <v>8231.9010544160556</v>
      </c>
      <c r="I111" s="531"/>
      <c r="J111" s="14"/>
      <c r="K111" s="15"/>
      <c r="L111" s="33"/>
      <c r="M111" s="508" t="s">
        <v>7</v>
      </c>
      <c r="N111" s="509"/>
      <c r="O111" s="510">
        <f>SUM(P106:P110)</f>
        <v>92190.09539280225</v>
      </c>
      <c r="P111" s="511"/>
      <c r="Q111" s="14"/>
      <c r="R111" s="31"/>
    </row>
    <row r="112" spans="1:18" ht="17" hidden="1" thickBot="1">
      <c r="A112" s="14"/>
      <c r="B112" s="109">
        <f>'Description Sheet'!B111</f>
        <v>9</v>
      </c>
      <c r="C112" s="113" t="str">
        <f>'Description Sheet'!C111</f>
        <v>Parking Facilities</v>
      </c>
      <c r="D112" s="107"/>
      <c r="E112" s="110"/>
      <c r="F112" s="110"/>
      <c r="G112" s="110"/>
      <c r="H112" s="110"/>
      <c r="I112" s="151"/>
      <c r="J112" s="32"/>
      <c r="K112" s="40"/>
      <c r="L112" s="33"/>
      <c r="M112" s="24"/>
      <c r="N112" s="25"/>
      <c r="O112" s="25"/>
      <c r="P112" s="63"/>
      <c r="Q112" s="14"/>
      <c r="R112" s="44"/>
    </row>
    <row r="113" spans="1:18" ht="17" hidden="1">
      <c r="A113" s="14"/>
      <c r="B113" s="109">
        <f>'Description Sheet'!B112</f>
        <v>9.1</v>
      </c>
      <c r="C113" s="164" t="str">
        <f>'Description Sheet'!C112</f>
        <v>Painting of Demarcation Lines</v>
      </c>
      <c r="D113" s="107"/>
      <c r="E113" s="153" t="str">
        <f>IF('Maintenance Schedule'!X139="x","x","")</f>
        <v/>
      </c>
      <c r="F113" s="153" t="str">
        <f>IF(E113="x","No","")</f>
        <v/>
      </c>
      <c r="G113" s="154">
        <f>IF(E113="x",1,0)</f>
        <v>0</v>
      </c>
      <c r="H113" s="155">
        <f t="shared" ref="H113:H116" si="49">IF(E113="x",P113,0)</f>
        <v>0</v>
      </c>
      <c r="I113" s="156">
        <f>IF(E113="x",G113*H113,0)</f>
        <v>0</v>
      </c>
      <c r="J113" s="14"/>
      <c r="K113" s="15"/>
      <c r="L113" s="32"/>
      <c r="M113" s="67" t="str">
        <f>'Description Sheet'!K112</f>
        <v>lm</v>
      </c>
      <c r="N113" s="67">
        <f>'Description Sheet'!L112</f>
        <v>1</v>
      </c>
      <c r="O113" s="73">
        <f>'Year (2029-2030)'!O113*(('Description Sheet'!M4)+1)</f>
        <v>12993.530076178817</v>
      </c>
      <c r="P113" s="68">
        <f>N113*O113</f>
        <v>12993.530076178817</v>
      </c>
      <c r="Q113" s="14"/>
      <c r="R113" s="44"/>
    </row>
    <row r="114" spans="1:18" ht="17" hidden="1">
      <c r="A114" s="14"/>
      <c r="B114" s="109">
        <f>'Description Sheet'!B113</f>
        <v>9.1999999999999993</v>
      </c>
      <c r="C114" s="164" t="str">
        <f>'Description Sheet'!C113</f>
        <v>Shade Port Netting (Replacement and Maintanance)</v>
      </c>
      <c r="D114" s="107"/>
      <c r="E114" s="153" t="str">
        <f>IF('Maintenance Schedule'!X140="x","x","")</f>
        <v/>
      </c>
      <c r="F114" s="153" t="str">
        <f t="shared" ref="F114:F116" si="50">IF(E114="x","No","")</f>
        <v/>
      </c>
      <c r="G114" s="154">
        <f t="shared" ref="G114:G116" si="51">IF(E114="x",1,0)</f>
        <v>0</v>
      </c>
      <c r="H114" s="155">
        <f t="shared" si="49"/>
        <v>0</v>
      </c>
      <c r="I114" s="156">
        <f t="shared" ref="I114:I116" si="52">IF(E114="x",G114*H114,0)</f>
        <v>0</v>
      </c>
      <c r="J114" s="14"/>
      <c r="K114" s="15"/>
      <c r="L114" s="32"/>
      <c r="M114" s="67" t="str">
        <f>'Description Sheet'!K113</f>
        <v>No</v>
      </c>
      <c r="N114" s="67">
        <f>'Description Sheet'!L113</f>
        <v>0</v>
      </c>
      <c r="O114" s="73">
        <f>'Year (2029-2030)'!O114*(('Description Sheet'!M4)+1)</f>
        <v>15288.387388094703</v>
      </c>
      <c r="P114" s="68">
        <f t="shared" ref="P114:P116" si="53">N114*O114</f>
        <v>0</v>
      </c>
      <c r="Q114" s="14"/>
      <c r="R114" s="44"/>
    </row>
    <row r="115" spans="1:18" ht="17" hidden="1">
      <c r="A115" s="14"/>
      <c r="B115" s="109">
        <f>'Description Sheet'!B114</f>
        <v>9.3000000000000007</v>
      </c>
      <c r="C115" s="164" t="str">
        <f>'Description Sheet'!C114</f>
        <v>Garages (Maintanance)</v>
      </c>
      <c r="D115" s="107"/>
      <c r="E115" s="153" t="str">
        <f>IF('Maintenance Schedule'!X141="x","x","")</f>
        <v/>
      </c>
      <c r="F115" s="153" t="str">
        <f t="shared" si="50"/>
        <v/>
      </c>
      <c r="G115" s="154">
        <f t="shared" si="51"/>
        <v>0</v>
      </c>
      <c r="H115" s="155">
        <f t="shared" si="49"/>
        <v>0</v>
      </c>
      <c r="I115" s="156">
        <f t="shared" si="52"/>
        <v>0</v>
      </c>
      <c r="J115" s="14"/>
      <c r="K115" s="15"/>
      <c r="L115" s="32"/>
      <c r="M115" s="67" t="str">
        <f>'Description Sheet'!K114</f>
        <v>No</v>
      </c>
      <c r="N115" s="67">
        <f>'Description Sheet'!L114</f>
        <v>0</v>
      </c>
      <c r="O115" s="73">
        <f>'Year (2029-2030)'!O115*(('Description Sheet'!M4)+1)</f>
        <v>1079.462498636394</v>
      </c>
      <c r="P115" s="68">
        <f t="shared" si="53"/>
        <v>0</v>
      </c>
      <c r="Q115" s="14"/>
      <c r="R115" s="44"/>
    </row>
    <row r="116" spans="1:18" ht="17" hidden="1">
      <c r="A116" s="14"/>
      <c r="B116" s="109">
        <f>'Description Sheet'!B115</f>
        <v>9.4</v>
      </c>
      <c r="C116" s="164" t="str">
        <f>'Description Sheet'!C115</f>
        <v>Parking Facilities</v>
      </c>
      <c r="D116" s="107"/>
      <c r="E116" s="153" t="str">
        <f>IF('Maintenance Schedule'!X142="x","x","")</f>
        <v/>
      </c>
      <c r="F116" s="153" t="str">
        <f t="shared" si="50"/>
        <v/>
      </c>
      <c r="G116" s="154">
        <f t="shared" si="51"/>
        <v>0</v>
      </c>
      <c r="H116" s="155">
        <f t="shared" si="49"/>
        <v>0</v>
      </c>
      <c r="I116" s="156">
        <f t="shared" si="52"/>
        <v>0</v>
      </c>
      <c r="J116" s="14"/>
      <c r="K116" s="15"/>
      <c r="L116" s="32"/>
      <c r="M116" s="67" t="str">
        <f>'Description Sheet'!K115</f>
        <v>No</v>
      </c>
      <c r="N116" s="67">
        <f>'Description Sheet'!L115</f>
        <v>0</v>
      </c>
      <c r="O116" s="73">
        <f>'Year (2029-2030)'!O116*(('Description Sheet'!M4)+1)</f>
        <v>9715.1624877275426</v>
      </c>
      <c r="P116" s="68">
        <f t="shared" si="53"/>
        <v>0</v>
      </c>
      <c r="Q116" s="14"/>
      <c r="R116" s="44"/>
    </row>
    <row r="117" spans="1:18" ht="17" hidden="1" thickBot="1">
      <c r="A117" s="14"/>
      <c r="B117" s="109"/>
      <c r="C117" s="164"/>
      <c r="D117" s="107"/>
      <c r="E117" s="162"/>
      <c r="F117" s="154"/>
      <c r="G117" s="154"/>
      <c r="H117" s="155"/>
      <c r="I117" s="155"/>
      <c r="J117" s="14"/>
      <c r="K117" s="15"/>
      <c r="L117" s="32"/>
      <c r="M117" s="67"/>
      <c r="N117" s="67"/>
      <c r="O117" s="73"/>
      <c r="P117" s="68"/>
      <c r="Q117" s="14"/>
      <c r="R117" s="44"/>
    </row>
    <row r="118" spans="1:18" s="4" customFormat="1" ht="15.75" hidden="1" customHeight="1" thickBot="1">
      <c r="A118" s="14"/>
      <c r="B118" s="109"/>
      <c r="C118" s="158"/>
      <c r="D118" s="107"/>
      <c r="E118" s="159"/>
      <c r="F118" s="528" t="s">
        <v>7</v>
      </c>
      <c r="G118" s="529"/>
      <c r="H118" s="530">
        <f>SUM(I113:I117)</f>
        <v>0</v>
      </c>
      <c r="I118" s="531"/>
      <c r="J118" s="14"/>
      <c r="K118" s="15"/>
      <c r="L118" s="33"/>
      <c r="M118" s="508" t="s">
        <v>7</v>
      </c>
      <c r="N118" s="509"/>
      <c r="O118" s="510">
        <f>SUM(P113:P117)</f>
        <v>12993.530076178817</v>
      </c>
      <c r="P118" s="511"/>
      <c r="Q118" s="14"/>
      <c r="R118" s="31"/>
    </row>
    <row r="119" spans="1:18" ht="17" hidden="1" thickBot="1">
      <c r="A119" s="14"/>
      <c r="B119" s="109">
        <f>'Description Sheet'!B118</f>
        <v>10</v>
      </c>
      <c r="C119" s="113" t="str">
        <f>'Description Sheet'!C118</f>
        <v>Roadways and Paved Areas</v>
      </c>
      <c r="D119" s="107"/>
      <c r="E119" s="110"/>
      <c r="F119" s="110"/>
      <c r="G119" s="110"/>
      <c r="H119" s="110"/>
      <c r="I119" s="151"/>
      <c r="J119" s="32"/>
      <c r="K119" s="40"/>
      <c r="L119" s="33"/>
      <c r="M119" s="24"/>
      <c r="N119" s="25"/>
      <c r="O119" s="25"/>
      <c r="P119" s="63"/>
      <c r="Q119" s="14"/>
      <c r="R119" s="44"/>
    </row>
    <row r="120" spans="1:18" ht="17" hidden="1">
      <c r="A120" s="14"/>
      <c r="B120" s="109">
        <f>'Description Sheet'!B119</f>
        <v>10.1</v>
      </c>
      <c r="C120" s="114" t="str">
        <f>'Description Sheet'!C119</f>
        <v>Tarmac Areas (Reinstatement)</v>
      </c>
      <c r="D120" s="107"/>
      <c r="E120" s="153" t="str">
        <f>IF('Maintenance Schedule'!X149="x","x","")</f>
        <v/>
      </c>
      <c r="F120" s="153" t="str">
        <f>IF(E120="x","No","")</f>
        <v/>
      </c>
      <c r="G120" s="154">
        <f>IF(E120="x",1,0)</f>
        <v>0</v>
      </c>
      <c r="H120" s="155">
        <f t="shared" ref="H120" si="54">IF(E120="x",P120,0)</f>
        <v>0</v>
      </c>
      <c r="I120" s="156">
        <f>IF(E120="x",G120*H120,0)</f>
        <v>0</v>
      </c>
      <c r="J120" s="14"/>
      <c r="K120" s="15"/>
      <c r="L120" s="32"/>
      <c r="M120" s="67" t="str">
        <f>'Description Sheet'!K119</f>
        <v>No</v>
      </c>
      <c r="N120" s="67">
        <f>'Description Sheet'!L119</f>
        <v>0</v>
      </c>
      <c r="O120" s="73">
        <f>'Year (2029-2030)'!O120*(('Description Sheet'!M4)+1)</f>
        <v>9715.1624877275426</v>
      </c>
      <c r="P120" s="68">
        <f>N120*O120</f>
        <v>0</v>
      </c>
      <c r="Q120" s="14"/>
      <c r="R120" s="44"/>
    </row>
    <row r="121" spans="1:18" ht="17" hidden="1">
      <c r="A121" s="14"/>
      <c r="B121" s="109">
        <f>'Description Sheet'!B120</f>
        <v>10.199999999999999</v>
      </c>
      <c r="C121" s="114" t="str">
        <f>'Description Sheet'!C120</f>
        <v>Concrete Areas (Reinstatement)</v>
      </c>
      <c r="D121" s="107"/>
      <c r="E121" s="153" t="str">
        <f>IF('Maintenance Schedule'!X150="x","x","")</f>
        <v/>
      </c>
      <c r="F121" s="153" t="str">
        <f t="shared" ref="F121:F126" si="55">IF(E121="x","No","")</f>
        <v/>
      </c>
      <c r="G121" s="154">
        <f t="shared" ref="G121:G126" si="56">IF(E121="x",1,0)</f>
        <v>0</v>
      </c>
      <c r="H121" s="155">
        <f>IF(E121="x",P121,0)</f>
        <v>0</v>
      </c>
      <c r="I121" s="156">
        <f>IF(E121="x",G121*H121,0)</f>
        <v>0</v>
      </c>
      <c r="J121" s="14"/>
      <c r="K121" s="15"/>
      <c r="L121" s="32"/>
      <c r="M121" s="67" t="str">
        <f>'Description Sheet'!K120</f>
        <v>No</v>
      </c>
      <c r="N121" s="67">
        <f>'Description Sheet'!L120</f>
        <v>1</v>
      </c>
      <c r="O121" s="73">
        <f>'Year (2029-2030)'!O121*(('Description Sheet'!M4)+1)</f>
        <v>4703.6578875767318</v>
      </c>
      <c r="P121" s="68">
        <f>N121*O121</f>
        <v>4703.6578875767318</v>
      </c>
      <c r="Q121" s="14"/>
      <c r="R121" s="44"/>
    </row>
    <row r="122" spans="1:18" ht="17" hidden="1">
      <c r="A122" s="14"/>
      <c r="B122" s="109">
        <f>'Description Sheet'!B121</f>
        <v>10.3</v>
      </c>
      <c r="C122" s="114" t="str">
        <f>'Description Sheet'!C121</f>
        <v>Paving  Areas (Reinstatement)</v>
      </c>
      <c r="D122" s="107"/>
      <c r="E122" s="153" t="str">
        <f>IF('Maintenance Schedule'!X151="x","x","")</f>
        <v/>
      </c>
      <c r="F122" s="153" t="str">
        <f t="shared" si="55"/>
        <v/>
      </c>
      <c r="G122" s="154">
        <f t="shared" si="56"/>
        <v>0</v>
      </c>
      <c r="H122" s="155">
        <f>IF(E122="x",P122,0)</f>
        <v>0</v>
      </c>
      <c r="I122" s="156">
        <f>IF(E122="x",G122*H122,0)</f>
        <v>0</v>
      </c>
      <c r="J122" s="14"/>
      <c r="K122" s="15"/>
      <c r="L122" s="32"/>
      <c r="M122" s="67" t="str">
        <f>'Description Sheet'!K121</f>
        <v>No</v>
      </c>
      <c r="N122" s="67">
        <f>'Description Sheet'!L121</f>
        <v>1</v>
      </c>
      <c r="O122" s="73">
        <f>'Year (2029-2030)'!O122*(('Description Sheet'!M4)+1)</f>
        <v>4703.6578875767318</v>
      </c>
      <c r="P122" s="68">
        <f>N122*O122</f>
        <v>4703.6578875767318</v>
      </c>
      <c r="Q122" s="14"/>
      <c r="R122" s="44"/>
    </row>
    <row r="123" spans="1:18" ht="17" hidden="1">
      <c r="A123" s="14"/>
      <c r="B123" s="109">
        <f>'Description Sheet'!B122</f>
        <v>10.4</v>
      </c>
      <c r="C123" s="114" t="str">
        <f>'Description Sheet'!C122</f>
        <v>Reinstatement of Walkways (Grouting and Tiles)</v>
      </c>
      <c r="D123" s="107"/>
      <c r="E123" s="153" t="str">
        <f>IF('Maintenance Schedule'!X152="x","x","")</f>
        <v/>
      </c>
      <c r="F123" s="153" t="str">
        <f t="shared" si="55"/>
        <v/>
      </c>
      <c r="G123" s="154">
        <f t="shared" si="56"/>
        <v>0</v>
      </c>
      <c r="H123" s="155">
        <f>IF(E123="x",P123,0)</f>
        <v>0</v>
      </c>
      <c r="I123" s="156">
        <f>IF(E123="x",G123*H123,0)</f>
        <v>0</v>
      </c>
      <c r="J123" s="14"/>
      <c r="K123" s="15"/>
      <c r="L123" s="32"/>
      <c r="M123" s="67" t="str">
        <f>'Description Sheet'!K122</f>
        <v>No</v>
      </c>
      <c r="N123" s="67">
        <f>'Description Sheet'!L122</f>
        <v>1</v>
      </c>
      <c r="O123" s="73">
        <f>'Year (2029-2030)'!O123*(('Description Sheet'!M4)+1)</f>
        <v>4703.6578875767318</v>
      </c>
      <c r="P123" s="68">
        <f>N123*O123</f>
        <v>4703.6578875767318</v>
      </c>
      <c r="Q123" s="14"/>
      <c r="R123" s="44"/>
    </row>
    <row r="124" spans="1:18" ht="17" hidden="1">
      <c r="A124" s="14"/>
      <c r="B124" s="109">
        <f>'Description Sheet'!B123</f>
        <v>10.5</v>
      </c>
      <c r="C124" s="114" t="str">
        <f>'Description Sheet'!C123</f>
        <v>Tarmac Damaged Areas (Replacement)</v>
      </c>
      <c r="D124" s="107"/>
      <c r="E124" s="153" t="str">
        <f>IF('Maintenance Schedule'!X153="x","x","")</f>
        <v/>
      </c>
      <c r="F124" s="153" t="str">
        <f t="shared" si="55"/>
        <v/>
      </c>
      <c r="G124" s="154">
        <f t="shared" si="56"/>
        <v>0</v>
      </c>
      <c r="H124" s="155">
        <f t="shared" ref="H124:H126" si="57">IF(E124="x",P124,0)</f>
        <v>0</v>
      </c>
      <c r="I124" s="156">
        <f t="shared" ref="I124:I126" si="58">IF(E124="x",G124*H124,0)</f>
        <v>0</v>
      </c>
      <c r="J124" s="14"/>
      <c r="K124" s="15"/>
      <c r="L124" s="32"/>
      <c r="M124" s="67" t="str">
        <f>'Description Sheet'!K123</f>
        <v>No</v>
      </c>
      <c r="N124" s="67">
        <f>'Description Sheet'!L123</f>
        <v>0</v>
      </c>
      <c r="O124" s="73">
        <f>'Year (2029-2030)'!O124*(('Description Sheet'!M4)+1)</f>
        <v>0</v>
      </c>
      <c r="P124" s="68">
        <f t="shared" ref="P124:P126" si="59">N124*O124</f>
        <v>0</v>
      </c>
      <c r="Q124" s="14"/>
      <c r="R124" s="44"/>
    </row>
    <row r="125" spans="1:18" ht="17" hidden="1">
      <c r="A125" s="14"/>
      <c r="B125" s="109">
        <f>'Description Sheet'!B124</f>
        <v>10.6</v>
      </c>
      <c r="C125" s="114" t="str">
        <f>'Description Sheet'!C124</f>
        <v>blank</v>
      </c>
      <c r="D125" s="107"/>
      <c r="E125" s="153" t="str">
        <f>IF('Maintenance Schedule'!X154="x","x","")</f>
        <v/>
      </c>
      <c r="F125" s="153" t="str">
        <f t="shared" si="55"/>
        <v/>
      </c>
      <c r="G125" s="154">
        <f t="shared" si="56"/>
        <v>0</v>
      </c>
      <c r="H125" s="155">
        <f t="shared" si="57"/>
        <v>0</v>
      </c>
      <c r="I125" s="156">
        <f t="shared" si="58"/>
        <v>0</v>
      </c>
      <c r="J125" s="14"/>
      <c r="K125" s="15"/>
      <c r="L125" s="32"/>
      <c r="M125" s="67" t="str">
        <f>'Description Sheet'!K124</f>
        <v>No</v>
      </c>
      <c r="N125" s="67">
        <f>'Description Sheet'!L124</f>
        <v>0</v>
      </c>
      <c r="O125" s="73">
        <f>'Year (2029-2030)'!O125*(('Description Sheet'!M4)+1)</f>
        <v>0</v>
      </c>
      <c r="P125" s="68">
        <f t="shared" si="59"/>
        <v>0</v>
      </c>
      <c r="Q125" s="14"/>
      <c r="R125" s="44"/>
    </row>
    <row r="126" spans="1:18" ht="17" hidden="1">
      <c r="A126" s="14"/>
      <c r="B126" s="109">
        <f>'Description Sheet'!B125</f>
        <v>10.7</v>
      </c>
      <c r="C126" s="114" t="str">
        <f>'Description Sheet'!C125</f>
        <v>blank</v>
      </c>
      <c r="D126" s="107"/>
      <c r="E126" s="153" t="str">
        <f>IF('Maintenance Schedule'!X155="x","x","")</f>
        <v/>
      </c>
      <c r="F126" s="153" t="str">
        <f t="shared" si="55"/>
        <v/>
      </c>
      <c r="G126" s="154">
        <f t="shared" si="56"/>
        <v>0</v>
      </c>
      <c r="H126" s="155">
        <f t="shared" si="57"/>
        <v>0</v>
      </c>
      <c r="I126" s="156">
        <f t="shared" si="58"/>
        <v>0</v>
      </c>
      <c r="J126" s="14"/>
      <c r="K126" s="15"/>
      <c r="L126" s="32"/>
      <c r="M126" s="67" t="str">
        <f>'Description Sheet'!K125</f>
        <v>No</v>
      </c>
      <c r="N126" s="67">
        <f>'Description Sheet'!L125</f>
        <v>0</v>
      </c>
      <c r="O126" s="73">
        <f>'Year (2029-2030)'!O126*(('Description Sheet'!M4)+1)</f>
        <v>0</v>
      </c>
      <c r="P126" s="68">
        <f t="shared" si="59"/>
        <v>0</v>
      </c>
      <c r="Q126" s="14"/>
      <c r="R126" s="44"/>
    </row>
    <row r="127" spans="1:18" ht="17" hidden="1" thickBot="1">
      <c r="A127" s="14"/>
      <c r="B127" s="109"/>
      <c r="C127" s="164"/>
      <c r="D127" s="107"/>
      <c r="E127" s="162"/>
      <c r="F127" s="154"/>
      <c r="G127" s="154"/>
      <c r="H127" s="155"/>
      <c r="I127" s="155"/>
      <c r="J127" s="14"/>
      <c r="K127" s="15"/>
      <c r="L127" s="32"/>
      <c r="M127" s="67"/>
      <c r="N127" s="67"/>
      <c r="O127" s="73"/>
      <c r="P127" s="68"/>
      <c r="Q127" s="14"/>
      <c r="R127" s="44"/>
    </row>
    <row r="128" spans="1:18" s="4" customFormat="1" ht="15.75" hidden="1" customHeight="1" thickBot="1">
      <c r="A128" s="14"/>
      <c r="B128" s="109"/>
      <c r="C128" s="165"/>
      <c r="D128" s="107"/>
      <c r="E128" s="159"/>
      <c r="F128" s="528" t="s">
        <v>7</v>
      </c>
      <c r="G128" s="529"/>
      <c r="H128" s="530">
        <f>SUM(I120:I127)</f>
        <v>0</v>
      </c>
      <c r="I128" s="531"/>
      <c r="J128" s="14"/>
      <c r="K128" s="15"/>
      <c r="L128" s="33"/>
      <c r="M128" s="508" t="s">
        <v>7</v>
      </c>
      <c r="N128" s="509"/>
      <c r="O128" s="510">
        <f>SUM(P120:P127)</f>
        <v>14110.973662730195</v>
      </c>
      <c r="P128" s="511"/>
      <c r="Q128" s="14"/>
      <c r="R128" s="31"/>
    </row>
    <row r="129" spans="1:23" ht="17" thickBot="1">
      <c r="A129" s="14"/>
      <c r="B129" s="109">
        <f>'Description Sheet'!B128</f>
        <v>11</v>
      </c>
      <c r="C129" s="113" t="str">
        <f>'Description Sheet'!C128</f>
        <v>Security Systems and Facilities</v>
      </c>
      <c r="D129" s="107"/>
      <c r="E129" s="110"/>
      <c r="F129" s="110"/>
      <c r="G129" s="110"/>
      <c r="H129" s="110"/>
      <c r="I129" s="151"/>
      <c r="J129" s="32"/>
      <c r="K129" s="40"/>
      <c r="L129" s="33"/>
      <c r="M129" s="24"/>
      <c r="N129" s="25"/>
      <c r="O129" s="25"/>
      <c r="P129" s="63"/>
      <c r="Q129" s="14"/>
      <c r="R129" s="44"/>
    </row>
    <row r="130" spans="1:23" ht="17">
      <c r="A130" s="14"/>
      <c r="B130" s="109">
        <f>'Description Sheet'!B129</f>
        <v>11.1</v>
      </c>
      <c r="C130" s="164" t="str">
        <f>'Description Sheet'!C129</f>
        <v>Security Equipment (Replacement/Upgrade Savings)</v>
      </c>
      <c r="D130" s="107"/>
      <c r="E130" s="153" t="str">
        <f>IF('Maintenance Schedule'!X162="x","x","")</f>
        <v>x</v>
      </c>
      <c r="F130" s="153" t="str">
        <f>IF(E130="x","No","")</f>
        <v>No</v>
      </c>
      <c r="G130" s="154">
        <f>IF(E130="x",1,0)</f>
        <v>1</v>
      </c>
      <c r="H130" s="155">
        <f t="shared" ref="H130:H133" si="60">IF(E130="x",P130,0)</f>
        <v>12993.530076178817</v>
      </c>
      <c r="I130" s="156">
        <f>IF(E130="x",G130*H130,0)</f>
        <v>12993.530076178817</v>
      </c>
      <c r="J130" s="14"/>
      <c r="K130" s="15"/>
      <c r="L130" s="32"/>
      <c r="M130" s="67" t="str">
        <f>'Description Sheet'!K129</f>
        <v>No</v>
      </c>
      <c r="N130" s="67">
        <f>'Description Sheet'!L129</f>
        <v>1</v>
      </c>
      <c r="O130" s="73">
        <f>'Year (2029-2030)'!O130*(('Description Sheet'!M4)+1)</f>
        <v>12993.530076178817</v>
      </c>
      <c r="P130" s="68">
        <f>N130*O130</f>
        <v>12993.530076178817</v>
      </c>
      <c r="Q130" s="14"/>
      <c r="R130" s="44"/>
    </row>
    <row r="131" spans="1:23" ht="17" hidden="1">
      <c r="A131" s="14"/>
      <c r="B131" s="109">
        <f>'Description Sheet'!B130</f>
        <v>11.2</v>
      </c>
      <c r="C131" s="164" t="str">
        <f>'Description Sheet'!C130</f>
        <v>CCTV Installation</v>
      </c>
      <c r="D131" s="107"/>
      <c r="E131" s="153" t="str">
        <f>IF('Maintenance Schedule'!X163="x","x","")</f>
        <v/>
      </c>
      <c r="F131" s="153" t="str">
        <f t="shared" ref="F131:F133" si="61">IF(E131="x","No","")</f>
        <v/>
      </c>
      <c r="G131" s="154">
        <f t="shared" ref="G131:G133" si="62">IF(E131="x",1,0)</f>
        <v>0</v>
      </c>
      <c r="H131" s="155">
        <f t="shared" si="60"/>
        <v>0</v>
      </c>
      <c r="I131" s="156">
        <f t="shared" ref="I131:I133" si="63">IF(E131="x",G131*H131,0)</f>
        <v>0</v>
      </c>
      <c r="J131" s="14"/>
      <c r="K131" s="15"/>
      <c r="L131" s="32"/>
      <c r="M131" s="67" t="str">
        <f>'Description Sheet'!K130</f>
        <v>No</v>
      </c>
      <c r="N131" s="67">
        <f>'Description Sheet'!L130</f>
        <v>1</v>
      </c>
      <c r="O131" s="73">
        <f>'Year (2029-2030)'!O131*(('Description Sheet'!M4)+1)</f>
        <v>83958.194338386194</v>
      </c>
      <c r="P131" s="68">
        <f t="shared" ref="P131:P133" si="64">N131*O131</f>
        <v>83958.194338386194</v>
      </c>
      <c r="Q131" s="14"/>
      <c r="R131" s="44"/>
    </row>
    <row r="132" spans="1:23" ht="17" hidden="1">
      <c r="A132" s="14"/>
      <c r="B132" s="109">
        <f>'Description Sheet'!B131</f>
        <v>11.3</v>
      </c>
      <c r="C132" s="164" t="str">
        <f>'Description Sheet'!C131</f>
        <v>blank</v>
      </c>
      <c r="D132" s="107"/>
      <c r="E132" s="153" t="str">
        <f>IF('Maintenance Schedule'!X164="x","x","")</f>
        <v/>
      </c>
      <c r="F132" s="153" t="str">
        <f t="shared" si="61"/>
        <v/>
      </c>
      <c r="G132" s="154">
        <f t="shared" si="62"/>
        <v>0</v>
      </c>
      <c r="H132" s="155">
        <f t="shared" si="60"/>
        <v>0</v>
      </c>
      <c r="I132" s="156">
        <f t="shared" si="63"/>
        <v>0</v>
      </c>
      <c r="J132" s="14"/>
      <c r="K132" s="15"/>
      <c r="L132" s="32"/>
      <c r="M132" s="67" t="str">
        <f>'Description Sheet'!K131</f>
        <v>No</v>
      </c>
      <c r="N132" s="67">
        <f>'Description Sheet'!L131</f>
        <v>0</v>
      </c>
      <c r="O132" s="73">
        <f>'Year (2029-2030)'!O132*(('Description Sheet'!M4)+1)</f>
        <v>0</v>
      </c>
      <c r="P132" s="68">
        <f t="shared" si="64"/>
        <v>0</v>
      </c>
      <c r="Q132" s="14"/>
      <c r="R132" s="44"/>
    </row>
    <row r="133" spans="1:23" ht="17" hidden="1">
      <c r="A133" s="14"/>
      <c r="B133" s="109">
        <f>'Description Sheet'!B132</f>
        <v>11.4</v>
      </c>
      <c r="C133" s="164" t="str">
        <f>'Description Sheet'!C132</f>
        <v>blank</v>
      </c>
      <c r="D133" s="107"/>
      <c r="E133" s="153" t="str">
        <f>IF('Maintenance Schedule'!X165="x","x","")</f>
        <v/>
      </c>
      <c r="F133" s="153" t="str">
        <f t="shared" si="61"/>
        <v/>
      </c>
      <c r="G133" s="154">
        <f t="shared" si="62"/>
        <v>0</v>
      </c>
      <c r="H133" s="155">
        <f t="shared" si="60"/>
        <v>0</v>
      </c>
      <c r="I133" s="156">
        <f t="shared" si="63"/>
        <v>0</v>
      </c>
      <c r="J133" s="14"/>
      <c r="K133" s="15"/>
      <c r="L133" s="32"/>
      <c r="M133" s="67" t="str">
        <f>'Description Sheet'!K132</f>
        <v>No</v>
      </c>
      <c r="N133" s="67">
        <f>'Description Sheet'!L132</f>
        <v>0</v>
      </c>
      <c r="O133" s="73">
        <f>'Year (2029-2030)'!O133*(('Description Sheet'!M4)+1)</f>
        <v>0</v>
      </c>
      <c r="P133" s="68">
        <f t="shared" si="64"/>
        <v>0</v>
      </c>
      <c r="Q133" s="14"/>
      <c r="R133" s="44"/>
    </row>
    <row r="134" spans="1:23" ht="17" thickBot="1">
      <c r="A134" s="14"/>
      <c r="B134" s="109"/>
      <c r="C134" s="164"/>
      <c r="D134" s="107"/>
      <c r="E134" s="162"/>
      <c r="F134" s="154"/>
      <c r="G134" s="154"/>
      <c r="H134" s="155"/>
      <c r="I134" s="155"/>
      <c r="J134" s="14"/>
      <c r="K134" s="15"/>
      <c r="L134" s="32"/>
      <c r="M134" s="67"/>
      <c r="N134" s="67"/>
      <c r="O134" s="73"/>
      <c r="P134" s="68"/>
      <c r="Q134" s="14"/>
      <c r="R134" s="44"/>
    </row>
    <row r="135" spans="1:23" s="4" customFormat="1" ht="15.75" customHeight="1" thickBot="1">
      <c r="A135" s="14"/>
      <c r="B135" s="109"/>
      <c r="C135" s="158"/>
      <c r="D135" s="107"/>
      <c r="E135" s="159"/>
      <c r="F135" s="528" t="s">
        <v>7</v>
      </c>
      <c r="G135" s="529"/>
      <c r="H135" s="530">
        <f>SUM(I130:I134)</f>
        <v>12993.530076178817</v>
      </c>
      <c r="I135" s="531"/>
      <c r="J135" s="14"/>
      <c r="K135" s="15"/>
      <c r="L135" s="33"/>
      <c r="M135" s="508" t="s">
        <v>7</v>
      </c>
      <c r="N135" s="509"/>
      <c r="O135" s="510">
        <f>SUM(P130:P134)</f>
        <v>96951.724414565018</v>
      </c>
      <c r="P135" s="511"/>
      <c r="Q135" s="14"/>
      <c r="R135" s="31"/>
    </row>
    <row r="136" spans="1:23" ht="17" thickBot="1">
      <c r="A136" s="14"/>
      <c r="B136" s="109">
        <f>'Description Sheet'!B135</f>
        <v>12</v>
      </c>
      <c r="C136" s="113" t="str">
        <f>'Description Sheet'!C135</f>
        <v>Community and Recreational Facilities</v>
      </c>
      <c r="D136" s="107"/>
      <c r="E136" s="110"/>
      <c r="F136" s="110"/>
      <c r="G136" s="110"/>
      <c r="H136" s="110"/>
      <c r="I136" s="151"/>
      <c r="J136" s="32"/>
      <c r="K136" s="40"/>
      <c r="L136" s="33"/>
      <c r="M136" s="24"/>
      <c r="N136" s="25"/>
      <c r="O136" s="25"/>
      <c r="P136" s="63"/>
      <c r="Q136" s="14"/>
      <c r="R136" s="44"/>
    </row>
    <row r="137" spans="1:23">
      <c r="A137" s="14"/>
      <c r="B137" s="109">
        <f>'Description Sheet'!B136</f>
        <v>12.1</v>
      </c>
      <c r="C137" s="111" t="str">
        <f>'Description Sheet'!C136</f>
        <v>Fire Equipment and Signage (Replace)</v>
      </c>
      <c r="D137" s="107"/>
      <c r="E137" s="153" t="str">
        <f>IF('Maintenance Schedule'!X172="x","x","")</f>
        <v>x</v>
      </c>
      <c r="F137" s="153" t="str">
        <f>IF(E137="x","No","")</f>
        <v>No</v>
      </c>
      <c r="G137" s="154">
        <f>IF(E137="x",1,0)</f>
        <v>1</v>
      </c>
      <c r="H137" s="155">
        <f>IF(E137="x",P137,0)</f>
        <v>5997.013881313299</v>
      </c>
      <c r="I137" s="156">
        <f>IF(E137="x",G137*H137,0)</f>
        <v>5997.013881313299</v>
      </c>
      <c r="J137" s="14"/>
      <c r="K137" s="15"/>
      <c r="L137" s="32"/>
      <c r="M137" s="67" t="str">
        <f>'Description Sheet'!K136</f>
        <v>No</v>
      </c>
      <c r="N137" s="67">
        <f>'Description Sheet'!L136</f>
        <v>1</v>
      </c>
      <c r="O137" s="73">
        <f>'Year (2029-2030)'!O137*(('Description Sheet'!M4)+1)</f>
        <v>5997.013881313299</v>
      </c>
      <c r="P137" s="68">
        <f>N137*O137</f>
        <v>5997.013881313299</v>
      </c>
      <c r="Q137" s="14"/>
      <c r="R137" s="44"/>
      <c r="W137" s="1"/>
    </row>
    <row r="138" spans="1:23" hidden="1">
      <c r="A138" s="14"/>
      <c r="B138" s="109">
        <f>'Description Sheet'!B137</f>
        <v>12.2</v>
      </c>
      <c r="C138" s="111" t="str">
        <f>'Description Sheet'!C137</f>
        <v>Communal Areas (Pool, Gym Areas, ablutions etc Upgrade/Replacment of Fixtures &amp; Equipment)</v>
      </c>
      <c r="D138" s="107"/>
      <c r="E138" s="153" t="str">
        <f>IF('Maintenance Schedule'!X173="x","x","")</f>
        <v/>
      </c>
      <c r="F138" s="153" t="str">
        <f t="shared" ref="F138:F144" si="65">IF(E138="x","No","")</f>
        <v/>
      </c>
      <c r="G138" s="154">
        <f t="shared" ref="G138:G144" si="66">IF(E138="x",1,0)</f>
        <v>0</v>
      </c>
      <c r="H138" s="155">
        <f>IF(E138="x",P138,0)</f>
        <v>0</v>
      </c>
      <c r="I138" s="156">
        <f>IF(E138="x",G138*H138,0)</f>
        <v>0</v>
      </c>
      <c r="J138" s="14"/>
      <c r="K138" s="15"/>
      <c r="L138" s="32"/>
      <c r="M138" s="67" t="str">
        <f>'Description Sheet'!K137</f>
        <v>No</v>
      </c>
      <c r="N138" s="67">
        <f>'Description Sheet'!L137</f>
        <v>0</v>
      </c>
      <c r="O138" s="73">
        <f>'Year (2029-2030)'!O138*(('Description Sheet'!M4)+1)</f>
        <v>15288.387388094703</v>
      </c>
      <c r="P138" s="68">
        <f>N138*O138</f>
        <v>0</v>
      </c>
      <c r="Q138" s="14"/>
      <c r="R138" s="44"/>
    </row>
    <row r="139" spans="1:23" hidden="1">
      <c r="A139" s="14"/>
      <c r="B139" s="109">
        <f>'Description Sheet'!B138</f>
        <v>12.3</v>
      </c>
      <c r="C139" s="111" t="str">
        <f>'Description Sheet'!C138</f>
        <v>Laundry Room (Maintain/Replace)</v>
      </c>
      <c r="D139" s="107"/>
      <c r="E139" s="153" t="str">
        <f>IF('Maintenance Schedule'!X174="x","x","")</f>
        <v/>
      </c>
      <c r="F139" s="153" t="str">
        <f t="shared" si="65"/>
        <v/>
      </c>
      <c r="G139" s="154">
        <f t="shared" si="66"/>
        <v>0</v>
      </c>
      <c r="H139" s="155">
        <f>IF(E139="x",P139,0)</f>
        <v>0</v>
      </c>
      <c r="I139" s="156">
        <f>IF(E139="x",G139*H139,0)</f>
        <v>0</v>
      </c>
      <c r="J139" s="14"/>
      <c r="K139" s="15"/>
      <c r="L139" s="32"/>
      <c r="M139" s="67" t="str">
        <f>'Description Sheet'!K138</f>
        <v>lm</v>
      </c>
      <c r="N139" s="67">
        <f>'Description Sheet'!L138</f>
        <v>0</v>
      </c>
      <c r="O139" s="73">
        <f>'Year (2029-2030)'!O139*(('Description Sheet'!M4)+1)</f>
        <v>5879.072608314139</v>
      </c>
      <c r="P139" s="68">
        <f>N139*O139</f>
        <v>0</v>
      </c>
      <c r="Q139" s="14"/>
      <c r="R139" s="44"/>
    </row>
    <row r="140" spans="1:23" hidden="1">
      <c r="A140" s="14"/>
      <c r="B140" s="109">
        <f>'Description Sheet'!B139</f>
        <v>12.4</v>
      </c>
      <c r="C140" s="111" t="str">
        <f>'Description Sheet'!C139</f>
        <v>Bin Room</v>
      </c>
      <c r="D140" s="107"/>
      <c r="E140" s="153" t="str">
        <f>IF('Maintenance Schedule'!X175="x","x","")</f>
        <v/>
      </c>
      <c r="F140" s="153" t="str">
        <f t="shared" si="65"/>
        <v/>
      </c>
      <c r="G140" s="154">
        <f t="shared" si="66"/>
        <v>0</v>
      </c>
      <c r="H140" s="155">
        <f>IF(E140="x",P140,0)</f>
        <v>0</v>
      </c>
      <c r="I140" s="156">
        <f>IF(E140="x",G140*H140,0)</f>
        <v>0</v>
      </c>
      <c r="J140" s="14"/>
      <c r="K140" s="15"/>
      <c r="L140" s="32"/>
      <c r="M140" s="67" t="str">
        <f>'Description Sheet'!K139</f>
        <v>No</v>
      </c>
      <c r="N140" s="67">
        <f>'Description Sheet'!L139</f>
        <v>0</v>
      </c>
      <c r="O140" s="73">
        <f>'Year (2029-2030)'!O140*(('Description Sheet'!M4)+1)</f>
        <v>7556.2374904547569</v>
      </c>
      <c r="P140" s="68">
        <f>N140*O140</f>
        <v>0</v>
      </c>
      <c r="Q140" s="14"/>
      <c r="R140" s="44"/>
    </row>
    <row r="141" spans="1:23" hidden="1">
      <c r="A141" s="14"/>
      <c r="B141" s="109">
        <f>'Description Sheet'!B140</f>
        <v>12.5</v>
      </c>
      <c r="C141" s="111" t="str">
        <f>'Description Sheet'!C140</f>
        <v>Pool Area (Re-Surfacing)</v>
      </c>
      <c r="D141" s="107"/>
      <c r="E141" s="153" t="str">
        <f>IF('Maintenance Schedule'!X176="x","x","")</f>
        <v/>
      </c>
      <c r="F141" s="153" t="str">
        <f t="shared" si="65"/>
        <v/>
      </c>
      <c r="G141" s="154">
        <f t="shared" si="66"/>
        <v>0</v>
      </c>
      <c r="H141" s="155">
        <f>IF(E141="x",P141,0)</f>
        <v>0</v>
      </c>
      <c r="I141" s="156">
        <f>IF(E141="x",G141*H141,0)</f>
        <v>0</v>
      </c>
      <c r="J141" s="14"/>
      <c r="K141" s="15"/>
      <c r="L141" s="32"/>
      <c r="M141" s="67" t="str">
        <f>'Description Sheet'!K140</f>
        <v>No</v>
      </c>
      <c r="N141" s="67">
        <f>'Description Sheet'!L140</f>
        <v>0</v>
      </c>
      <c r="O141" s="73">
        <f>'Year (2029-2030)'!O141*(('Description Sheet'!M4)+1)</f>
        <v>33743.198105522832</v>
      </c>
      <c r="P141" s="68">
        <f>N141*O141</f>
        <v>0</v>
      </c>
      <c r="Q141" s="14"/>
      <c r="R141" s="44"/>
    </row>
    <row r="142" spans="1:23" hidden="1">
      <c r="A142" s="14"/>
      <c r="B142" s="109">
        <f>'Description Sheet'!B141</f>
        <v>12.6</v>
      </c>
      <c r="C142" s="111" t="str">
        <f>'Description Sheet'!C141</f>
        <v>Pool Area (Maintenance/Repairs Savings)</v>
      </c>
      <c r="D142" s="107"/>
      <c r="E142" s="153" t="str">
        <f>IF('Maintenance Schedule'!X177="x","x","")</f>
        <v/>
      </c>
      <c r="F142" s="153" t="str">
        <f t="shared" si="65"/>
        <v/>
      </c>
      <c r="G142" s="154">
        <f t="shared" si="66"/>
        <v>0</v>
      </c>
      <c r="H142" s="155">
        <f t="shared" ref="H142:H144" si="67">IF(E142="x",P142,0)</f>
        <v>0</v>
      </c>
      <c r="I142" s="156">
        <f t="shared" ref="I142:I144" si="68">IF(E142="x",G142*H142,0)</f>
        <v>0</v>
      </c>
      <c r="J142" s="14"/>
      <c r="K142" s="15"/>
      <c r="L142" s="32"/>
      <c r="M142" s="67" t="str">
        <f>'Description Sheet'!K141</f>
        <v>No</v>
      </c>
      <c r="N142" s="67">
        <f>'Description Sheet'!L141</f>
        <v>0</v>
      </c>
      <c r="O142" s="73">
        <f>'Year (2029-2030)'!O142*(('Description Sheet'!M4)+1)</f>
        <v>7356.3370277443146</v>
      </c>
      <c r="P142" s="68">
        <f t="shared" ref="P142:P144" si="69">N142*O142</f>
        <v>0</v>
      </c>
      <c r="Q142" s="14"/>
      <c r="R142" s="44"/>
    </row>
    <row r="143" spans="1:23" hidden="1">
      <c r="A143" s="14"/>
      <c r="B143" s="109">
        <f>'Description Sheet'!B142</f>
        <v>12.7</v>
      </c>
      <c r="C143" s="111" t="str">
        <f>'Description Sheet'!C142</f>
        <v>blank</v>
      </c>
      <c r="D143" s="107"/>
      <c r="E143" s="153" t="str">
        <f>IF('Maintenance Schedule'!X178="x","x","")</f>
        <v/>
      </c>
      <c r="F143" s="153" t="str">
        <f t="shared" si="65"/>
        <v/>
      </c>
      <c r="G143" s="154">
        <f t="shared" si="66"/>
        <v>0</v>
      </c>
      <c r="H143" s="155">
        <f t="shared" si="67"/>
        <v>0</v>
      </c>
      <c r="I143" s="156">
        <f t="shared" si="68"/>
        <v>0</v>
      </c>
      <c r="J143" s="14"/>
      <c r="K143" s="15"/>
      <c r="L143" s="32"/>
      <c r="M143" s="67" t="str">
        <f>'Description Sheet'!K142</f>
        <v>No</v>
      </c>
      <c r="N143" s="67">
        <f>'Description Sheet'!L142</f>
        <v>0</v>
      </c>
      <c r="O143" s="73">
        <f>'Year (2029-2030)'!O143*(('Description Sheet'!M4)+1)</f>
        <v>0</v>
      </c>
      <c r="P143" s="68">
        <f t="shared" si="69"/>
        <v>0</v>
      </c>
      <c r="Q143" s="14"/>
      <c r="R143" s="44"/>
    </row>
    <row r="144" spans="1:23" hidden="1">
      <c r="A144" s="14"/>
      <c r="B144" s="109">
        <f>'Description Sheet'!B143</f>
        <v>12.8</v>
      </c>
      <c r="C144" s="111" t="str">
        <f>'Description Sheet'!C143</f>
        <v>blank</v>
      </c>
      <c r="D144" s="107"/>
      <c r="E144" s="153" t="str">
        <f>IF('Maintenance Schedule'!X179="x","x","")</f>
        <v/>
      </c>
      <c r="F144" s="153" t="str">
        <f t="shared" si="65"/>
        <v/>
      </c>
      <c r="G144" s="154">
        <f t="shared" si="66"/>
        <v>0</v>
      </c>
      <c r="H144" s="155">
        <f t="shared" si="67"/>
        <v>0</v>
      </c>
      <c r="I144" s="156">
        <f t="shared" si="68"/>
        <v>0</v>
      </c>
      <c r="J144" s="14"/>
      <c r="K144" s="15"/>
      <c r="L144" s="32"/>
      <c r="M144" s="67" t="str">
        <f>'Description Sheet'!K143</f>
        <v>No</v>
      </c>
      <c r="N144" s="67">
        <f>'Description Sheet'!L143</f>
        <v>0</v>
      </c>
      <c r="O144" s="73">
        <f>'Year (2029-2030)'!O144*(('Description Sheet'!M4)+1)</f>
        <v>0</v>
      </c>
      <c r="P144" s="68">
        <f t="shared" si="69"/>
        <v>0</v>
      </c>
      <c r="Q144" s="14"/>
      <c r="R144" s="44"/>
    </row>
    <row r="145" spans="1:72" ht="17" thickBot="1">
      <c r="A145" s="14"/>
      <c r="B145" s="105"/>
      <c r="C145" s="111"/>
      <c r="D145" s="107"/>
      <c r="E145" s="153"/>
      <c r="F145" s="153" t="str">
        <f>IF(E145="x",M145,"")</f>
        <v/>
      </c>
      <c r="G145" s="154"/>
      <c r="H145" s="155"/>
      <c r="I145" s="166"/>
      <c r="J145" s="14"/>
      <c r="K145" s="15"/>
      <c r="L145" s="32"/>
      <c r="M145" s="67"/>
      <c r="N145" s="78"/>
      <c r="O145" s="77"/>
      <c r="P145" s="79"/>
      <c r="Q145" s="14"/>
      <c r="R145" s="44"/>
    </row>
    <row r="146" spans="1:72" s="4" customFormat="1" ht="15.75" customHeight="1" thickBot="1">
      <c r="A146" s="14"/>
      <c r="B146" s="105"/>
      <c r="C146" s="115"/>
      <c r="D146" s="107"/>
      <c r="E146" s="163"/>
      <c r="F146" s="528" t="s">
        <v>7</v>
      </c>
      <c r="G146" s="529"/>
      <c r="H146" s="530">
        <f>SUM(I137:I144)</f>
        <v>5997.013881313299</v>
      </c>
      <c r="I146" s="531"/>
      <c r="J146" s="14"/>
      <c r="K146" s="15"/>
      <c r="L146" s="33"/>
      <c r="M146" s="508" t="s">
        <v>7</v>
      </c>
      <c r="N146" s="509"/>
      <c r="O146" s="510">
        <f>SUM(P137:P144)</f>
        <v>5997.013881313299</v>
      </c>
      <c r="P146" s="511"/>
      <c r="Q146" s="14"/>
      <c r="R146" s="31"/>
    </row>
    <row r="147" spans="1:72" ht="7.5" customHeight="1" thickBot="1">
      <c r="A147" s="14" t="s">
        <v>57</v>
      </c>
      <c r="B147" s="105"/>
      <c r="C147" s="196"/>
      <c r="D147" s="197"/>
      <c r="E147" s="197"/>
      <c r="F147" s="197"/>
      <c r="G147" s="197"/>
      <c r="H147" s="197"/>
      <c r="I147" s="197"/>
      <c r="J147" s="197"/>
      <c r="K147" s="198"/>
      <c r="L147" s="199"/>
      <c r="M147" s="199"/>
      <c r="N147" s="199"/>
      <c r="O147" s="197"/>
      <c r="P147" s="200"/>
      <c r="Q147" s="14"/>
      <c r="R147" s="44"/>
    </row>
    <row r="148" spans="1:72" ht="17" thickBot="1">
      <c r="A148" s="14" t="s">
        <v>57</v>
      </c>
      <c r="B148" s="116"/>
      <c r="C148" s="167" t="s">
        <v>9</v>
      </c>
      <c r="D148" s="168"/>
      <c r="E148" s="553" t="s">
        <v>7</v>
      </c>
      <c r="F148" s="554"/>
      <c r="G148" s="555"/>
      <c r="H148" s="530">
        <f>H16+H26+H34+H41+H48+H68+H93+H111+H118+H128+H135++H146+H104</f>
        <v>3790108.3751798254</v>
      </c>
      <c r="I148" s="531"/>
      <c r="J148" s="14"/>
      <c r="K148" s="35"/>
      <c r="L148" s="34"/>
      <c r="M148" s="87"/>
      <c r="N148" s="87"/>
      <c r="O148" s="87"/>
      <c r="P148" s="88"/>
      <c r="Q148" s="14"/>
      <c r="R148" s="44"/>
    </row>
    <row r="149" spans="1:72" ht="17.25" customHeight="1">
      <c r="A149" s="14"/>
      <c r="B149" s="478" t="str">
        <f>'Description Sheet'!B148</f>
        <v>Please Note: The above figures are estimates only based on our experience, measures taken and current rates.  An 8% escalation has been allowed for per anum .  This pricing includes 15% VAT.  Some rates have furthermore been adjusted to try and accommodate P&amp;G's.  An allowance for THC to undertake an annual inspection in order to update the maintenance plan and budget should be allowed for.</v>
      </c>
      <c r="C149" s="479"/>
      <c r="D149" s="479"/>
      <c r="E149" s="479"/>
      <c r="F149" s="479"/>
      <c r="G149" s="479"/>
      <c r="H149" s="479"/>
      <c r="I149" s="480"/>
      <c r="J149" s="14"/>
      <c r="K149" s="40"/>
      <c r="L149" s="14"/>
      <c r="M149" s="89"/>
      <c r="N149" s="89"/>
      <c r="O149" s="89"/>
      <c r="P149" s="89"/>
      <c r="Q149" s="14"/>
      <c r="R149" s="89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</row>
    <row r="150" spans="1:72">
      <c r="A150" s="14"/>
      <c r="B150" s="534"/>
      <c r="C150" s="535"/>
      <c r="D150" s="535"/>
      <c r="E150" s="535"/>
      <c r="F150" s="535"/>
      <c r="G150" s="535"/>
      <c r="H150" s="535"/>
      <c r="I150" s="536"/>
      <c r="J150" s="14"/>
      <c r="K150" s="40"/>
      <c r="L150" s="14"/>
      <c r="M150" s="89"/>
      <c r="N150" s="89"/>
      <c r="O150" s="89"/>
      <c r="P150" s="89"/>
      <c r="Q150" s="14"/>
      <c r="R150" s="89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</row>
    <row r="151" spans="1:72" ht="25.5" customHeight="1">
      <c r="A151" s="14"/>
      <c r="B151" s="534"/>
      <c r="C151" s="535"/>
      <c r="D151" s="535"/>
      <c r="E151" s="535"/>
      <c r="F151" s="535"/>
      <c r="G151" s="535"/>
      <c r="H151" s="535"/>
      <c r="I151" s="536"/>
      <c r="J151" s="14"/>
      <c r="K151" s="31"/>
      <c r="L151" s="14"/>
      <c r="M151" s="44"/>
      <c r="N151" s="44"/>
      <c r="O151" s="44"/>
      <c r="P151" s="44"/>
      <c r="Q151" s="14"/>
      <c r="R151" s="44"/>
    </row>
    <row r="152" spans="1:72">
      <c r="A152" s="44"/>
      <c r="B152" s="172"/>
      <c r="C152" s="117"/>
      <c r="D152" s="117"/>
      <c r="E152" s="139"/>
      <c r="F152" s="117"/>
      <c r="G152" s="117"/>
      <c r="H152" s="117"/>
      <c r="I152" s="117"/>
      <c r="J152" s="44"/>
      <c r="K152" s="31"/>
      <c r="L152" s="44"/>
      <c r="M152" s="44"/>
      <c r="N152" s="44"/>
      <c r="O152" s="44"/>
      <c r="P152" s="44"/>
      <c r="Q152" s="44"/>
      <c r="R152" s="44"/>
    </row>
  </sheetData>
  <sheetProtection algorithmName="SHA-512" hashValue="11tnUDGE9pZSyH8qZkLLG0UTInEPIJRvY2Uz3eGHpOtb4hlnKf8/93N+do3IB4gteJqISm3TMJggHsk3A2YgnA==" saltValue="SgbtQ+0IUaR7FRRMpvN/gw==" spinCount="100000" sheet="1" objects="1" scenarios="1"/>
  <mergeCells count="60">
    <mergeCell ref="F26:G26"/>
    <mergeCell ref="H26:I26"/>
    <mergeCell ref="B2:F3"/>
    <mergeCell ref="B4:I4"/>
    <mergeCell ref="E5:I5"/>
    <mergeCell ref="F16:G16"/>
    <mergeCell ref="H16:I16"/>
    <mergeCell ref="M26:N26"/>
    <mergeCell ref="O26:P26"/>
    <mergeCell ref="M2:P3"/>
    <mergeCell ref="M7:P7"/>
    <mergeCell ref="M16:N16"/>
    <mergeCell ref="O16:P16"/>
    <mergeCell ref="F104:G104"/>
    <mergeCell ref="H104:I104"/>
    <mergeCell ref="M104:N104"/>
    <mergeCell ref="O104:P104"/>
    <mergeCell ref="F93:G93"/>
    <mergeCell ref="H93:I93"/>
    <mergeCell ref="M93:N93"/>
    <mergeCell ref="O93:P93"/>
    <mergeCell ref="F34:G34"/>
    <mergeCell ref="H34:I34"/>
    <mergeCell ref="M34:N34"/>
    <mergeCell ref="O34:P34"/>
    <mergeCell ref="F41:G41"/>
    <mergeCell ref="H41:I41"/>
    <mergeCell ref="M41:N41"/>
    <mergeCell ref="O41:P41"/>
    <mergeCell ref="F48:G48"/>
    <mergeCell ref="H48:I48"/>
    <mergeCell ref="M48:N48"/>
    <mergeCell ref="O48:P48"/>
    <mergeCell ref="F68:G68"/>
    <mergeCell ref="H68:I68"/>
    <mergeCell ref="M68:N68"/>
    <mergeCell ref="O68:P68"/>
    <mergeCell ref="F111:G111"/>
    <mergeCell ref="H111:I111"/>
    <mergeCell ref="M111:N111"/>
    <mergeCell ref="O111:P111"/>
    <mergeCell ref="F118:G118"/>
    <mergeCell ref="H118:I118"/>
    <mergeCell ref="M118:N118"/>
    <mergeCell ref="O118:P118"/>
    <mergeCell ref="M146:N146"/>
    <mergeCell ref="O146:P146"/>
    <mergeCell ref="F128:G128"/>
    <mergeCell ref="H128:I128"/>
    <mergeCell ref="M128:N128"/>
    <mergeCell ref="O128:P128"/>
    <mergeCell ref="F135:G135"/>
    <mergeCell ref="H135:I135"/>
    <mergeCell ref="M135:N135"/>
    <mergeCell ref="O135:P135"/>
    <mergeCell ref="E148:G148"/>
    <mergeCell ref="H148:I148"/>
    <mergeCell ref="B149:I151"/>
    <mergeCell ref="F146:G146"/>
    <mergeCell ref="H146:I146"/>
  </mergeCells>
  <conditionalFormatting sqref="E18:E24 E9:E15">
    <cfRule type="expression" priority="1">
      <formula>$H$9:$H$10&gt;x</formula>
    </cfRule>
    <cfRule type="expression" priority="2">
      <formula>$H$9&lt;x</formula>
    </cfRule>
  </conditionalFormatting>
  <pageMargins left="0.70866141732283472" right="0.70866141732283472" top="0.74803149606299213" bottom="0.74803149606299213" header="0.31496062992125984" footer="0.31496062992125984"/>
  <pageSetup scale="69" orientation="portrait" horizontalDpi="4294967293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40</vt:i4>
      </vt:variant>
    </vt:vector>
  </HeadingPairs>
  <TitlesOfParts>
    <vt:vector size="53" baseType="lpstr">
      <vt:lpstr>Maintenance Schedule</vt:lpstr>
      <vt:lpstr>Description Sheet</vt:lpstr>
      <vt:lpstr>Maintenance Schedule View</vt:lpstr>
      <vt:lpstr>Year (2021-2022)</vt:lpstr>
      <vt:lpstr>Year (2022-2023)</vt:lpstr>
      <vt:lpstr>Year (2023-2024)</vt:lpstr>
      <vt:lpstr>Year (2024-2025)</vt:lpstr>
      <vt:lpstr>Year (2025-2026)</vt:lpstr>
      <vt:lpstr>Year (2026-2027)</vt:lpstr>
      <vt:lpstr>Year (2027-2028)</vt:lpstr>
      <vt:lpstr>Year (2028-2029)</vt:lpstr>
      <vt:lpstr>Year (2029-2030)</vt:lpstr>
      <vt:lpstr>Year (2030-2031)</vt:lpstr>
      <vt:lpstr>'Year (2021-2022)'!Indication</vt:lpstr>
      <vt:lpstr>'Maintenance Schedule View'!Item_Number</vt:lpstr>
      <vt:lpstr>Item_Number</vt:lpstr>
      <vt:lpstr>'Year (2021-2022)'!Measure</vt:lpstr>
      <vt:lpstr>'Maintenance Schedule'!Print_Area</vt:lpstr>
      <vt:lpstr>'Maintenance Schedule View'!Print_Area</vt:lpstr>
      <vt:lpstr>'Year (2021-2022)'!Print_Area</vt:lpstr>
      <vt:lpstr>'Year (2022-2023)'!Print_Area</vt:lpstr>
      <vt:lpstr>'Year (2023-2024)'!Print_Area</vt:lpstr>
      <vt:lpstr>'Year (2024-2025)'!Print_Area</vt:lpstr>
      <vt:lpstr>'Year (2025-2026)'!Print_Area</vt:lpstr>
      <vt:lpstr>'Year (2026-2027)'!Print_Area</vt:lpstr>
      <vt:lpstr>'Year (2027-2028)'!Print_Area</vt:lpstr>
      <vt:lpstr>'Year (2028-2029)'!Print_Area</vt:lpstr>
      <vt:lpstr>'Year (2029-2030)'!Print_Area</vt:lpstr>
      <vt:lpstr>'Year (2030-2031)'!Print_Area</vt:lpstr>
      <vt:lpstr>'Year (2021-2022)'!Rate</vt:lpstr>
      <vt:lpstr>'Year (2021-2022)'!Total</vt:lpstr>
      <vt:lpstr>'Maintenance Schedule View'!Works_Required</vt:lpstr>
      <vt:lpstr>Works_Required</vt:lpstr>
      <vt:lpstr>'Maintenance Schedule View'!Year_2017</vt:lpstr>
      <vt:lpstr>Year_2017</vt:lpstr>
      <vt:lpstr>'Maintenance Schedule View'!Year_2018</vt:lpstr>
      <vt:lpstr>Year_2018</vt:lpstr>
      <vt:lpstr>'Maintenance Schedule View'!Year_2019</vt:lpstr>
      <vt:lpstr>Year_2019</vt:lpstr>
      <vt:lpstr>'Maintenance Schedule View'!Year_2020</vt:lpstr>
      <vt:lpstr>Year_2020</vt:lpstr>
      <vt:lpstr>'Maintenance Schedule View'!Year_2021</vt:lpstr>
      <vt:lpstr>Year_2021</vt:lpstr>
      <vt:lpstr>'Maintenance Schedule View'!Year_2022</vt:lpstr>
      <vt:lpstr>Year_2022</vt:lpstr>
      <vt:lpstr>'Maintenance Schedule View'!Year_2023</vt:lpstr>
      <vt:lpstr>Year_2023</vt:lpstr>
      <vt:lpstr>'Maintenance Schedule View'!Year_2024</vt:lpstr>
      <vt:lpstr>Year_2024</vt:lpstr>
      <vt:lpstr>'Maintenance Schedule View'!Year_2025</vt:lpstr>
      <vt:lpstr>Year_2025</vt:lpstr>
      <vt:lpstr>'Maintenance Schedule View'!Year_2026</vt:lpstr>
      <vt:lpstr>Year_2026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dirk</dc:creator>
  <cp:lastModifiedBy>Microsoft Office User</cp:lastModifiedBy>
  <cp:lastPrinted>2017-08-20T21:22:40Z</cp:lastPrinted>
  <dcterms:created xsi:type="dcterms:W3CDTF">2017-05-12T14:24:29Z</dcterms:created>
  <dcterms:modified xsi:type="dcterms:W3CDTF">2021-11-11T07:23:29Z</dcterms:modified>
</cp:coreProperties>
</file>